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<sst xmlns="http://schemas.openxmlformats.org/spreadsheetml/2006/main" count="889" uniqueCount="638">
  <si>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</si>
  <si>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</si>
  <si>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</si>
  <si>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</si>
  <si>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</si>
  <si>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</si>
  <si>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</si>
  <si>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</si>
  <si>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</si>
  <si>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</si>
  <si>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</si>
  <si>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</si>
  <si>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</si>
  <si>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</si>
  <si>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</si>
  <si>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</si>
  <si>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</si>
  <si>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</si>
  <si>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</si>
  <si>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</si>
  <si>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</si>
  <si>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</si>
  <si>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</si>
  <si>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</si>
  <si>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</si>
  <si>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</si>
  <si>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</si>
  <si>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</si>
  <si>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</si>
  <si>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</si>
  <si>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</si>
  <si>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</si>
  <si>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</si>
  <si>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</si>
  <si>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</si>
  <si>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</si>
  <si>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</si>
  <si>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</si>
  <si>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</si>
  <si>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</si>
  <si>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</si>
  <si>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</si>
  <si>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</si>
  <si>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</si>
  <si>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</si>
  <si>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</si>
  <si>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</si>
  <si>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</si>
  <si>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</si>
  <si>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</si>
  <si>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</si>
  <si>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</si>
  <si>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</si>
  <si>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</si>
  <si>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</si>
  <si>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</si>
  <si>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</si>
  <si>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</si>
  <si>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</si>
  <si>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</si>
  <si>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</si>
  <si>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</si>
  <si>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</si>
  <si>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</si>
  <si>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</si>
  <si>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</si>
  <si>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</si>
  <si>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</si>
  <si>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</si>
  <si>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</si>
  <si>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</si>
  <si>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</si>
  <si>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</si>
  <si>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</si>
  <si>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</si>
  <si>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</si>
  <si>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</si>
  <si>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</si>
  <si>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</si>
  <si>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</si>
  <si>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</si>
  <si>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</si>
  <si>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</si>
  <si>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</si>
  <si>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</si>
  <si>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</si>
  <si>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</si>
  <si>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</si>
  <si>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</si>
  <si>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</si>
  <si>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</si>
  <si>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</si>
  <si>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</si>
  <si>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</si>
  <si>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</si>
  <si>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</si>
  <si>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</si>
  <si>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</si>
  <si>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</si>
  <si>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</si>
  <si>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</si>
  <si>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</si>
  <si>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</si>
  <si>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</si>
  <si>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</si>
  <si>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</si>
  <si>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</si>
  <si>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</si>
  <si>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</si>
  <si>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</si>
  <si>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</si>
  <si>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</si>
  <si>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</si>
  <si>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</si>
  <si>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</si>
  <si>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</si>
  <si>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</si>
  <si>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</si>
  <si>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</si>
  <si>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</si>
  <si>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</si>
  <si>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</si>
  <si>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</si>
  <si>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</si>
  <si>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</si>
  <si>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</si>
  <si>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</si>
  <si>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</si>
  <si>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</si>
  <si>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</si>
  <si>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</si>
  <si>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</si>
  <si>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</si>
  <si>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</si>
  <si>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</si>
  <si>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</si>
  <si>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</si>
  <si>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</si>
  <si>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</si>
  <si>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</si>
  <si>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</si>
  <si>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</si>
  <si>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</si>
  <si>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</si>
  <si>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</si>
  <si>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</si>
  <si>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</si>
  <si>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</si>
  <si>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</si>
  <si>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</si>
  <si>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</si>
  <si>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</si>
  <si>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</si>
  <si>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</si>
  <si>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</si>
  <si>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</si>
  <si>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</si>
  <si>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</si>
  <si>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</si>
  <si>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</si>
  <si>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</si>
  <si>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</si>
  <si>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</si>
  <si>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</si>
  <si>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</si>
  <si>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</si>
  <si>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</si>
  <si>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</si>
  <si>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</si>
  <si>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</si>
  <si>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</si>
  <si>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</si>
  <si>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</si>
  <si>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</si>
  <si>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</si>
  <si>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</si>
  <si>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</si>
  <si>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</si>
  <si>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</si>
  <si>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</si>
  <si>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</si>
  <si>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</si>
  <si>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</si>
  <si>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</si>
  <si>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</si>
  <si>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</si>
  <si>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</si>
  <si>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</si>
  <si>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</si>
  <si>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</si>
  <si>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</si>
  <si>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</si>
  <si>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</si>
  <si>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</si>
  <si>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</si>
  <si>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</si>
  <si>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</si>
  <si>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</si>
  <si>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</si>
  <si>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</si>
  <si>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</si>
  <si>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</si>
  <si>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</si>
  <si>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</si>
  <si>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</si>
  <si>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</si>
  <si>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</si>
  <si>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</si>
  <si>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</si>
  <si>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</si>
  <si>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</si>
  <si>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</si>
  <si>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</si>
  <si>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</si>
  <si>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</si>
  <si>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</si>
  <si>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</si>
  <si>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</si>
  <si>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</si>
  <si>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</si>
  <si>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</si>
  <si>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</si>
  <si>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</si>
  <si>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</si>
  <si>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</si>
  <si>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</si>
  <si>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</si>
  <si>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</si>
  <si>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</si>
  <si>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</si>
  <si>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</si>
  <si>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</si>
  <si>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</si>
  <si>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</si>
  <si>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</si>
  <si>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</si>
  <si>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</si>
  <si>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</si>
  <si>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</si>
  <si>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</si>
  <si>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</si>
  <si>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</si>
  <si>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</si>
  <si>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</si>
  <si>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</si>
  <si>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</si>
  <si>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</si>
  <si>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</si>
  <si>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</si>
  <si>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</si>
  <si>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</si>
  <si>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</si>
  <si>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</si>
  <si>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</si>
  <si>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</si>
  <si>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</si>
  <si>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</si>
  <si>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</si>
  <si>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</si>
  <si>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</si>
  <si>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</si>
  <si>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</si>
  <si>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</si>
  <si>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</si>
  <si>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</si>
  <si>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</si>
  <si>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</si>
  <si>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</si>
  <si>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</si>
  <si>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</si>
  <si>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</si>
  <si>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</si>
  <si>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</si>
  <si>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</si>
  <si>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</si>
  <si>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</si>
  <si>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</si>
  <si>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</si>
  <si>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</si>
  <si>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</si>
  <si>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</si>
  <si>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</si>
  <si>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</si>
  <si>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</si>
  <si>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</si>
  <si>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</si>
  <si>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</si>
  <si>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</si>
  <si>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</si>
  <si>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</si>
  <si>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</si>
  <si>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</si>
  <si>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</si>
  <si>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</si>
  <si>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</si>
  <si>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</si>
  <si>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</si>
  <si>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</si>
  <si>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</si>
  <si>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</si>
  <si>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</si>
  <si>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</si>
  <si>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</si>
  <si>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</si>
  <si>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</si>
  <si>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</si>
  <si>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</si>
  <si>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</si>
  <si>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</si>
  <si>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</si>
  <si>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</si>
  <si>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</si>
  <si>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</si>
  <si>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</si>
  <si>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</si>
  <si>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</si>
  <si>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</si>
  <si>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</si>
  <si>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</si>
  <si>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</si>
  <si>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</si>
  <si>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</si>
  <si>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</si>
  <si>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</si>
  <si>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</si>
  <si>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</si>
  <si>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</si>
  <si>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</si>
  <si>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</si>
  <si>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</si>
  <si>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</si>
  <si>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</si>
  <si>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</si>
  <si>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</si>
  <si>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</si>
  <si>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</si>
  <si>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</si>
  <si>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</si>
  <si>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</si>
  <si>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</si>
  <si>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</si>
  <si>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</si>
  <si>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</si>
  <si>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</si>
  <si>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</si>
  <si>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</si>
  <si>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</si>
  <si>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</si>
  <si>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</si>
  <si>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</si>
  <si>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</si>
  <si>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</si>
  <si>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</si>
  <si>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</si>
  <si>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</si>
  <si>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</si>
  <si>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</si>
  <si>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</si>
  <si>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</si>
  <si>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</si>
  <si>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</si>
  <si>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</si>
  <si>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</si>
  <si>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</si>
  <si>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</si>
  <si>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</si>
  <si>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</si>
  <si>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</si>
  <si>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</si>
  <si>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</si>
  <si>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</si>
  <si>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</si>
  <si>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</si>
  <si>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</si>
  <si>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</si>
  <si>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</si>
  <si>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</si>
  <si>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</si>
  <si>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</si>
  <si>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</si>
  <si>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</si>
  <si>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</si>
  <si>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</si>
  <si>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</si>
  <si>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</si>
  <si>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</si>
  <si>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</si>
  <si>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</si>
  <si>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</si>
  <si>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</si>
  <si>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</si>
  <si>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</si>
  <si>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</si>
  <si>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</si>
  <si>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</si>
  <si>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</si>
  <si>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</si>
  <si>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</si>
  <si>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</si>
  <si>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</si>
  <si>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</si>
  <si>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</si>
  <si>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</si>
  <si>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</si>
  <si>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</si>
  <si>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</si>
  <si>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</si>
  <si>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</si>
  <si>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</si>
  <si>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</si>
  <si>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</si>
  <si>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</si>
  <si>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</si>
  <si>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</si>
  <si>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</si>
  <si>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</si>
  <si>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</si>
  <si>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</si>
  <si>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</si>
  <si>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</si>
  <si>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</si>
  <si>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</si>
  <si>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</si>
  <si>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</si>
  <si>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</si>
  <si>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</si>
  <si>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</si>
  <si>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</si>
  <si>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</si>
  <si>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</si>
  <si>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</si>
  <si>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</si>
  <si>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</si>
  <si>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</si>
  <si>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</si>
  <si>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</si>
  <si>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</si>
  <si>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</si>
  <si>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</si>
  <si>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</si>
  <si>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</si>
  <si>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</si>
  <si>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</si>
  <si>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</si>
  <si>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</si>
  <si>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</si>
  <si>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</si>
  <si>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</si>
  <si>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</si>
  <si>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</si>
  <si>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</si>
  <si>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</si>
  <si>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2025M10</t>
  </si>
  <si>
    <t xml:space="preserve">2025M11</t>
  </si>
  <si>
    <t xml:space="preserve">2025M12</t>
  </si>
  <si>
    <t xml:space="preserve">2026M1</t>
  </si>
  <si>
    <t xml:space="preserve">2026M2</t>
  </si>
  <si>
    <t xml:space="preserve">2026M3</t>
  </si>
  <si>
    <t xml:space="preserve">2026M4</t>
  </si>
  <si>
    <t xml:space="preserve">2026M5</t>
  </si>
  <si>
    <t xml:space="preserve">2026M6</t>
  </si>
  <si>
    <t xml:space="preserve">2026M7</t>
  </si>
  <si>
    <t xml:space="preserve">2026M8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</si>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</sst>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INDEX('Gold price'!D:D,MATCH("2026M8",'Gold price'!A:A,0))</f>
        <v>8.36647061062835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28.9823043552802</v>
      </c>
    </row>
    <row r="6" customFormat="false" ht="12.75" hidden="false" customHeight="true" outlineLevel="0" collapsed="false">
      <c r="B6" s="1" t="s">
        <v>4</v>
      </c>
      <c r="C6" s="1" t="n">
        <f aca="false">INDEX('Gold price'!E:E,MATCH("2026M8",'Gold price'!A:A,0))</f>
        <v>6.26086547808568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IFERROR(INDEX(Value!$C$18:$R$18,1,MATCH(C11&amp;"*",Value!$C$1:$R$1,0)),INDEX(Volume!$C$18:$L$18,1,MATCH(C11&amp;"*",Volume!$C$1:$L$1,0))*AVERAGE(INDEX('Gold price'!$B:$B,MATCH("2025M1",'Gold price'!$A:$A,0)):INDEX('Gold price'!$B:$B,MATCH("2025M9",'Gold price'!$A:$A,0))))</f>
        <v>7471</v>
      </c>
      <c r="D12" s="4" t="n">
        <f aca="false">IFERROR(INDEX(Value!$C$18:$R$18,1,MATCH(D11&amp;"*",Value!$C$1:$R$1,0)),INDEX(Volume!$C$18:$L$18,1,MATCH(D11&amp;"*",Volume!$C$1:$L$1,0))*AVERAGE(INDEX('Gold price'!$B:$B,MATCH("2025M1",'Gold price'!$A:$A,0)):INDEX('Gold price'!$B:$B,MATCH("2025M9",'Gold price'!$A:$A,0))))</f>
        <v>1002</v>
      </c>
      <c r="E12" s="5" t="n">
        <f aca="false">IFERROR(INDEX(Value!$C$18:$R$18,1,MATCH(E11&amp;"*",Value!$C$1:$R$1,0)),INDEX(Volume!$C$18:$L$18,1,MATCH(E11&amp;"*",Volume!$C$1:$L$1,0))*AVERAGE(INDEX('Gold price'!$B:$B,MATCH("2025M1",'Gold price'!$A:$A,0)):INDEX('Gold price'!$B:$B,MATCH("2025M9",'Gold price'!$A:$A,0))))</f>
        <v>10.71</v>
      </c>
      <c r="F12" s="5" t="n">
        <f aca="false">IFERROR(INDEX(Value!$C$18:$R$18,1,MATCH(F11&amp;"*",Value!$C$1:$R$1,0)),INDEX(Volume!$C$18:$L$18,1,MATCH(F11&amp;"*",Volume!$C$1:$L$1,0))*AVERAGE(INDEX('Gold price'!$B:$B,MATCH("2025M1",'Gold price'!$A:$A,0)):INDEX('Gold price'!$B:$B,MATCH("2025M9",'Gold price'!$A:$A,0))))</f>
        <v>3877.64</v>
      </c>
      <c r="G12" s="5" t="n">
        <f aca="false">IFERROR(INDEX(Value!$C$18:$R$18,1,MATCH(G11&amp;"*",Value!$C$1:$R$1,0)),INDEX(Volume!$C$18:$L$18,1,MATCH(G11&amp;"*",Volume!$C$1:$L$1,0))*AVERAGE(INDEX('Gold price'!$B:$B,MATCH("2025M1",'Gold price'!$A:$A,0)):INDEX('Gold price'!$B:$B,MATCH("2025M9",'Gold price'!$A:$A,0))))</f>
        <v>55092.42</v>
      </c>
      <c r="H12" s="5" t="n">
        <f aca="false">IFERROR(INDEX(Value!$C$18:$R$18,1,MATCH(H11&amp;"*",Value!$C$1:$R$1,0)),INDEX(Volume!$C$18:$L$18,1,MATCH(H11&amp;"*",Volume!$C$1:$L$1,0))*AVERAGE(INDEX('Gold price'!$B:$B,MATCH("2025M1",'Gold price'!$A:$A,0)):INDEX('Gold price'!$B:$B,MATCH("2025M9",'Gold price'!$A:$A,0))))</f>
        <v>10121.89</v>
      </c>
      <c r="I12" s="5" t="n">
        <f aca="false">IFERROR(INDEX(Value!$C$18:$R$18,1,MATCH(I11&amp;"*",Value!$C$1:$R$1,0)),INDEX(Volume!$C$18:$L$18,1,MATCH(I11&amp;"*",Volume!$C$1:$L$1,0))*AVERAGE(INDEX('Gold price'!$B:$B,MATCH("2025M1",'Gold price'!$A:$A,0)):INDEX('Gold price'!$B:$B,MATCH("2025M9",'Gold price'!$A:$A,0))))</f>
        <v>921.28</v>
      </c>
      <c r="J12" s="3" t="n">
        <f aca="false">IFERROR(INDEX(Value!$C$18:$R$18,1,MATCH(J11&amp;"*",Value!$C$1:$R$1,0)),INDEX(Volume!$C$18:$L$18,1,MATCH(J11&amp;"*",Volume!$C$1:$L$1,0))*AVERAGE(INDEX('Gold price'!$B:$B,MATCH("2025M1",'Gold price'!$A:$A,0)):INDEX('Gold price'!$B:$B,MATCH("2025M9",'Gold price'!$A:$A,0))))</f>
        <v>807.1</v>
      </c>
      <c r="K12" s="5" t="n">
        <f aca="false">IFERROR(INDEX(Value!$C$18:$R$18,1,MATCH(K11&amp;"*",Value!$C$1:$R$1,0)),INDEX(Volume!$C$18:$L$18,1,MATCH(K11&amp;"*",Volume!$C$1:$L$1,0))*AVERAGE(INDEX('Gold price'!$B:$B,MATCH("2025M1",'Gold price'!$A:$A,0)):INDEX('Gold price'!$B:$B,MATCH("2025M9",'Gold price'!$A:$A,0))))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3561.54885466806</v>
      </c>
      <c r="D13" s="1" t="n">
        <f aca="false">D12*$C$3*$C$5/100</f>
        <v>477.669917330665</v>
      </c>
      <c r="E13" s="1" t="n">
        <f aca="false">E12*$C$3*$C$5/100</f>
        <v>5.10563354751639</v>
      </c>
      <c r="F13" s="1" t="n">
        <f aca="false">F12*$C$3*$C$5/100</f>
        <v>1848.53490842124</v>
      </c>
      <c r="G13" s="1" t="n">
        <f aca="false">G12*$C$3*$C$5/100</f>
        <v>26263.4647773915</v>
      </c>
      <c r="H13" s="1" t="n">
        <f aca="false">H12*$C$3*$C$5/100</f>
        <v>4825.27181589828</v>
      </c>
      <c r="I13" s="1" t="n">
        <f aca="false">I12*$C$3*$C$5/100</f>
        <v>439.189362712969</v>
      </c>
      <c r="J13" s="1" t="n">
        <f aca="false">J12*$C$3*$C$5/100</f>
        <v>384.757874528522</v>
      </c>
      <c r="K13" s="1" t="n">
        <f aca="false">K12*$C$3*$C$5/100</f>
        <v>1555.84874794992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INDEX($C$12:$K$12,1,MATCH(C20,$C$11:$K$11,0))</f>
        <v>7471</v>
      </c>
      <c r="D21" s="4" t="n">
        <f aca="false">INDEX($C$12:$K$12,1,MATCH(D20,$C$11:$K$11,0))</f>
        <v>1002</v>
      </c>
      <c r="E21" s="5" t="n">
        <f aca="false">INDEX($C$12:$K$12,1,MATCH(E20,$C$11:$K$11,0))</f>
        <v>10.71</v>
      </c>
      <c r="F21" s="5" t="n">
        <f aca="false">INDEX($C$12:$K$12,1,MATCH(F20,$C$11:$K$11,0))</f>
        <v>55092.42</v>
      </c>
      <c r="G21" s="5" t="n">
        <f aca="false">INDEX($C$12:$K$12,1,MATCH(G20,$C$11:$K$11,0))</f>
        <v>10121.89</v>
      </c>
      <c r="H21" s="3" t="n">
        <f aca="false">INDEX($C$12:$K$12,1,MATCH(H20,$C$11:$K$11,0))</f>
        <v>921.28</v>
      </c>
      <c r="I21" s="3" t="n">
        <f aca="false">INDEX($C$12:$K$12,1,MATCH(I20,$C$11:$K$11,0))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INDEX($C$13:$K$13,1,MATCH(C20,$C$11:$K$11,0))</f>
        <v>3561.54885466806</v>
      </c>
      <c r="D22" s="1" t="n">
        <f aca="false">INDEX($C$13:$K$13,1,MATCH(D20,$C$11:$K$11,0))</f>
        <v>477.669917330665</v>
      </c>
      <c r="E22" s="1" t="n">
        <f aca="false">INDEX($C$13:$K$13,1,MATCH(E20,$C$11:$K$11,0))</f>
        <v>5.10563354751639</v>
      </c>
      <c r="F22" s="1" t="n">
        <f aca="false">INDEX($C$13:$K$13,1,MATCH(F20,$C$11:$K$11,0))</f>
        <v>26263.4647773915</v>
      </c>
      <c r="G22" s="1" t="n">
        <f aca="false">INDEX($C$13:$K$13,1,MATCH(G20,$C$11:$K$11,0))</f>
        <v>4825.27181589828</v>
      </c>
      <c r="H22" s="1" t="n">
        <f aca="false">INDEX($C$13:$K$13,1,MATCH(H20,$C$11:$K$11,0))</f>
        <v>439.189362712969</v>
      </c>
      <c r="I22" s="1" t="n">
        <f aca="false">INDEX($C$13:$K$13,1,MATCH(I20,$C$11:$K$11,0))</f>
        <v>384.757874528522</v>
      </c>
    </row>
    <row r="23" customFormat="false" ht="12.75" hidden="false" customHeight="true" outlineLevel="0" collapsed="false">
      <c r="B23" s="1" t="s">
        <v>19</v>
      </c>
      <c r="C23" s="3" t="n">
        <f aca="false">IFERROR(INDEX('Total Reserves'!$C$18:$P$18,1,MATCH(C20&amp;"*",'Total Reserves'!$C$1:$P$1,0)),"")</f>
        <v>14425.9</v>
      </c>
      <c r="D23" s="5" t="n">
        <f aca="false">IFERROR(INDEX('Total Reserves'!$C$18:$P$18,1,MATCH(D20&amp;"*",'Total Reserves'!$C$1:$P$1,0)),"")</f>
        <v>6158.7</v>
      </c>
      <c r="E23" s="5" t="n">
        <f aca="false">IFERROR(INDEX('Total Reserves'!$C$18:$P$18,1,MATCH(E20&amp;"*",'Total Reserves'!$C$1:$P$1,0)),"")</f>
        <v>5999.34</v>
      </c>
      <c r="F23" s="5" t="n">
        <f aca="false">IFERROR(INDEX('Total Reserves'!$C$18:$P$18,1,MATCH(F20&amp;"*",'Total Reserves'!$C$1:$P$1,0)),"")</f>
        <v>66311.75</v>
      </c>
      <c r="G23" s="5" t="n">
        <f aca="false">IFERROR(INDEX('Total Reserves'!$C$18:$P$18,1,MATCH(G20&amp;"*",'Total Reserves'!$C$1:$P$1,0)),"")</f>
        <v>175830.49</v>
      </c>
      <c r="H23" s="5" t="n">
        <f aca="false">IFERROR(INDEX('Total Reserves'!$C$18:$P$18,1,MATCH(H20&amp;"*",'Total Reserves'!$C$1:$P$1,0)),"")</f>
        <v>6076.9</v>
      </c>
      <c r="I23" s="3" t="n">
        <f aca="false">IFERROR(INDEX('Total Reserves'!$C$18:$P$18,1,MATCH(I20&amp;"*",'Total Reserves'!$C$1:$P$1,0)),"")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IF(OR(C23="",C23=0),"",C22/C23*100)</f>
        <v>24.6885730156736</v>
      </c>
      <c r="D24" s="1" t="n">
        <f aca="false">IF(OR(D23="",D23=0),"",D22/D23*100)</f>
        <v>7.75601859695495</v>
      </c>
      <c r="E24" s="1" t="n">
        <f aca="false">IF(OR(E23="",E23=0),"",E22/E23*100)</f>
        <v>0.0851032538165262</v>
      </c>
      <c r="F24" s="1" t="n">
        <f aca="false">IF(OR(F23="",F23=0),"",F22/F23*100)</f>
        <v>39.6060498741045</v>
      </c>
      <c r="G24" s="1" t="n">
        <f aca="false">IF(OR(G23="",G23=0),"",G22/G23*100)</f>
        <v>2.74427479323881</v>
      </c>
      <c r="H24" s="1" t="n">
        <f aca="false">IF(OR(H23="",H23=0),"",H22/H23*100)</f>
        <v>7.22719417322926</v>
      </c>
      <c r="I24" s="1" t="n">
        <f aca="false">IF(OR(I23="",I23=0),"",I22/I23*100)</f>
        <v>5.43236159273331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IF(OR($B3="",$B2=""),"",LN($B3/$B2)*100)</f>
        <v>1.78045777637422</v>
      </c>
      <c r="D3" s="6" t="str">
        <f aca="false">IF(ROW()&lt;5,"",STDEV($C1:$C3))</f>
        <v/>
      </c>
      <c r="E3" s="6" t="str">
        <f aca="false">IF(ROW()&lt;14,"",STDEV($c-8:$C3))</f>
        <v/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IF(OR($B4="",$B3=""),"",LN($B4/$B3)*100)</f>
        <v>-6.04658628397791</v>
      </c>
      <c r="D4" s="6" t="str">
        <f aca="false">IF(ROW()&lt;5,"",STDEV($C2:$C4))</f>
        <v/>
      </c>
      <c r="E4" s="6" t="str">
        <f aca="false">IF(ROW()&lt;14,"",STDEV($c-7:$C4))</f>
        <v/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IF(OR($B5="",$B4=""),"",LN($B5/$B4)*100)</f>
        <v>-4.80179165459846</v>
      </c>
      <c r="D5" s="6" t="n">
        <f aca="false">IF(ROW()&lt;5,"",STDEV($C3:$C5))</f>
        <v>4.20591131550911</v>
      </c>
      <c r="E5" s="6" t="str">
        <f aca="false">IF(ROW()&lt;14,"",STDEV($c-6:$C5))</f>
        <v/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IF(OR($B6="",$B5=""),"",LN($B6/$B5)*100)</f>
        <v>-1.37044584198046</v>
      </c>
      <c r="D6" s="6" t="n">
        <f aca="false">IF(ROW()&lt;5,"",STDEV($C4:$C6))</f>
        <v>2.42177404631354</v>
      </c>
      <c r="E6" s="6" t="str">
        <f aca="false">IF(ROW()&lt;14,"",STDEV($c-5:$C6))</f>
        <v/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IF(OR($B7="",$B6=""),"",LN($B7/$B6)*100)</f>
        <v>-4.62031190186234</v>
      </c>
      <c r="D7" s="6" t="n">
        <f aca="false">IF(ROW()&lt;5,"",STDEV($C5:$C7))</f>
        <v>1.93083308417189</v>
      </c>
      <c r="E7" s="6" t="str">
        <f aca="false">IF(ROW()&lt;14,"",STDEV($c-4:$C7))</f>
        <v/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IF(OR($B8="",$B7=""),"",LN($B8/$B7)*100)</f>
        <v>2.78915482477398</v>
      </c>
      <c r="D8" s="6" t="n">
        <f aca="false">IF(ROW()&lt;5,"",STDEV($C6:$C8))</f>
        <v>3.71402980348765</v>
      </c>
      <c r="E8" s="6" t="str">
        <f aca="false">IF(ROW()&lt;14,"",STDEV($c-3:$C8))</f>
        <v/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IF(OR($B9="",$B8=""),"",LN($B9/$B8)*100)</f>
        <v>8.49326744877091</v>
      </c>
      <c r="D9" s="6" t="n">
        <f aca="false">IF(ROW()&lt;5,"",STDEV($C7:$C9))</f>
        <v>6.57524475318507</v>
      </c>
      <c r="E9" s="6" t="str">
        <f aca="false">IF(ROW()&lt;14,"",STDEV($c-2:$C9))</f>
        <v/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IF(OR($B10="",$B9=""),"",LN($B10/$B9)*100)</f>
        <v>-1.24348428928857</v>
      </c>
      <c r="D10" s="6" t="n">
        <f aca="false">IF(ROW()&lt;5,"",STDEV($C8:$C10))</f>
        <v>4.8922287603251</v>
      </c>
      <c r="E10" s="6" t="str">
        <f aca="false">IF(ROW()&lt;14,"",STDEV($c-1:$C10))</f>
        <v/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IF(OR($B11="",$B10=""),"",LN($B11/$B10)*100)</f>
        <v>-2.27315495571925</v>
      </c>
      <c r="D11" s="6" t="n">
        <f aca="false">IF(ROW()&lt;5,"",STDEV($C9:$C11))</f>
        <v>5.94110550152943</v>
      </c>
      <c r="E11" s="6" t="str">
        <f aca="false">IF(ROW()&lt;14,"",STDEV($c0:$C11))</f>
        <v/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IF(OR($B12="",$B11=""),"",LN($B12/$B11)*100)</f>
        <v>0.209465299343003</v>
      </c>
      <c r="D12" s="6" t="n">
        <f aca="false">IF(ROW()&lt;5,"",STDEV($C10:$C12))</f>
        <v>1.2473096059959</v>
      </c>
      <c r="E12" s="6" t="str">
        <f aca="false">IF(ROW()&lt;14,"",STDEV($C1:$C12))</f>
        <v/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IF(OR($B13="",$B12=""),"",LN($B13/$B12)*100)</f>
        <v>-1.34792130493926</v>
      </c>
      <c r="D13" s="6" t="n">
        <f aca="false">IF(ROW()&lt;5,"",STDEV($C11:$C13))</f>
        <v>1.25465225425075</v>
      </c>
      <c r="E13" s="6" t="str">
        <f aca="false">IF(ROW()&lt;14,"",STDEV($C2:$C13))</f>
        <v/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IF(OR($B14="",$B13=""),"",LN($B14/$B13)*100)</f>
        <v>1.84646751324177</v>
      </c>
      <c r="D14" s="6" t="n">
        <f aca="false">IF(ROW()&lt;5,"",STDEV($C12:$C14))</f>
        <v>1.59735975937521</v>
      </c>
      <c r="E14" s="6" t="n">
        <f aca="false">IF(ROW()&lt;14,"",STDEV($C3:$C14))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IF(OR($B15="",$B14=""),"",LN($B15/$B14)*100)</f>
        <v>-5.16376293239246</v>
      </c>
      <c r="D15" s="6" t="n">
        <f aca="false">IF(ROW()&lt;5,"",STDEV($C13:$C15))</f>
        <v>3.50970317235949</v>
      </c>
      <c r="E15" s="6" t="n">
        <f aca="false">IF(ROW()&lt;14,"",STDEV($C4:$C15))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IF(OR($B16="",$B15=""),"",LN($B16/$B15)*100)</f>
        <v>-0.448561253977092</v>
      </c>
      <c r="D16" s="6" t="n">
        <f aca="false">IF(ROW()&lt;5,"",STDEV($C14:$C16))</f>
        <v>3.57406432537222</v>
      </c>
      <c r="E16" s="6" t="n">
        <f aca="false">IF(ROW()&lt;14,"",STDEV($C5:$C16))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IF(OR($B17="",$B16=""),"",LN($B17/$B16)*100)</f>
        <v>-1.23079271123674</v>
      </c>
      <c r="D17" s="6" t="n">
        <f aca="false">IF(ROW()&lt;5,"",STDEV($C15:$C17))</f>
        <v>2.52696351646778</v>
      </c>
      <c r="E17" s="6" t="n">
        <f aca="false">IF(ROW()&lt;14,"",STDEV($C6:$C17))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IF(OR($B18="",$B17=""),"",LN($B18/$B17)*100)</f>
        <v>-0.379998447749823</v>
      </c>
      <c r="D18" s="6" t="n">
        <f aca="false">IF(ROW()&lt;5,"",STDEV($C16:$C18))</f>
        <v>0.472658754618764</v>
      </c>
      <c r="E18" s="6" t="n">
        <f aca="false">IF(ROW()&lt;14,"",STDEV($C7:$C18))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IF(OR($B19="",$B18=""),"",LN($B19/$B18)*100)</f>
        <v>2.7480835168127</v>
      </c>
      <c r="D19" s="6" t="n">
        <f aca="false">IF(ROW()&lt;5,"",STDEV($C17:$C19))</f>
        <v>2.0952407854445</v>
      </c>
      <c r="E19" s="6" t="n">
        <f aca="false">IF(ROW()&lt;14,"",STDEV($C8:$C19))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IF(OR($B20="",$B19=""),"",LN($B20/$B19)*100)</f>
        <v>0.240169016237603</v>
      </c>
      <c r="D20" s="6" t="n">
        <f aca="false">IF(ROW()&lt;5,"",STDEV($C18:$C20))</f>
        <v>1.65625781017554</v>
      </c>
      <c r="E20" s="6" t="n">
        <f aca="false">IF(ROW()&lt;14,"",STDEV($C9:$C20))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IF(OR($B21="",$B20=""),"",LN($B21/$B20)*100)</f>
        <v>-3.07086333309545</v>
      </c>
      <c r="D21" s="6" t="n">
        <f aca="false">IF(ROW()&lt;5,"",STDEV($C19:$C21))</f>
        <v>2.91869585039223</v>
      </c>
      <c r="E21" s="6" t="n">
        <f aca="false">IF(ROW()&lt;14,"",STDEV($C10:$C21))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IF(OR($B22="",$B21=""),"",LN($B22/$B21)*100)</f>
        <v>-2.24747965696714</v>
      </c>
      <c r="D22" s="6" t="n">
        <f aca="false">IF(ROW()&lt;5,"",STDEV($C20:$C22))</f>
        <v>1.72381804036572</v>
      </c>
      <c r="E22" s="6" t="n">
        <f aca="false">IF(ROW()&lt;14,"",STDEV($C11:$C22))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IF(OR($B23="",$B22=""),"",LN($B23/$B22)*100)</f>
        <v>2.84702994467017</v>
      </c>
      <c r="D23" s="6" t="n">
        <f aca="false">IF(ROW()&lt;5,"",STDEV($C21:$C23))</f>
        <v>3.20555376407657</v>
      </c>
      <c r="E23" s="6" t="n">
        <f aca="false">IF(ROW()&lt;14,"",STDEV($C12:$C23))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IF(OR($B24="",$B23=""),"",LN($B24/$B23)*100)</f>
        <v>0.215932728821503</v>
      </c>
      <c r="D24" s="6" t="n">
        <f aca="false">IF(ROW()&lt;5,"",STDEV($C22:$C24))</f>
        <v>2.54771470220137</v>
      </c>
      <c r="E24" s="6" t="n">
        <f aca="false">IF(ROW()&lt;14,"",STDEV($C13:$C24))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IF(OR($B25="",$B24=""),"",LN($B25/$B24)*100)</f>
        <v>0.538611017672481</v>
      </c>
      <c r="D25" s="6" t="n">
        <f aca="false">IF(ROW()&lt;5,"",STDEV($C23:$C25))</f>
        <v>1.43501404057379</v>
      </c>
      <c r="E25" s="6" t="n">
        <f aca="false">IF(ROW()&lt;14,"",STDEV($C14:$C25))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IF(OR($B26="",$B25=""),"",LN($B26/$B25)*100)</f>
        <v>-1.9075530166859</v>
      </c>
      <c r="D26" s="6" t="n">
        <f aca="false">IF(ROW()&lt;5,"",STDEV($C24:$C26))</f>
        <v>1.32897400729895</v>
      </c>
      <c r="E26" s="6" t="n">
        <f aca="false">IF(ROW()&lt;14,"",STDEV($C15:$C26))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IF(OR($B27="",$B26=""),"",LN($B27/$B26)*100)</f>
        <v>-0.259981579532838</v>
      </c>
      <c r="D27" s="6" t="n">
        <f aca="false">IF(ROW()&lt;5,"",STDEV($C25:$C27))</f>
        <v>1.24739463548511</v>
      </c>
      <c r="E27" s="6" t="n">
        <f aca="false">IF(ROW()&lt;14,"",STDEV($C16:$C27))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IF(OR($B28="",$B27=""),"",LN($B28/$B27)*100)</f>
        <v>-2.75008277979762</v>
      </c>
      <c r="D28" s="6" t="n">
        <f aca="false">IF(ROW()&lt;5,"",STDEV($C26:$C28))</f>
        <v>1.26655385658696</v>
      </c>
      <c r="E28" s="6" t="n">
        <f aca="false">IF(ROW()&lt;14,"",STDEV($C17:$C28))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IF(OR($B29="",$B28=""),"",LN($B29/$B28)*100)</f>
        <v>-1.60844923877242</v>
      </c>
      <c r="D29" s="6" t="n">
        <f aca="false">IF(ROW()&lt;5,"",STDEV($C27:$C29))</f>
        <v>1.24648145845074</v>
      </c>
      <c r="E29" s="6" t="n">
        <f aca="false">IF(ROW()&lt;14,"",STDEV($C18:$C29))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IF(OR($B30="",$B29=""),"",LN($B30/$B29)*100)</f>
        <v>-0.471345557938947</v>
      </c>
      <c r="D30" s="6" t="n">
        <f aca="false">IF(ROW()&lt;5,"",STDEV($C28:$C30))</f>
        <v>1.1393693613313</v>
      </c>
      <c r="E30" s="6" t="n">
        <f aca="false">IF(ROW()&lt;14,"",STDEV($C19:$C30))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IF(OR($B31="",$B30=""),"",LN($B31/$B30)*100)</f>
        <v>1.15702603726684</v>
      </c>
      <c r="D31" s="6" t="n">
        <f aca="false">IF(ROW()&lt;5,"",STDEV($C29:$C31))</f>
        <v>1.38999114717939</v>
      </c>
      <c r="E31" s="6" t="n">
        <f aca="false">IF(ROW()&lt;14,"",STDEV($C20:$C31))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IF(OR($B32="",$B31=""),"",LN($B32/$B31)*100)</f>
        <v>3.24071540368765</v>
      </c>
      <c r="D32" s="6" t="n">
        <f aca="false">IF(ROW()&lt;5,"",STDEV($C30:$C32))</f>
        <v>1.86067872968622</v>
      </c>
      <c r="E32" s="6" t="n">
        <f aca="false">IF(ROW()&lt;14,"",STDEV($C21:$C32))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IF(OR($B33="",$B32=""),"",LN($B33/$B32)*100)</f>
        <v>-2.69358704012723</v>
      </c>
      <c r="D33" s="6" t="n">
        <f aca="false">IF(ROW()&lt;5,"",STDEV($C31:$C33))</f>
        <v>3.01067345572937</v>
      </c>
      <c r="E33" s="6" t="n">
        <f aca="false">IF(ROW()&lt;14,"",STDEV($C22:$C33))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IF(OR($B34="",$B33=""),"",LN($B34/$B33)*100)</f>
        <v>0.614524233314385</v>
      </c>
      <c r="D34" s="6" t="n">
        <f aca="false">IF(ROW()&lt;5,"",STDEV($C32:$C34))</f>
        <v>2.97367409544392</v>
      </c>
      <c r="E34" s="6" t="n">
        <f aca="false">IF(ROW()&lt;14,"",STDEV($C23:$C34))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IF(OR($B35="",$B34=""),"",LN($B35/$B34)*100)</f>
        <v>-0.0330788254435048</v>
      </c>
      <c r="D35" s="6" t="n">
        <f aca="false">IF(ROW()&lt;5,"",STDEV($C33:$C35))</f>
        <v>1.75315400918761</v>
      </c>
      <c r="E35" s="6" t="n">
        <f aca="false">IF(ROW()&lt;14,"",STDEV($C24:$C35))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IF(OR($B36="",$B35=""),"",LN($B36/$B35)*100)</f>
        <v>-2.89510923965977</v>
      </c>
      <c r="D36" s="6" t="n">
        <f aca="false">IF(ROW()&lt;5,"",STDEV($C34:$C36))</f>
        <v>1.86762482528978</v>
      </c>
      <c r="E36" s="6" t="n">
        <f aca="false">IF(ROW()&lt;14,"",STDEV($C25:$C36))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IF(OR($B37="",$B36=""),"",LN($B37/$B36)*100)</f>
        <v>-0.0726746072149938</v>
      </c>
      <c r="D37" s="6" t="n">
        <f aca="false">IF(ROW()&lt;5,"",STDEV($C35:$C37))</f>
        <v>1.64108313684676</v>
      </c>
      <c r="E37" s="6" t="n">
        <f aca="false">IF(ROW()&lt;14,"",STDEV($C26:$C37))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IF(OR($B38="",$B37=""),"",LN($B38/$B37)*100)</f>
        <v>-1.74040336083754</v>
      </c>
      <c r="D38" s="6" t="n">
        <f aca="false">IF(ROW()&lt;5,"",STDEV($C36:$C38))</f>
        <v>1.41896688454839</v>
      </c>
      <c r="E38" s="6" t="n">
        <f aca="false">IF(ROW()&lt;14,"",STDEV($C27:$C38))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IF(OR($B39="",$B38=""),"",LN($B39/$B38)*100)</f>
        <v>0.0818554503010278</v>
      </c>
      <c r="D39" s="6" t="n">
        <f aca="false">IF(ROW()&lt;5,"",STDEV($C37:$C39))</f>
        <v>1.01043108862072</v>
      </c>
      <c r="E39" s="6" t="n">
        <f aca="false">IF(ROW()&lt;14,"",STDEV($C28:$C39))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IF(OR($B40="",$B39=""),"",LN($B40/$B39)*100)</f>
        <v>0.241726004435254</v>
      </c>
      <c r="D40" s="6" t="n">
        <f aca="false">IF(ROW()&lt;5,"",STDEV($C38:$C40))</f>
        <v>1.10113748683865</v>
      </c>
      <c r="E40" s="6" t="n">
        <f aca="false">IF(ROW()&lt;14,"",STDEV($C29:$C40))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IF(OR($B41="",$B40=""),"",LN($B41/$B40)*100)</f>
        <v>3.55913543408704</v>
      </c>
      <c r="D41" s="6" t="n">
        <f aca="false">IF(ROW()&lt;5,"",STDEV($C39:$C41))</f>
        <v>1.96308600608246</v>
      </c>
      <c r="E41" s="6" t="n">
        <f aca="false">IF(ROW()&lt;14,"",STDEV($C30:$C41))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IF(OR($B42="",$B41=""),"",LN($B42/$B41)*100)</f>
        <v>6.94790377799645</v>
      </c>
      <c r="D42" s="6" t="n">
        <f aca="false">IF(ROW()&lt;5,"",STDEV($C40:$C42))</f>
        <v>3.35315216234991</v>
      </c>
      <c r="E42" s="6" t="n">
        <f aca="false">IF(ROW()&lt;14,"",STDEV($C31:$C42))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IF(OR($B43="",$B42=""),"",LN($B43/$B42)*100)</f>
        <v>1.39261600622473</v>
      </c>
      <c r="D43" s="6" t="n">
        <f aca="false">IF(ROW()&lt;5,"",STDEV($C41:$C43))</f>
        <v>2.79996367676392</v>
      </c>
      <c r="E43" s="6" t="n">
        <f aca="false">IF(ROW()&lt;14,"",STDEV($C32:$C43))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IF(OR($B44="",$B43=""),"",LN($B44/$B43)*100)</f>
        <v>5.38987475967688</v>
      </c>
      <c r="D44" s="6" t="n">
        <f aca="false">IF(ROW()&lt;5,"",STDEV($C42:$C44))</f>
        <v>2.86550618539355</v>
      </c>
      <c r="E44" s="6" t="n">
        <f aca="false">IF(ROW()&lt;14,"",STDEV($C33:$C44))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IF(OR($B45="",$B44=""),"",LN($B45/$B44)*100)</f>
        <v>-3.55373449950969</v>
      </c>
      <c r="D45" s="6" t="n">
        <f aca="false">IF(ROW()&lt;5,"",STDEV($C43:$C45))</f>
        <v>4.480189866673</v>
      </c>
      <c r="E45" s="6" t="n">
        <f aca="false">IF(ROW()&lt;14,"",STDEV($C34:$C45))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IF(OR($B46="",$B45=""),"",LN($B46/$B45)*100)</f>
        <v>-6.63181656329737</v>
      </c>
      <c r="D46" s="6" t="n">
        <f aca="false">IF(ROW()&lt;5,"",STDEV($C44:$C46))</f>
        <v>6.24478179545789</v>
      </c>
      <c r="E46" s="6" t="n">
        <f aca="false">IF(ROW()&lt;14,"",STDEV($C35:$C46))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IF(OR($B47="",$B46=""),"",LN($B47/$B46)*100)</f>
        <v>2.22671969734358</v>
      </c>
      <c r="D47" s="6" t="n">
        <f aca="false">IF(ROW()&lt;5,"",STDEV($C45:$C47))</f>
        <v>4.49744195060594</v>
      </c>
      <c r="E47" s="6" t="n">
        <f aca="false">IF(ROW()&lt;14,"",STDEV($C36:$C47))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IF(OR($B48="",$B47=""),"",LN($B48/$B47)*100)</f>
        <v>3.2010188997119</v>
      </c>
      <c r="D48" s="6" t="n">
        <f aca="false">IF(ROW()&lt;5,"",STDEV($C46:$C48))</f>
        <v>5.4176805747392</v>
      </c>
      <c r="E48" s="6" t="n">
        <f aca="false">IF(ROW()&lt;14,"",STDEV($C37:$C48))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IF(OR($B49="",$B48=""),"",LN($B49/$B48)*100)</f>
        <v>2.41196078340818</v>
      </c>
      <c r="D49" s="6" t="n">
        <f aca="false">IF(ROW()&lt;5,"",STDEV($C47:$C49))</f>
        <v>0.51739506288823</v>
      </c>
      <c r="E49" s="6" t="n">
        <f aca="false">IF(ROW()&lt;14,"",STDEV($C38:$C49))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IF(OR($B50="",$B49=""),"",LN($B50/$B49)*100)</f>
        <v>0.980177390890843</v>
      </c>
      <c r="D50" s="6" t="n">
        <f aca="false">IF(ROW()&lt;5,"",STDEV($C48:$C50))</f>
        <v>1.1258147717169</v>
      </c>
      <c r="E50" s="6" t="n">
        <f aca="false">IF(ROW()&lt;14,"",STDEV($C39:$C50))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IF(OR($B51="",$B50=""),"",LN($B51/$B50)*100)</f>
        <v>-1.24062690295922</v>
      </c>
      <c r="D51" s="6" t="n">
        <f aca="false">IF(ROW()&lt;5,"",STDEV($C49:$C51))</f>
        <v>1.84044252836441</v>
      </c>
      <c r="E51" s="6" t="n">
        <f aca="false">IF(ROW()&lt;14,"",STDEV($C40:$C51))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IF(OR($B52="",$B51=""),"",LN($B52/$B51)*100)</f>
        <v>0.410479744350224</v>
      </c>
      <c r="D52" s="6" t="n">
        <f aca="false">IF(ROW()&lt;5,"",STDEV($C50:$C52))</f>
        <v>1.15344991806076</v>
      </c>
      <c r="E52" s="6" t="n">
        <f aca="false">IF(ROW()&lt;14,"",STDEV($C41:$C52))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IF(OR($B53="",$B52=""),"",LN($B53/$B52)*100)</f>
        <v>-1.72270945330121</v>
      </c>
      <c r="D53" s="6" t="n">
        <f aca="false">IF(ROW()&lt;5,"",STDEV($C51:$C53))</f>
        <v>1.11870854851405</v>
      </c>
      <c r="E53" s="6" t="n">
        <f aca="false">IF(ROW()&lt;14,"",STDEV($C42:$C53))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IF(OR($B54="",$B53=""),"",LN($B54/$B53)*100)</f>
        <v>1.12503210797978</v>
      </c>
      <c r="D54" s="6" t="n">
        <f aca="false">IF(ROW()&lt;5,"",STDEV($C52:$C54))</f>
        <v>1.48159335588371</v>
      </c>
      <c r="E54" s="6" t="n">
        <f aca="false">IF(ROW()&lt;14,"",STDEV($C43:$C54))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IF(OR($B55="",$B54=""),"",LN($B55/$B54)*100)</f>
        <v>1.08251248568354</v>
      </c>
      <c r="D55" s="6" t="n">
        <f aca="false">IF(ROW()&lt;5,"",STDEV($C53:$C55))</f>
        <v>1.63200847858749</v>
      </c>
      <c r="E55" s="6" t="n">
        <f aca="false">IF(ROW()&lt;14,"",STDEV($C44:$C55))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IF(OR($B56="",$B55=""),"",LN($B56/$B55)*100)</f>
        <v>-0.0890108896459827</v>
      </c>
      <c r="D56" s="6" t="n">
        <f aca="false">IF(ROW()&lt;5,"",STDEV($C54:$C56))</f>
        <v>0.688981777372457</v>
      </c>
      <c r="E56" s="6" t="n">
        <f aca="false">IF(ROW()&lt;14,"",STDEV($C45:$C56))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IF(OR($B57="",$B56=""),"",LN($B57/$B56)*100)</f>
        <v>-1.210893255773</v>
      </c>
      <c r="D57" s="6" t="n">
        <f aca="false">IF(ROW()&lt;5,"",STDEV($C55:$C57))</f>
        <v>1.14679240763939</v>
      </c>
      <c r="E57" s="6" t="n">
        <f aca="false">IF(ROW()&lt;14,"",STDEV($C46:$C57))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IF(OR($B58="",$B57=""),"",LN($B58/$B57)*100)</f>
        <v>2.89055985092225</v>
      </c>
      <c r="D58" s="6" t="n">
        <f aca="false">IF(ROW()&lt;5,"",STDEV($C56:$C58))</f>
        <v>2.11968470249301</v>
      </c>
      <c r="E58" s="6" t="n">
        <f aca="false">IF(ROW()&lt;14,"",STDEV($C47:$C58))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IF(OR($B59="",$B58=""),"",LN($B59/$B58)*100)</f>
        <v>-0.597207491999134</v>
      </c>
      <c r="D59" s="6" t="n">
        <f aca="false">IF(ROW()&lt;5,"",STDEV($C57:$C59))</f>
        <v>2.21220285542969</v>
      </c>
      <c r="E59" s="6" t="n">
        <f aca="false">IF(ROW()&lt;14,"",STDEV($C48:$C59))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IF(OR($B60="",$B59=""),"",LN($B60/$B59)*100)</f>
        <v>-1.33153402166627</v>
      </c>
      <c r="D60" s="6" t="n">
        <f aca="false">IF(ROW()&lt;5,"",STDEV($C58:$C60))</f>
        <v>2.25572727220703</v>
      </c>
      <c r="E60" s="6" t="n">
        <f aca="false">IF(ROW()&lt;14,"",STDEV($C49:$C60))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IF(OR($B61="",$B60=""),"",LN($B61/$B60)*100)</f>
        <v>-1.31999495446413</v>
      </c>
      <c r="D61" s="6" t="n">
        <f aca="false">IF(ROW()&lt;5,"",STDEV($C59:$C61))</f>
        <v>0.420672144339956</v>
      </c>
      <c r="E61" s="6" t="n">
        <f aca="false">IF(ROW()&lt;14,"",STDEV($C50:$C61))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IF(OR($B62="",$B61=""),"",LN($B62/$B61)*100)</f>
        <v>-0.224290911112622</v>
      </c>
      <c r="D62" s="6" t="n">
        <f aca="false">IF(ROW()&lt;5,"",STDEV($C60:$C62))</f>
        <v>0.635962237683608</v>
      </c>
      <c r="E62" s="6" t="n">
        <f aca="false">IF(ROW()&lt;14,"",STDEV($C51:$C62))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IF(OR($B63="",$B62=""),"",LN($B63/$B62)*100)</f>
        <v>-0.541614353042014</v>
      </c>
      <c r="D63" s="6" t="n">
        <f aca="false">IF(ROW()&lt;5,"",STDEV($C61:$C63))</f>
        <v>0.563787471494506</v>
      </c>
      <c r="E63" s="6" t="n">
        <f aca="false">IF(ROW()&lt;14,"",STDEV($C52:$C63))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IF(OR($B64="",$B63=""),"",LN($B64/$B63)*100)</f>
        <v>1.36031382567964</v>
      </c>
      <c r="D64" s="6" t="n">
        <f aca="false">IF(ROW()&lt;5,"",STDEV($C62:$C64))</f>
        <v>1.0189044063501</v>
      </c>
      <c r="E64" s="6" t="n">
        <f aca="false">IF(ROW()&lt;14,"",STDEV($C53:$C64))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IF(OR($B65="",$B64=""),"",LN($B65/$B64)*100)</f>
        <v>2.42860674045802</v>
      </c>
      <c r="D65" s="6" t="n">
        <f aca="false">IF(ROW()&lt;5,"",STDEV($C63:$C65))</f>
        <v>1.50448185394251</v>
      </c>
      <c r="E65" s="6" t="n">
        <f aca="false">IF(ROW()&lt;14,"",STDEV($C54:$C65))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IF(OR($B66="",$B65=""),"",LN($B66/$B65)*100)</f>
        <v>-1.50090474677351</v>
      </c>
      <c r="D66" s="6" t="n">
        <f aca="false">IF(ROW()&lt;5,"",STDEV($C64:$C66))</f>
        <v>2.03178419127135</v>
      </c>
      <c r="E66" s="6" t="n">
        <f aca="false">IF(ROW()&lt;14,"",STDEV($C55:$C66))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IF(OR($B67="",$B66=""),"",LN($B67/$B66)*100)</f>
        <v>0.587912995321146</v>
      </c>
      <c r="D67" s="6" t="n">
        <f aca="false">IF(ROW()&lt;5,"",STDEV($C65:$C67))</f>
        <v>1.96606093290451</v>
      </c>
      <c r="E67" s="6" t="n">
        <f aca="false">IF(ROW()&lt;14,"",STDEV($C56:$C67))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IF(OR($B68="",$B67=""),"",LN($B68/$B67)*100)</f>
        <v>-0.323110010305594</v>
      </c>
      <c r="D68" s="6" t="n">
        <f aca="false">IF(ROW()&lt;5,"",STDEV($C66:$C68))</f>
        <v>1.04724423430593</v>
      </c>
      <c r="E68" s="6" t="n">
        <f aca="false">IF(ROW()&lt;14,"",STDEV($C57:$C68))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IF(OR($B69="",$B68=""),"",LN($B69/$B68)*100)</f>
        <v>-0.660535149773923</v>
      </c>
      <c r="D69" s="6" t="n">
        <f aca="false">IF(ROW()&lt;5,"",STDEV($C67:$C69))</f>
        <v>0.645812332456537</v>
      </c>
      <c r="E69" s="6" t="n">
        <f aca="false">IF(ROW()&lt;14,"",STDEV($C58:$C69))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IF(OR($B70="",$B69=""),"",LN($B70/$B69)*100)</f>
        <v>-0.125211539113834</v>
      </c>
      <c r="D70" s="6" t="n">
        <f aca="false">IF(ROW()&lt;5,"",STDEV($C68:$C70))</f>
        <v>0.270675358370937</v>
      </c>
      <c r="E70" s="6" t="n">
        <f aca="false">IF(ROW()&lt;14,"",STDEV($C59:$C70))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IF(OR($B71="",$B70=""),"",LN($B71/$B70)*100)</f>
        <v>-0.0387500011320083</v>
      </c>
      <c r="D71" s="6" t="n">
        <f aca="false">IF(ROW()&lt;5,"",STDEV($C69:$C71))</f>
        <v>0.3368144238677</v>
      </c>
      <c r="E71" s="6" t="n">
        <f aca="false">IF(ROW()&lt;14,"",STDEV($C60:$C71))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IF(OR($B72="",$B71=""),"",LN($B72/$B71)*100)</f>
        <v>0.678320681692849</v>
      </c>
      <c r="D72" s="6" t="n">
        <f aca="false">IF(ROW()&lt;5,"",STDEV($C70:$C72))</f>
        <v>0.441083890658684</v>
      </c>
      <c r="E72" s="6" t="n">
        <f aca="false">IF(ROW()&lt;14,"",STDEV($C61:$C72))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IF(OR($B73="",$B72=""),"",LN($B73/$B72)*100)</f>
        <v>0.486626801038158</v>
      </c>
      <c r="D73" s="6" t="n">
        <f aca="false">IF(ROW()&lt;5,"",STDEV($C71:$C73))</f>
        <v>0.371249622290697</v>
      </c>
      <c r="E73" s="6" t="n">
        <f aca="false">IF(ROW()&lt;14,"",STDEV($C62:$C73))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IF(OR($B74="",$B73=""),"",LN($B74/$B73)*100)</f>
        <v>3.17763146918707</v>
      </c>
      <c r="D74" s="6" t="n">
        <f aca="false">IF(ROW()&lt;5,"",STDEV($C72:$C74))</f>
        <v>1.50137753859385</v>
      </c>
      <c r="E74" s="6" t="n">
        <f aca="false">IF(ROW()&lt;14,"",STDEV($C63:$C74))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IF(OR($B75="",$B74=""),"",LN($B75/$B74)*100)</f>
        <v>1.09717311413044</v>
      </c>
      <c r="D75" s="6" t="n">
        <f aca="false">IF(ROW()&lt;5,"",STDEV($C73:$C75))</f>
        <v>1.41082599278784</v>
      </c>
      <c r="E75" s="6" t="n">
        <f aca="false">IF(ROW()&lt;14,"",STDEV($C64:$C75))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IF(OR($B76="",$B75=""),"",LN($B76/$B75)*100)</f>
        <v>-2.03748069918874</v>
      </c>
      <c r="D76" s="6" t="n">
        <f aca="false">IF(ROW()&lt;5,"",STDEV($C74:$C76))</f>
        <v>2.62525415992506</v>
      </c>
      <c r="E76" s="6" t="n">
        <f aca="false">IF(ROW()&lt;14,"",STDEV($C65:$C76))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IF(OR($B77="",$B76=""),"",LN($B77/$B76)*100)</f>
        <v>-0.805945096454015</v>
      </c>
      <c r="D77" s="6" t="n">
        <f aca="false">IF(ROW()&lt;5,"",STDEV($C75:$C77))</f>
        <v>1.57927163557645</v>
      </c>
      <c r="E77" s="6" t="n">
        <f aca="false">IF(ROW()&lt;14,"",STDEV($C66:$C77))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IF(OR($B78="",$B77=""),"",LN($B78/$B77)*100)</f>
        <v>-0.306238045568545</v>
      </c>
      <c r="D78" s="6" t="n">
        <f aca="false">IF(ROW()&lt;5,"",STDEV($C76:$C78))</f>
        <v>0.891028263975739</v>
      </c>
      <c r="E78" s="6" t="n">
        <f aca="false">IF(ROW()&lt;14,"",STDEV($C67:$C78))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IF(OR($B79="",$B78=""),"",LN($B79/$B78)*100)</f>
        <v>-1.7165238214155</v>
      </c>
      <c r="D79" s="6" t="n">
        <f aca="false">IF(ROW()&lt;5,"",STDEV($C77:$C79))</f>
        <v>0.715048567186571</v>
      </c>
      <c r="E79" s="6" t="n">
        <f aca="false">IF(ROW()&lt;14,"",STDEV($C68:$C79))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IF(OR($B80="",$B79=""),"",LN($B80/$B79)*100)</f>
        <v>-0.43860570726479</v>
      </c>
      <c r="D80" s="6" t="n">
        <f aca="false">IF(ROW()&lt;5,"",STDEV($C78:$C80))</f>
        <v>0.77883479997298</v>
      </c>
      <c r="E80" s="6" t="n">
        <f aca="false">IF(ROW()&lt;14,"",STDEV($C69:$C80))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IF(OR($B81="",$B80=""),"",LN($B81/$B80)*100)</f>
        <v>1.0077334481346</v>
      </c>
      <c r="D81" s="6" t="n">
        <f aca="false">IF(ROW()&lt;5,"",STDEV($C79:$C81))</f>
        <v>1.36299604606986</v>
      </c>
      <c r="E81" s="6" t="n">
        <f aca="false">IF(ROW()&lt;14,"",STDEV($C70:$C81))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IF(OR($B82="",$B81=""),"",LN($B82/$B81)*100)</f>
        <v>-1.1698539728232</v>
      </c>
      <c r="D82" s="6" t="n">
        <f aca="false">IF(ROW()&lt;5,"",STDEV($C80:$C82))</f>
        <v>1.10818981182807</v>
      </c>
      <c r="E82" s="6" t="n">
        <f aca="false">IF(ROW()&lt;14,"",STDEV($C71:$C82))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IF(OR($B83="",$B82=""),"",LN($B83/$B82)*100)</f>
        <v>-0.495335968210093</v>
      </c>
      <c r="D83" s="6" t="n">
        <f aca="false">IF(ROW()&lt;5,"",STDEV($C81:$C83))</f>
        <v>1.11475551765186</v>
      </c>
      <c r="E83" s="6" t="n">
        <f aca="false">IF(ROW()&lt;14,"",STDEV($C72:$C83))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IF(OR($B84="",$B83=""),"",LN($B84/$B83)*100)</f>
        <v>-0.673013732465595</v>
      </c>
      <c r="D84" s="6" t="n">
        <f aca="false">IF(ROW()&lt;5,"",STDEV($C82:$C84))</f>
        <v>0.349617445907353</v>
      </c>
      <c r="E84" s="6" t="n">
        <f aca="false">IF(ROW()&lt;14,"",STDEV($C73:$C84))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IF(OR($B85="",$B84=""),"",LN($B85/$B84)*100)</f>
        <v>-2.55239913511018</v>
      </c>
      <c r="D85" s="6" t="n">
        <f aca="false">IF(ROW()&lt;5,"",STDEV($C83:$C85))</f>
        <v>1.13982219024149</v>
      </c>
      <c r="E85" s="6" t="n">
        <f aca="false">IF(ROW()&lt;14,"",STDEV($C74:$C85))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IF(OR($B86="",$B85=""),"",LN($B86/$B85)*100)</f>
        <v>-3.805505778785</v>
      </c>
      <c r="D86" s="6" t="n">
        <f aca="false">IF(ROW()&lt;5,"",STDEV($C84:$C86))</f>
        <v>1.5766458158778</v>
      </c>
      <c r="E86" s="6" t="n">
        <f aca="false">IF(ROW()&lt;14,"",STDEV($C75:$C86))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IF(OR($B87="",$B86=""),"",LN($B87/$B86)*100)</f>
        <v>-2.4183132367766</v>
      </c>
      <c r="D87" s="6" t="n">
        <f aca="false">IF(ROW()&lt;5,"",STDEV($C85:$C87))</f>
        <v>0.765131626710682</v>
      </c>
      <c r="E87" s="6" t="n">
        <f aca="false">IF(ROW()&lt;14,"",STDEV($C76:$C87))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IF(OR($B88="",$B87=""),"",LN($B88/$B87)*100)</f>
        <v>1.45798915985968</v>
      </c>
      <c r="D88" s="6" t="n">
        <f aca="false">IF(ROW()&lt;5,"",STDEV($C86:$C88))</f>
        <v>2.72807631821124</v>
      </c>
      <c r="E88" s="6" t="n">
        <f aca="false">IF(ROW()&lt;14,"",STDEV($C77:$C88))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IF(OR($B89="",$B88=""),"",LN($B89/$B88)*100)</f>
        <v>-2.07418175244604</v>
      </c>
      <c r="D89" s="6" t="n">
        <f aca="false">IF(ROW()&lt;5,"",STDEV($C87:$C89))</f>
        <v>2.14555269112702</v>
      </c>
      <c r="E89" s="6" t="n">
        <f aca="false">IF(ROW()&lt;14,"",STDEV($C78:$C89))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IF(OR($B90="",$B89=""),"",LN($B90/$B89)*100)</f>
        <v>-0.255868784113634</v>
      </c>
      <c r="D90" s="6" t="n">
        <f aca="false">IF(ROW()&lt;5,"",STDEV($C88:$C90))</f>
        <v>1.76634285350008</v>
      </c>
      <c r="E90" s="6" t="n">
        <f aca="false">IF(ROW()&lt;14,"",STDEV($C79:$C90))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IF(OR($B91="",$B90=""),"",LN($B91/$B90)*100)</f>
        <v>-0.943172578436849</v>
      </c>
      <c r="D91" s="6" t="n">
        <f aca="false">IF(ROW()&lt;5,"",STDEV($C89:$C91))</f>
        <v>0.918134912761543</v>
      </c>
      <c r="E91" s="6" t="n">
        <f aca="false">IF(ROW()&lt;14,"",STDEV($C80:$C91))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IF(OR($B92="",$B91=""),"",LN($B92/$B91)*100)</f>
        <v>-4.93285672526802</v>
      </c>
      <c r="D92" s="6" t="n">
        <f aca="false">IF(ROW()&lt;5,"",STDEV($C90:$C92))</f>
        <v>2.52534427682216</v>
      </c>
      <c r="E92" s="6" t="n">
        <f aca="false">IF(ROW()&lt;14,"",STDEV($C81:$C92))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IF(OR($B93="",$B92=""),"",LN($B93/$B92)*100)</f>
        <v>-0.0119219109325181</v>
      </c>
      <c r="D93" s="6" t="n">
        <f aca="false">IF(ROW()&lt;5,"",STDEV($C91:$C93))</f>
        <v>2.61407749324507</v>
      </c>
      <c r="E93" s="6" t="n">
        <f aca="false">IF(ROW()&lt;14,"",STDEV($C82:$C93))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IF(OR($B94="",$B93=""),"",LN($B94/$B93)*100)</f>
        <v>0.131439120860782</v>
      </c>
      <c r="D94" s="6" t="n">
        <f aca="false">IF(ROW()&lt;5,"",STDEV($C92:$C94))</f>
        <v>2.88337892785223</v>
      </c>
      <c r="E94" s="6" t="n">
        <f aca="false">IF(ROW()&lt;14,"",STDEV($C83:$C94))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IF(OR($B95="",$B94=""),"",LN($B95/$B94)*100)</f>
        <v>-0.182881605112033</v>
      </c>
      <c r="D95" s="6" t="n">
        <f aca="false">IF(ROW()&lt;5,"",STDEV($C93:$C95))</f>
        <v>0.157362173158434</v>
      </c>
      <c r="E95" s="6" t="n">
        <f aca="false">IF(ROW()&lt;14,"",STDEV($C84:$C95))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IF(OR($B96="",$B95=""),"",LN($B96/$B95)*100)</f>
        <v>-5.8937275593325</v>
      </c>
      <c r="D96" s="6" t="n">
        <f aca="false">IF(ROW()&lt;5,"",STDEV($C94:$C96))</f>
        <v>3.39153830770355</v>
      </c>
      <c r="E96" s="6" t="n">
        <f aca="false">IF(ROW()&lt;14,"",STDEV($C85:$C96))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IF(OR($B97="",$B96=""),"",LN($B97/$B96)*100)</f>
        <v>-5.9805939286053</v>
      </c>
      <c r="D97" s="6" t="n">
        <f aca="false">IF(ROW()&lt;5,"",STDEV($C95:$C97))</f>
        <v>3.32251850922692</v>
      </c>
      <c r="E97" s="6" t="n">
        <f aca="false">IF(ROW()&lt;14,"",STDEV($C86:$C97))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IF(OR($B98="",$B97=""),"",LN($B98/$B97)*100)</f>
        <v>0.651514953142455</v>
      </c>
      <c r="D98" s="6" t="n">
        <f aca="false">IF(ROW()&lt;5,"",STDEV($C96:$C98))</f>
        <v>3.80422163594993</v>
      </c>
      <c r="E98" s="6" t="n">
        <f aca="false">IF(ROW()&lt;14,"",STDEV($C87:$C98))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IF(OR($B99="",$B98=""),"",LN($B99/$B98)*100)</f>
        <v>2.71085342454731</v>
      </c>
      <c r="D99" s="6" t="n">
        <f aca="false">IF(ROW()&lt;5,"",STDEV($C97:$C99))</f>
        <v>4.5417874647872</v>
      </c>
      <c r="E99" s="6" t="n">
        <f aca="false">IF(ROW()&lt;14,"",STDEV($C88:$C99))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IF(OR($B100="",$B99=""),"",LN($B100/$B99)*100)</f>
        <v>-0.505790450917729</v>
      </c>
      <c r="D100" s="6" t="n">
        <f aca="false">IF(ROW()&lt;5,"",STDEV($C98:$C100))</f>
        <v>1.62926509811642</v>
      </c>
      <c r="E100" s="6" t="n">
        <f aca="false">IF(ROW()&lt;14,"",STDEV($C89:$C100))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IF(OR($B101="",$B100=""),"",LN($B101/$B100)*100)</f>
        <v>4.08187649295606</v>
      </c>
      <c r="D101" s="6" t="n">
        <f aca="false">IF(ROW()&lt;5,"",STDEV($C99:$C101))</f>
        <v>2.35489525823648</v>
      </c>
      <c r="E101" s="6" t="n">
        <f aca="false">IF(ROW()&lt;14,"",STDEV($C90:$C101))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IF(OR($B102="",$B101=""),"",LN($B102/$B101)*100)</f>
        <v>-3.06515459484771</v>
      </c>
      <c r="D102" s="6" t="n">
        <f aca="false">IF(ROW()&lt;5,"",STDEV($C100:$C102))</f>
        <v>3.62116662092896</v>
      </c>
      <c r="E102" s="6" t="n">
        <f aca="false">IF(ROW()&lt;14,"",STDEV($C91:$C102))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IF(OR($B103="",$B102=""),"",LN($B103/$B102)*100)</f>
        <v>-2.17764014430102</v>
      </c>
      <c r="D103" s="6" t="n">
        <f aca="false">IF(ROW()&lt;5,"",STDEV($C101:$C103))</f>
        <v>3.89549491511372</v>
      </c>
      <c r="E103" s="6" t="n">
        <f aca="false">IF(ROW()&lt;14,"",STDEV($C92:$C103))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IF(OR($B104="",$B103=""),"",LN($B104/$B103)*100)</f>
        <v>0.072997225384285</v>
      </c>
      <c r="D104" s="6" t="n">
        <f aca="false">IF(ROW()&lt;5,"",STDEV($C102:$C104))</f>
        <v>1.61766536076834</v>
      </c>
      <c r="E104" s="6" t="n">
        <f aca="false">IF(ROW()&lt;14,"",STDEV($C93:$C104))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IF(OR($B105="",$B104=""),"",LN($B105/$B104)*100)</f>
        <v>-2.99652809859844</v>
      </c>
      <c r="D105" s="6" t="n">
        <f aca="false">IF(ROW()&lt;5,"",STDEV($C103:$C105))</f>
        <v>1.58944076989826</v>
      </c>
      <c r="E105" s="6" t="n">
        <f aca="false">IF(ROW()&lt;14,"",STDEV($C94:$C105))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IF(OR($B106="",$B105=""),"",LN($B106/$B105)*100)</f>
        <v>1.70023146715485</v>
      </c>
      <c r="D106" s="6" t="n">
        <f aca="false">IF(ROW()&lt;5,"",STDEV($C104:$C106))</f>
        <v>2.38500270477334</v>
      </c>
      <c r="E106" s="6" t="n">
        <f aca="false">IF(ROW()&lt;14,"",STDEV($C95:$C106))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IF(OR($B107="",$B106=""),"",LN($B107/$B106)*100)</f>
        <v>2.30323900493817</v>
      </c>
      <c r="D107" s="6" t="n">
        <f aca="false">IF(ROW()&lt;5,"",STDEV($C105:$C107))</f>
        <v>2.90145652678235</v>
      </c>
      <c r="E107" s="6" t="n">
        <f aca="false">IF(ROW()&lt;14,"",STDEV($C96:$C107))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IF(OR($B108="",$B107=""),"",LN($B108/$B107)*100)</f>
        <v>-0.678052872689304</v>
      </c>
      <c r="D108" s="6" t="n">
        <f aca="false">IF(ROW()&lt;5,"",STDEV($C106:$C108))</f>
        <v>1.57628020729073</v>
      </c>
      <c r="E108" s="6" t="n">
        <f aca="false">IF(ROW()&lt;14,"",STDEV($C97:$C108))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IF(OR($B109="",$B108=""),"",LN($B109/$B108)*100)</f>
        <v>-0.696188305089656</v>
      </c>
      <c r="D109" s="6" t="n">
        <f aca="false">IF(ROW()&lt;5,"",STDEV($C107:$C109))</f>
        <v>1.72650872869966</v>
      </c>
      <c r="E109" s="6" t="n">
        <f aca="false">IF(ROW()&lt;14,"",STDEV($C98:$C109))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IF(OR($B110="",$B109=""),"",LN($B110/$B109)*100)</f>
        <v>-1.63916463740936</v>
      </c>
      <c r="D110" s="6" t="n">
        <f aca="false">IF(ROW()&lt;5,"",STDEV($C108:$C110))</f>
        <v>0.549737677064672</v>
      </c>
      <c r="E110" s="6" t="n">
        <f aca="false">IF(ROW()&lt;14,"",STDEV($C99:$C110))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IF(OR($B111="",$B110=""),"",LN($B111/$B110)*100)</f>
        <v>0.249976326926377</v>
      </c>
      <c r="D111" s="6" t="n">
        <f aca="false">IF(ROW()&lt;5,"",STDEV($C109:$C111))</f>
        <v>0.944570930575052</v>
      </c>
      <c r="E111" s="6" t="n">
        <f aca="false">IF(ROW()&lt;14,"",STDEV($C100:$C111))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IF(OR($B112="",$B111=""),"",LN($B112/$B111)*100)</f>
        <v>-0.502333300517367</v>
      </c>
      <c r="D112" s="6" t="n">
        <f aca="false">IF(ROW()&lt;5,"",STDEV($C110:$C112))</f>
        <v>0.95107034853856</v>
      </c>
      <c r="E112" s="6" t="n">
        <f aca="false">IF(ROW()&lt;14,"",STDEV($C101:$C112))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IF(OR($B113="",$B112=""),"",LN($B113/$B112)*100)</f>
        <v>-1.26441190729532</v>
      </c>
      <c r="D113" s="6" t="n">
        <f aca="false">IF(ROW()&lt;5,"",STDEV($C111:$C113))</f>
        <v>0.757199368550789</v>
      </c>
      <c r="E113" s="6" t="n">
        <f aca="false">IF(ROW()&lt;14,"",STDEV($C102:$C113))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IF(OR($B114="",$B113=""),"",LN($B114/$B113)*100)</f>
        <v>-2.04018496700234</v>
      </c>
      <c r="D114" s="6" t="n">
        <f aca="false">IF(ROW()&lt;5,"",STDEV($C112:$C114))</f>
        <v>0.76893599551441</v>
      </c>
      <c r="E114" s="6" t="n">
        <f aca="false">IF(ROW()&lt;14,"",STDEV($C103:$C114))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IF(OR($B115="",$B114=""),"",LN($B115/$B114)*100)</f>
        <v>-5.79711857220378</v>
      </c>
      <c r="D115" s="6" t="n">
        <f aca="false">IF(ROW()&lt;5,"",STDEV($C113:$C115))</f>
        <v>2.42424571307464</v>
      </c>
      <c r="E115" s="6" t="n">
        <f aca="false">IF(ROW()&lt;14,"",STDEV($C104:$C115))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IF(OR($B116="",$B115=""),"",LN($B116/$B115)*100)</f>
        <v>-1.78398313651627</v>
      </c>
      <c r="D116" s="6" t="n">
        <f aca="false">IF(ROW()&lt;5,"",STDEV($C114:$C116))</f>
        <v>2.24668071893505</v>
      </c>
      <c r="E116" s="6" t="n">
        <f aca="false">IF(ROW()&lt;14,"",STDEV($C105:$C116))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IF(OR($B117="",$B116=""),"",LN($B117/$B116)*100)</f>
        <v>0.082586469690026</v>
      </c>
      <c r="D117" s="6" t="n">
        <f aca="false">IF(ROW()&lt;5,"",STDEV($C115:$C117))</f>
        <v>3.00444863215797</v>
      </c>
      <c r="E117" s="6" t="n">
        <f aca="false">IF(ROW()&lt;14,"",STDEV($C106:$C117))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IF(OR($B118="",$B117=""),"",LN($B118/$B117)*100)</f>
        <v>2.84185555026446</v>
      </c>
      <c r="D118" s="6" t="n">
        <f aca="false">IF(ROW()&lt;5,"",STDEV($C116:$C118))</f>
        <v>2.32723124155238</v>
      </c>
      <c r="E118" s="6" t="n">
        <f aca="false">IF(ROW()&lt;14,"",STDEV($C107:$C118))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IF(OR($B119="",$B118=""),"",LN($B119/$B118)*100)</f>
        <v>16.1964400030657</v>
      </c>
      <c r="D119" s="6" t="n">
        <f aca="false">IF(ROW()&lt;5,"",STDEV($C117:$C119))</f>
        <v>8.61795381225631</v>
      </c>
      <c r="E119" s="6" t="n">
        <f aca="false">IF(ROW()&lt;14,"",STDEV($C108:$C119))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IF(OR($B120="",$B119=""),"",LN($B120/$B119)*100)</f>
        <v>-5.82896384800064</v>
      </c>
      <c r="D120" s="6" t="n">
        <f aca="false">IF(ROW()&lt;5,"",STDEV($C118:$C120))</f>
        <v>11.0953928107338</v>
      </c>
      <c r="E120" s="6" t="n">
        <f aca="false">IF(ROW()&lt;14,"",STDEV($C109:$C120))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IF(OR($B121="",$B120=""),"",LN($B121/$B120)*100)</f>
        <v>-3.55212041800086</v>
      </c>
      <c r="D121" s="6" t="n">
        <f aca="false">IF(ROW()&lt;5,"",STDEV($C119:$C121))</f>
        <v>12.1127210644555</v>
      </c>
      <c r="E121" s="6" t="n">
        <f aca="false">IF(ROW()&lt;14,"",STDEV($C110:$C121))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IF(OR($B122="",$B121=""),"",LN($B122/$B121)*100)</f>
        <v>0.392578128297169</v>
      </c>
      <c r="D122" s="6" t="n">
        <f aca="false">IF(ROW()&lt;5,"",STDEV($C120:$C122))</f>
        <v>3.14781001091062</v>
      </c>
      <c r="E122" s="6" t="n">
        <f aca="false">IF(ROW()&lt;14,"",STDEV($C111:$C122))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IF(OR($B123="",$B122=""),"",LN($B123/$B122)*100)</f>
        <v>5.36267377088092</v>
      </c>
      <c r="D123" s="6" t="n">
        <f aca="false">IF(ROW()&lt;5,"",STDEV($C121:$C123))</f>
        <v>4.46721488080504</v>
      </c>
      <c r="E123" s="6" t="n">
        <f aca="false">IF(ROW()&lt;14,"",STDEV($C112:$C123))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IF(OR($B124="",$B123=""),"",LN($B124/$B123)*100)</f>
        <v>-4.36146507908793</v>
      </c>
      <c r="D124" s="6" t="n">
        <f aca="false">IF(ROW()&lt;5,"",STDEV($C122:$C124))</f>
        <v>4.8624694324247</v>
      </c>
      <c r="E124" s="6" t="n">
        <f aca="false">IF(ROW()&lt;14,"",STDEV($C113:$C124))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IF(OR($B125="",$B124=""),"",LN($B125/$B124)*100)</f>
        <v>-2.56691407716598</v>
      </c>
      <c r="D125" s="6" t="n">
        <f aca="false">IF(ROW()&lt;5,"",STDEV($C123:$C125))</f>
        <v>5.17457974319116</v>
      </c>
      <c r="E125" s="6" t="n">
        <f aca="false">IF(ROW()&lt;14,"",STDEV($C114:$C125))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IF(OR($B126="",$B125=""),"",LN($B126/$B125)*100)</f>
        <v>-1.04665092889411</v>
      </c>
      <c r="D126" s="6" t="n">
        <f aca="false">IF(ROW()&lt;5,"",STDEV($C124:$C126))</f>
        <v>1.659297350729</v>
      </c>
      <c r="E126" s="6" t="n">
        <f aca="false">IF(ROW()&lt;14,"",STDEV($C115:$C126))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IF(OR($B127="",$B126=""),"",LN($B127/$B126)*100)</f>
        <v>3.19719500353687</v>
      </c>
      <c r="D127" s="6" t="n">
        <f aca="false">IF(ROW()&lt;5,"",STDEV($C125:$C127))</f>
        <v>2.98737292149378</v>
      </c>
      <c r="E127" s="6" t="n">
        <f aca="false">IF(ROW()&lt;14,"",STDEV($C116:$C127))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IF(OR($B128="",$B127=""),"",LN($B128/$B127)*100)</f>
        <v>-1.46167797757907</v>
      </c>
      <c r="D128" s="6" t="n">
        <f aca="false">IF(ROW()&lt;5,"",STDEV($C126:$C128))</f>
        <v>2.57835778495807</v>
      </c>
      <c r="E128" s="6" t="n">
        <f aca="false">IF(ROW()&lt;14,"",STDEV($C117:$C128))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IF(OR($B129="",$B128=""),"",LN($B129/$B128)*100)</f>
        <v>-2.57588929549234</v>
      </c>
      <c r="D129" s="6" t="n">
        <f aca="false">IF(ROW()&lt;5,"",STDEV($C127:$C129))</f>
        <v>3.06254432998762</v>
      </c>
      <c r="E129" s="6" t="n">
        <f aca="false">IF(ROW()&lt;14,"",STDEV($C118:$C129))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IF(OR($B130="",$B129=""),"",LN($B130/$B129)*100)</f>
        <v>-0.326669451287245</v>
      </c>
      <c r="D130" s="6" t="n">
        <f aca="false">IF(ROW()&lt;5,"",STDEV($C128:$C130))</f>
        <v>1.12462594694763</v>
      </c>
      <c r="E130" s="6" t="n">
        <f aca="false">IF(ROW()&lt;14,"",STDEV($C119:$C130))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IF(OR($B131="",$B130=""),"",LN($B131/$B130)*100)</f>
        <v>-1.32539314321256</v>
      </c>
      <c r="D131" s="6" t="n">
        <f aca="false">IF(ROW()&lt;5,"",STDEV($C129:$C131))</f>
        <v>1.12695604374834</v>
      </c>
      <c r="E131" s="6" t="n">
        <f aca="false">IF(ROW()&lt;14,"",STDEV($C120:$C131))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IF(OR($B132="",$B131=""),"",LN($B132/$B131)*100)</f>
        <v>-1.35437629451948</v>
      </c>
      <c r="D132" s="6" t="n">
        <f aca="false">IF(ROW()&lt;5,"",STDEV($C130:$C132))</f>
        <v>0.585159578163508</v>
      </c>
      <c r="E132" s="6" t="n">
        <f aca="false">IF(ROW()&lt;14,"",STDEV($C121:$C132))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IF(OR($B133="",$B132=""),"",LN($B133/$B132)*100)</f>
        <v>1.91643496682725</v>
      </c>
      <c r="D133" s="6" t="n">
        <f aca="false">IF(ROW()&lt;5,"",STDEV($C131:$C133))</f>
        <v>1.88009289776935</v>
      </c>
      <c r="E133" s="6" t="n">
        <f aca="false">IF(ROW()&lt;14,"",STDEV($C122:$C133))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IF(OR($B134="",$B133=""),"",LN($B134/$B133)*100)</f>
        <v>-2.22144821937714</v>
      </c>
      <c r="D134" s="6" t="n">
        <f aca="false">IF(ROW()&lt;5,"",STDEV($C132:$C134))</f>
        <v>2.18220443943359</v>
      </c>
      <c r="E134" s="6" t="n">
        <f aca="false">IF(ROW()&lt;14,"",STDEV($C123:$C134))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IF(OR($B135="",$B134=""),"",LN($B135/$B134)*100)</f>
        <v>-1.28775300236011</v>
      </c>
      <c r="D135" s="6" t="n">
        <f aca="false">IF(ROW()&lt;5,"",STDEV($C133:$C135))</f>
        <v>2.17027972708737</v>
      </c>
      <c r="E135" s="6" t="n">
        <f aca="false">IF(ROW()&lt;14,"",STDEV($C124:$C135))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IF(OR($B136="",$B135=""),"",LN($B136/$B135)*100)</f>
        <v>0.357177714644906</v>
      </c>
      <c r="D136" s="6" t="n">
        <f aca="false">IF(ROW()&lt;5,"",STDEV($C134:$C136))</f>
        <v>1.30555834349639</v>
      </c>
      <c r="E136" s="6" t="n">
        <f aca="false">IF(ROW()&lt;14,"",STDEV($C125:$C136))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IF(OR($B137="",$B136=""),"",LN($B137/$B136)*100)</f>
        <v>-1.03055340762553</v>
      </c>
      <c r="D137" s="6" t="n">
        <f aca="false">IF(ROW()&lt;5,"",STDEV($C135:$C137))</f>
        <v>0.884848985514498</v>
      </c>
      <c r="E137" s="6" t="n">
        <f aca="false">IF(ROW()&lt;14,"",STDEV($C126:$C137))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IF(OR($B138="",$B137=""),"",LN($B138/$B137)*100)</f>
        <v>4.4192396571595</v>
      </c>
      <c r="D138" s="6" t="n">
        <f aca="false">IF(ROW()&lt;5,"",STDEV($C136:$C138))</f>
        <v>2.83214845837109</v>
      </c>
      <c r="E138" s="6" t="n">
        <f aca="false">IF(ROW()&lt;14,"",STDEV($C127:$C138))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IF(OR($B139="",$B138=""),"",LN($B139/$B138)*100)</f>
        <v>-0.697335029748531</v>
      </c>
      <c r="D139" s="6" t="n">
        <f aca="false">IF(ROW()&lt;5,"",STDEV($C137:$C139))</f>
        <v>3.05479446834649</v>
      </c>
      <c r="E139" s="6" t="n">
        <f aca="false">IF(ROW()&lt;14,"",STDEV($C128:$C139))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IF(OR($B140="",$B139=""),"",LN($B140/$B139)*100)</f>
        <v>-0.995376752383034</v>
      </c>
      <c r="D140" s="6" t="n">
        <f aca="false">IF(ROW()&lt;5,"",STDEV($C138:$C140))</f>
        <v>3.04374320690895</v>
      </c>
      <c r="E140" s="6" t="n">
        <f aca="false">IF(ROW()&lt;14,"",STDEV($C129:$C140))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IF(OR($B141="",$B140=""),"",LN($B141/$B140)*100)</f>
        <v>1.69231614482731</v>
      </c>
      <c r="D141" s="6" t="n">
        <f aca="false">IF(ROW()&lt;5,"",STDEV($C139:$C141))</f>
        <v>1.47325912601379</v>
      </c>
      <c r="E141" s="6" t="n">
        <f aca="false">IF(ROW()&lt;14,"",STDEV($C130:$C141))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IF(OR($B142="",$B141=""),"",LN($B142/$B141)*100)</f>
        <v>4.44954395855907</v>
      </c>
      <c r="D142" s="6" t="n">
        <f aca="false">IF(ROW()&lt;5,"",STDEV($C140:$C142))</f>
        <v>2.72253435469531</v>
      </c>
      <c r="E142" s="6" t="n">
        <f aca="false">IF(ROW()&lt;14,"",STDEV($C131:$C142))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IF(OR($B143="",$B142=""),"",LN($B143/$B142)*100)</f>
        <v>-0.778213322199913</v>
      </c>
      <c r="D143" s="6" t="n">
        <f aca="false">IF(ROW()&lt;5,"",STDEV($C141:$C143))</f>
        <v>2.61518856078596</v>
      </c>
      <c r="E143" s="6" t="n">
        <f aca="false">IF(ROW()&lt;14,"",STDEV($C132:$C143))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IF(OR($B144="",$B143=""),"",LN($B144/$B143)*100)</f>
        <v>-1.81710392832371</v>
      </c>
      <c r="D144" s="6" t="n">
        <f aca="false">IF(ROW()&lt;5,"",STDEV($C142:$C144))</f>
        <v>3.35856158735138</v>
      </c>
      <c r="E144" s="6" t="n">
        <f aca="false">IF(ROW()&lt;14,"",STDEV($C133:$C144))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IF(OR($B145="",$B144=""),"",LN($B145/$B144)*100)</f>
        <v>-0.487744803401117</v>
      </c>
      <c r="D145" s="6" t="n">
        <f aca="false">IF(ROW()&lt;5,"",STDEV($C143:$C145))</f>
        <v>0.69891121693202</v>
      </c>
      <c r="E145" s="6" t="n">
        <f aca="false">IF(ROW()&lt;14,"",STDEV($C134:$C145))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IF(OR($B146="",$B145=""),"",LN($B146/$B145)*100)</f>
        <v>1.85492188845688</v>
      </c>
      <c r="D146" s="6" t="n">
        <f aca="false">IF(ROW()&lt;5,"",STDEV($C144:$C146))</f>
        <v>1.85916901290419</v>
      </c>
      <c r="E146" s="6" t="n">
        <f aca="false">IF(ROW()&lt;14,"",STDEV($C135:$C146))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IF(OR($B147="",$B146=""),"",LN($B147/$B146)*100)</f>
        <v>4.95947886861316</v>
      </c>
      <c r="D147" s="6" t="n">
        <f aca="false">IF(ROW()&lt;5,"",STDEV($C145:$C147))</f>
        <v>2.73247772193208</v>
      </c>
      <c r="E147" s="6" t="n">
        <f aca="false">IF(ROW()&lt;14,"",STDEV($C136:$C147))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IF(OR($B148="",$B147=""),"",LN($B148/$B147)*100)</f>
        <v>-0.420813910550384</v>
      </c>
      <c r="D148" s="6" t="n">
        <f aca="false">IF(ROW()&lt;5,"",STDEV($C146:$C148))</f>
        <v>2.70076525758409</v>
      </c>
      <c r="E148" s="6" t="n">
        <f aca="false">IF(ROW()&lt;14,"",STDEV($C137:$C148))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IF(OR($B149="",$B148=""),"",LN($B149/$B148)*100)</f>
        <v>2.89458354718984</v>
      </c>
      <c r="D149" s="6" t="n">
        <f aca="false">IF(ROW()&lt;5,"",STDEV($C147:$C149))</f>
        <v>2.71425875027743</v>
      </c>
      <c r="E149" s="6" t="n">
        <f aca="false">IF(ROW()&lt;14,"",STDEV($C138:$C149))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IF(OR($B150="",$B149=""),"",LN($B150/$B149)*100)</f>
        <v>3.82752420279639</v>
      </c>
      <c r="D150" s="6" t="n">
        <f aca="false">IF(ROW()&lt;5,"",STDEV($C148:$C150))</f>
        <v>2.23273432122248</v>
      </c>
      <c r="E150" s="6" t="n">
        <f aca="false">IF(ROW()&lt;14,"",STDEV($C139:$C150))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IF(OR($B151="",$B150=""),"",LN($B151/$B150)*100)</f>
        <v>2.10323983334763</v>
      </c>
      <c r="D151" s="6" t="n">
        <f aca="false">IF(ROW()&lt;5,"",STDEV($C149:$C151))</f>
        <v>0.863110627039053</v>
      </c>
      <c r="E151" s="6" t="n">
        <f aca="false">IF(ROW()&lt;14,"",STDEV($C140:$C151))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IF(OR($B152="",$B151=""),"",LN($B152/$B151)*100)</f>
        <v>-2.48613523614704</v>
      </c>
      <c r="D152" s="6" t="n">
        <f aca="false">IF(ROW()&lt;5,"",STDEV($C150:$C152))</f>
        <v>3.26337799491529</v>
      </c>
      <c r="E152" s="6" t="n">
        <f aca="false">IF(ROW()&lt;14,"",STDEV($C141:$C152))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IF(OR($B153="",$B152=""),"",LN($B153/$B152)*100)</f>
        <v>-0.965525728265579</v>
      </c>
      <c r="D153" s="6" t="n">
        <f aca="false">IF(ROW()&lt;5,"",STDEV($C151:$C153))</f>
        <v>2.33780305971589</v>
      </c>
      <c r="E153" s="6" t="n">
        <f aca="false">IF(ROW()&lt;14,"",STDEV($C142:$C153))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IF(OR($B154="",$B153=""),"",LN($B154/$B153)*100)</f>
        <v>2.81382638858509</v>
      </c>
      <c r="D154" s="6" t="n">
        <f aca="false">IF(ROW()&lt;5,"",STDEV($C152:$C154))</f>
        <v>2.7290214645008</v>
      </c>
      <c r="E154" s="6" t="n">
        <f aca="false">IF(ROW()&lt;14,"",STDEV($C143:$C154))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IF(OR($B155="",$B154=""),"",LN($B155/$B154)*100)</f>
        <v>-0.811463977905334</v>
      </c>
      <c r="D155" s="6" t="n">
        <f aca="false">IF(ROW()&lt;5,"",STDEV($C153:$C155))</f>
        <v>2.13892370471054</v>
      </c>
      <c r="E155" s="6" t="n">
        <f aca="false">IF(ROW()&lt;14,"",STDEV($C144:$C155))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IF(OR($B156="",$B155=""),"",LN($B156/$B155)*100)</f>
        <v>1.21798676244252</v>
      </c>
      <c r="D156" s="6" t="n">
        <f aca="false">IF(ROW()&lt;5,"",STDEV($C154:$C156))</f>
        <v>1.8169619635183</v>
      </c>
      <c r="E156" s="6" t="n">
        <f aca="false">IF(ROW()&lt;14,"",STDEV($C145:$C156))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IF(OR($B157="",$B156=""),"",LN($B157/$B156)*100)</f>
        <v>3.55620545403232</v>
      </c>
      <c r="D157" s="6" t="n">
        <f aca="false">IF(ROW()&lt;5,"",STDEV($C155:$C157))</f>
        <v>2.18565296207948</v>
      </c>
      <c r="E157" s="6" t="n">
        <f aca="false">IF(ROW()&lt;14,"",STDEV($C146:$C157))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</v>
      </c>
      <c r="C158" s="6" t="n">
        <f aca="false">IF(OR($B158="",$B157=""),"",LN($B158/$B157)*100)</f>
        <v>7.20972691527601</v>
      </c>
      <c r="D158" s="6" t="n">
        <f aca="false">IF(ROW()&lt;5,"",STDEV($C156:$C158))</f>
        <v>3.01983541981306</v>
      </c>
      <c r="E158" s="6" t="n">
        <f aca="false">IF(ROW()&lt;14,"",STDEV($C147:$C158))</f>
        <v>2.80307869271783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IF(OR($B159="",$B158=""),"",LN($B159/$B158)*100)</f>
        <v>0.589781900898942</v>
      </c>
      <c r="D159" s="6" t="n">
        <f aca="false">IF(ROW()&lt;5,"",STDEV($C157:$C159))</f>
        <v>3.31591012538359</v>
      </c>
      <c r="E159" s="6" t="n">
        <f aca="false">IF(ROW()&lt;14,"",STDEV($C148:$C159))</f>
        <v>2.66278972398218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IF(OR($B160="",$B159=""),"",LN($B160/$B159)*100)</f>
        <v>-5.2676861849554</v>
      </c>
      <c r="D160" s="6" t="n">
        <f aca="false">IF(ROW()&lt;5,"",STDEV($C158:$C160))</f>
        <v>6.24258816576378</v>
      </c>
      <c r="E160" s="6" t="n">
        <f aca="false">IF(ROW()&lt;14,"",STDEV($C149:$C160))</f>
        <v>3.29440852204667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IF(OR($B161="",$B160=""),"",LN($B161/$B160)*100)</f>
        <v>-3.69997193403231</v>
      </c>
      <c r="D161" s="6" t="n">
        <f aca="false">IF(ROW()&lt;5,"",STDEV($C159:$C161))</f>
        <v>3.03231617507302</v>
      </c>
      <c r="E161" s="6" t="n">
        <f aca="false">IF(ROW()&lt;14,"",STDEV($C150:$C161))</f>
        <v>3.53178444444771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IF(OR($B162="",$B161=""),"",LN($B162/$B161)*100)</f>
        <v>8.04762406341038</v>
      </c>
      <c r="D162" s="6" t="n">
        <f aca="false">IF(ROW()&lt;5,"",STDEV($C160:$C162))</f>
        <v>7.27737620645785</v>
      </c>
      <c r="E162" s="6" t="n">
        <f aca="false">IF(ROW()&lt;14,"",STDEV($C151:$C162))</f>
        <v>4.04688852547126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IF(OR($B163="",$B162=""),"",LN($B163/$B162)*100)</f>
        <v>0.188159644404626</v>
      </c>
      <c r="D163" s="6" t="n">
        <f aca="false">IF(ROW()&lt;5,"",STDEV($C161:$C163))</f>
        <v>5.98462975524228</v>
      </c>
      <c r="E163" s="6" t="n">
        <f aca="false">IF(ROW()&lt;14,"",STDEV($C152:$C163))</f>
        <v>4.03828131176143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IF(OR($B164="",$B163=""),"",LN($B164/$B163)*100)</f>
        <v>-1.50781121526923</v>
      </c>
      <c r="D164" s="6" t="n">
        <f aca="false">IF(ROW()&lt;5,"",STDEV($C162:$C164))</f>
        <v>5.09826508849686</v>
      </c>
      <c r="E164" s="6" t="n">
        <f aca="false">IF(ROW()&lt;14,"",STDEV($C153:$C164))</f>
        <v>3.9738142725363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IF(OR($B165="",$B164=""),"",LN($B165/$B164)*100)</f>
        <v>2.46160262041768</v>
      </c>
      <c r="D165" s="6" t="n">
        <f aca="false">IF(ROW()&lt;5,"",STDEV($C163:$C165))</f>
        <v>1.99169552228701</v>
      </c>
      <c r="E165" s="6" t="n">
        <f aca="false">IF(ROW()&lt;14,"",STDEV($C154:$C165))</f>
        <v>3.94688350947306</v>
      </c>
    </row>
    <row r="166" customFormat="false" ht="15" hidden="false" customHeight="true" outlineLevel="0" collapsed="false">
      <c r="A166" s="6" t="s">
        <v>187</v>
      </c>
      <c r="B166" s="6" t="n">
        <v>378.945454545454</v>
      </c>
      <c r="C166" s="6" t="n">
        <f aca="false">IF(OR($B166="",$B165=""),"",LN($B166/$B165)*100)</f>
        <v>5.19342858432615</v>
      </c>
      <c r="D166" s="6" t="n">
        <f aca="false">IF(ROW()&lt;5,"",STDEV($C164:$C166))</f>
        <v>3.36961259266077</v>
      </c>
      <c r="E166" s="6" t="n">
        <f aca="false">IF(ROW()&lt;14,"",STDEV($C155:$C166))</f>
        <v>4.09067793135212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IF(OR($B167="",$B166=""),"",LN($B167/$B166)*100)</f>
        <v>-0.00683217390907657</v>
      </c>
      <c r="D167" s="6" t="n">
        <f aca="false">IF(ROW()&lt;5,"",STDEV($C165:$C167))</f>
        <v>2.60124186318025</v>
      </c>
      <c r="E167" s="6" t="n">
        <f aca="false">IF(ROW()&lt;14,"",STDEV($C156:$C167))</f>
        <v>4.05702668365757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IF(OR($B168="",$B167=""),"",LN($B168/$B167)*100)</f>
        <v>2.85919896807971</v>
      </c>
      <c r="D168" s="6" t="n">
        <f aca="false">IF(ROW()&lt;5,"",STDEV($C166:$C168))</f>
        <v>2.60465846647415</v>
      </c>
      <c r="E168" s="6" t="n">
        <f aca="false">IF(ROW()&lt;14,"",STDEV($C157:$C168))</f>
        <v>4.07433665753406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IF(OR($B169="",$B168=""),"",LN($B169/$B168)*100)</f>
        <v>4.27808510808952</v>
      </c>
      <c r="D169" s="6" t="n">
        <f aca="false">IF(ROW()&lt;5,"",STDEV($C167:$C169))</f>
        <v>2.18280738571271</v>
      </c>
      <c r="E169" s="6" t="n">
        <f aca="false">IF(ROW()&lt;14,"",STDEV($C158:$C169))</f>
        <v>4.11044613323694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IF(OR($B170="",$B169=""),"",LN($B170/$B169)*100)</f>
        <v>1.66572011933136</v>
      </c>
      <c r="D170" s="6" t="n">
        <f aca="false">IF(ROW()&lt;5,"",STDEV($C168:$C170))</f>
        <v>1.3078022579383</v>
      </c>
      <c r="E170" s="6" t="n">
        <f aca="false">IF(ROW()&lt;14,"",STDEV($C159:$C170))</f>
        <v>3.72809547603487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IF(OR($B171="",$B170=""),"",LN($B171/$B170)*100)</f>
        <v>-2.17694433180942</v>
      </c>
      <c r="D171" s="6" t="n">
        <f aca="false">IF(ROW()&lt;5,"",STDEV($C169:$C171))</f>
        <v>3.24699671461985</v>
      </c>
      <c r="E171" s="6" t="n">
        <f aca="false">IF(ROW()&lt;14,"",STDEV($C160:$C171))</f>
        <v>3.85491647545239</v>
      </c>
    </row>
    <row r="172" customFormat="false" ht="15" hidden="false" customHeight="true" outlineLevel="0" collapsed="false">
      <c r="A172" s="6" t="s">
        <v>193</v>
      </c>
      <c r="B172" s="6" t="n">
        <v>406.667391304347</v>
      </c>
      <c r="C172" s="6" t="n">
        <f aca="false">IF(OR($B172="",$B171=""),"",LN($B172/$B171)*100)</f>
        <v>0.441107873581887</v>
      </c>
      <c r="D172" s="6" t="n">
        <f aca="false">IF(ROW()&lt;5,"",STDEV($C170:$C172))</f>
        <v>1.96298847791893</v>
      </c>
      <c r="E172" s="6" t="n">
        <f aca="false">IF(ROW()&lt;14,"",STDEV($C161:$C172))</f>
        <v>3.32680443966623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IF(OR($B173="",$B172=""),"",LN($B173/$B172)*100)</f>
        <v>-0.841411574361075</v>
      </c>
      <c r="D173" s="6" t="n">
        <f aca="false">IF(ROW()&lt;5,"",STDEV($C171:$C173))</f>
        <v>1.30911555580627</v>
      </c>
      <c r="E173" s="6" t="n">
        <f aca="false">IF(ROW()&lt;14,"",STDEV($C162:$C173))</f>
        <v>3.00949595614327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IF(OR($B174="",$B173=""),"",LN($B174/$B173)*100)</f>
        <v>-4.95147862715606</v>
      </c>
      <c r="D174" s="6" t="n">
        <f aca="false">IF(ROW()&lt;5,"",STDEV($C172:$C174))</f>
        <v>2.8171349654322</v>
      </c>
      <c r="E174" s="6" t="n">
        <f aca="false">IF(ROW()&lt;14,"",STDEV($C163:$C174))</f>
        <v>2.85933323832943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IF(OR($B175="",$B174=""),"",LN($B175/$B174)*100)</f>
        <v>2.2145493974357</v>
      </c>
      <c r="D175" s="6" t="n">
        <f aca="false">IF(ROW()&lt;5,"",STDEV($C173:$C175))</f>
        <v>3.59591217655202</v>
      </c>
      <c r="E175" s="6" t="n">
        <f aca="false">IF(ROW()&lt;14,"",STDEV($C164:$C175))</f>
        <v>2.89030628812672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IF(OR($B176="",$B175=""),"",LN($B176/$B175)*100)</f>
        <v>1.44681710903018</v>
      </c>
      <c r="D176" s="6" t="n">
        <f aca="false">IF(ROW()&lt;5,"",STDEV($C174:$C176))</f>
        <v>3.93445377071993</v>
      </c>
      <c r="E176" s="6" t="n">
        <f aca="false">IF(ROW()&lt;14,"",STDEV($C165:$C176))</f>
        <v>2.80005003904944</v>
      </c>
    </row>
    <row r="177" customFormat="false" ht="15" hidden="false" customHeight="true" outlineLevel="0" collapsed="false">
      <c r="A177" s="6" t="s">
        <v>198</v>
      </c>
      <c r="B177" s="6" t="n">
        <v>400.509523809523</v>
      </c>
      <c r="C177" s="6" t="n">
        <f aca="false">IF(OR($B177="",$B176=""),"",LN($B177/$B176)*100)</f>
        <v>0.605715202170994</v>
      </c>
      <c r="D177" s="6" t="n">
        <f aca="false">IF(ROW()&lt;5,"",STDEV($C175:$C177))</f>
        <v>0.804695879637721</v>
      </c>
      <c r="E177" s="6" t="n">
        <f aca="false">IF(ROW()&lt;14,"",STDEV($C166:$C177))</f>
        <v>2.76595907046879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IF(OR($B178="",$B177=""),"",LN($B178/$B177)*100)</f>
        <v>1.18283030028992</v>
      </c>
      <c r="D178" s="6" t="n">
        <f aca="false">IF(ROW()&lt;5,"",STDEV($C176:$C178))</f>
        <v>0.430155648067812</v>
      </c>
      <c r="E178" s="6" t="n">
        <f aca="false">IF(ROW()&lt;14,"",STDEV($C167:$C178))</f>
        <v>2.41987460807979</v>
      </c>
    </row>
    <row r="179" customFormat="false" ht="15" hidden="false" customHeight="true" outlineLevel="0" collapsed="false">
      <c r="A179" s="6" t="s">
        <v>200</v>
      </c>
      <c r="B179" s="6" t="n">
        <v>420.464285714285</v>
      </c>
      <c r="C179" s="6" t="n">
        <f aca="false">IF(OR($B179="",$B178=""),"",LN($B179/$B178)*100)</f>
        <v>3.67936938753544</v>
      </c>
      <c r="D179" s="6" t="n">
        <f aca="false">IF(ROW()&lt;5,"",STDEV($C177:$C179))</f>
        <v>1.63366251624124</v>
      </c>
      <c r="E179" s="6" t="n">
        <f aca="false">IF(ROW()&lt;14,"",STDEV($C168:$C179))</f>
        <v>2.57067685375946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IF(OR($B180="",$B179=""),"",LN($B180/$B179)*100)</f>
        <v>4.39937196619383</v>
      </c>
      <c r="D180" s="6" t="n">
        <f aca="false">IF(ROW()&lt;5,"",STDEV($C178:$C180))</f>
        <v>1.68805861943611</v>
      </c>
      <c r="E180" s="6" t="n">
        <f aca="false">IF(ROW()&lt;14,"",STDEV($C169:$C180))</f>
        <v>2.7136591333403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IF(OR($B181="",$B180=""),"",LN($B181/$B180)*100)</f>
        <v>0.6135217518899</v>
      </c>
      <c r="D181" s="6" t="n">
        <f aca="false">IF(ROW()&lt;5,"",STDEV($C179:$C181))</f>
        <v>2.01040987874833</v>
      </c>
      <c r="E181" s="6" t="n">
        <f aca="false">IF(ROW()&lt;14,"",STDEV($C170:$C181))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IF(OR($B182="",$B181=""),"",LN($B182/$B181)*100)</f>
        <v>-4.16842726378865</v>
      </c>
      <c r="D182" s="6" t="n">
        <f aca="false">IF(ROW()&lt;5,"",STDEV($C180:$C182))</f>
        <v>4.29353936900126</v>
      </c>
      <c r="E182" s="6" t="n">
        <f aca="false">IF(ROW()&lt;14,"",STDEV($C171:$C182))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IF(OR($B183="",$B182=""),"",LN($B183/$B182)*100)</f>
        <v>-0.160494735765566</v>
      </c>
      <c r="D183" s="6" t="n">
        <f aca="false">IF(ROW()&lt;5,"",STDEV($C181:$C183))</f>
        <v>2.56676388541736</v>
      </c>
      <c r="E183" s="6" t="n">
        <f aca="false">IF(ROW()&lt;14,"",STDEV($C172:$C183))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434.321428571428</v>
      </c>
      <c r="C184" s="6" t="n">
        <f aca="false">IF(OR($B184="",$B183=""),"",LN($B184/$B183)*100)</f>
        <v>2.55856187175081</v>
      </c>
      <c r="D184" s="6" t="n">
        <f aca="false">IF(ROW()&lt;5,"",STDEV($C182:$C184))</f>
        <v>3.38401080607341</v>
      </c>
      <c r="E184" s="6" t="n">
        <f aca="false">IF(ROW()&lt;14,"",STDEV($C173:$C184))</f>
        <v>2.82196211483912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IF(OR($B185="",$B184=""),"",LN($B185/$B184)*100)</f>
        <v>-1.17842071941666</v>
      </c>
      <c r="D185" s="6" t="n">
        <f aca="false">IF(ROW()&lt;5,"",STDEV($C183:$C185))</f>
        <v>1.9319455232899</v>
      </c>
      <c r="E185" s="6" t="n">
        <f aca="false">IF(ROW()&lt;14,"",STDEV($C174:$C185))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IF(OR($B186="",$B185=""),"",LN($B186/$B185)*100)</f>
        <v>-1.72975359283177</v>
      </c>
      <c r="D186" s="6" t="n">
        <f aca="false">IF(ROW()&lt;5,"",STDEV($C184:$C186))</f>
        <v>2.33304723297576</v>
      </c>
      <c r="E186" s="6" t="n">
        <f aca="false">IF(ROW()&lt;14,"",STDEV($C175:$C186))</f>
        <v>2.39121993426234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IF(OR($B187="",$B186=""),"",LN($B187/$B186)*100)</f>
        <v>2.06083917307763</v>
      </c>
      <c r="D187" s="6" t="n">
        <f aca="false">IF(ROW()&lt;5,"",STDEV($C185:$C187))</f>
        <v>2.04798136813607</v>
      </c>
      <c r="E187" s="6" t="n">
        <f aca="false">IF(ROW()&lt;14,"",STDEV($C176:$C187))</f>
        <v>2.38328580917228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IF(OR($B188="",$B187=""),"",LN($B188/$B187)*100)</f>
        <v>-1.44500024926008</v>
      </c>
      <c r="D188" s="6" t="n">
        <f aca="false">IF(ROW()&lt;5,"",STDEV($C186:$C188))</f>
        <v>2.11110508339657</v>
      </c>
      <c r="E188" s="6" t="n">
        <f aca="false">IF(ROW()&lt;14,"",STDEV($C177:$C188))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IF(OR($B189="",$B188=""),"",LN($B189/$B188)*100)</f>
        <v>3.11965173897777</v>
      </c>
      <c r="D189" s="6" t="n">
        <f aca="false">IF(ROW()&lt;5,"",STDEV($C187:$C189))</f>
        <v>2.3891435661707</v>
      </c>
      <c r="E189" s="6" t="n">
        <f aca="false">IF(ROW()&lt;14,"",STDEV($C178:$C189))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IF(OR($B190="",$B189=""),"",LN($B190/$B189)*100)</f>
        <v>4.05394267978862</v>
      </c>
      <c r="D190" s="6" t="n">
        <f aca="false">IF(ROW()&lt;5,"",STDEV($C188:$C190))</f>
        <v>2.94242872110608</v>
      </c>
      <c r="E190" s="6" t="n">
        <f aca="false">IF(ROW()&lt;14,"",STDEV($C179:$C190))</f>
        <v>2.73843613524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IF(OR($B191="",$B190=""),"",LN($B191/$B190)*100)</f>
        <v>2.99173700525829</v>
      </c>
      <c r="D191" s="6" t="n">
        <f aca="false">IF(ROW()&lt;5,"",STDEV($C189:$C191))</f>
        <v>0.579876802460111</v>
      </c>
      <c r="E191" s="6" t="n">
        <f aca="false">IF(ROW()&lt;14,"",STDEV($C180:$C191))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IF(OR($B192="",$B191=""),"",LN($B192/$B191)*100)</f>
        <v>1.43010061030767</v>
      </c>
      <c r="D192" s="6" t="n">
        <f aca="false">IF(ROW()&lt;5,"",STDEV($C190:$C192))</f>
        <v>1.31981920040946</v>
      </c>
      <c r="E192" s="6" t="n">
        <f aca="false">IF(ROW()&lt;14,"",STDEV($C181:$C192))</f>
        <v>2.46193250426551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IF(OR($B193="",$B192=""),"",LN($B193/$B192)*100)</f>
        <v>6.77854940939066</v>
      </c>
      <c r="D193" s="6" t="n">
        <f aca="false">IF(ROW()&lt;5,"",STDEV($C191:$C193))</f>
        <v>2.75028971111946</v>
      </c>
      <c r="E193" s="6" t="n">
        <f aca="false">IF(ROW()&lt;14,"",STDEV($C182:$C193))</f>
        <v>3.02575214203378</v>
      </c>
    </row>
    <row r="194" customFormat="false" ht="15" hidden="false" customHeight="true" outlineLevel="0" collapsed="false">
      <c r="A194" s="6" t="s">
        <v>215</v>
      </c>
      <c r="B194" s="6" t="n">
        <v>549.864285714285</v>
      </c>
      <c r="C194" s="6" t="n">
        <f aca="false">IF(OR($B194="",$B193=""),"",LN($B194/$B193)*100)</f>
        <v>7.5070155172455</v>
      </c>
      <c r="D194" s="6" t="n">
        <f aca="false">IF(ROW()&lt;5,"",STDEV($C192:$C194))</f>
        <v>3.31826918269321</v>
      </c>
      <c r="E194" s="6" t="n">
        <f aca="false">IF(ROW()&lt;14,"",STDEV($C183:$C194))</f>
        <v>3.02231602029587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IF(OR($B195="",$B194=""),"",LN($B195/$B194)*100)</f>
        <v>0.92876101656735</v>
      </c>
      <c r="D195" s="6" t="n">
        <f aca="false">IF(ROW()&lt;5,"",STDEV($C193:$C195))</f>
        <v>3.60610869190036</v>
      </c>
      <c r="E195" s="6" t="n">
        <f aca="false">IF(ROW()&lt;14,"",STDEV($C184:$C195))</f>
        <v>2.96185755179051</v>
      </c>
    </row>
    <row r="196" customFormat="false" ht="15" hidden="false" customHeight="true" outlineLevel="0" collapsed="false">
      <c r="A196" s="6" t="s">
        <v>217</v>
      </c>
      <c r="B196" s="6" t="n">
        <v>557.093478260869</v>
      </c>
      <c r="C196" s="6" t="n">
        <f aca="false">IF(OR($B196="",$B195=""),"",LN($B196/$B195)*100)</f>
        <v>0.377394567527674</v>
      </c>
      <c r="D196" s="6" t="n">
        <f aca="false">IF(ROW()&lt;5,"",STDEV($C194:$C196))</f>
        <v>3.96671426001156</v>
      </c>
      <c r="E196" s="6" t="n">
        <f aca="false">IF(ROW()&lt;14,"",STDEV($C185:$C196))</f>
        <v>3.00818893428597</v>
      </c>
    </row>
    <row r="197" customFormat="false" ht="15" hidden="false" customHeight="true" outlineLevel="0" collapsed="false">
      <c r="A197" s="6" t="s">
        <v>218</v>
      </c>
      <c r="B197" s="6" t="n">
        <v>610.652777777777</v>
      </c>
      <c r="C197" s="6" t="n">
        <f aca="false">IF(OR($B197="",$B196=""),"",LN($B197/$B196)*100)</f>
        <v>9.17954621215167</v>
      </c>
      <c r="D197" s="6" t="n">
        <f aca="false">IF(ROW()&lt;5,"",STDEV($C195:$C197))</f>
        <v>4.93047216940658</v>
      </c>
      <c r="E197" s="6" t="n">
        <f aca="false">IF(ROW()&lt;14,"",STDEV($C186:$C197))</f>
        <v>3.44435456219764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IF(OR($B198="",$B197=""),"",LN($B198/$B197)*100)</f>
        <v>10.0766019658431</v>
      </c>
      <c r="D198" s="6" t="n">
        <f aca="false">IF(ROW()&lt;5,"",STDEV($C196:$C198))</f>
        <v>5.3596829314759</v>
      </c>
      <c r="E198" s="6" t="n">
        <f aca="false">IF(ROW()&lt;14,"",STDEV($C187:$C198))</f>
        <v>3.66880669654809</v>
      </c>
    </row>
    <row r="199" customFormat="false" ht="15" hidden="false" customHeight="true" outlineLevel="0" collapsed="false">
      <c r="A199" s="6" t="s">
        <v>220</v>
      </c>
      <c r="B199" s="6" t="n">
        <v>596.145454545454</v>
      </c>
      <c r="C199" s="6" t="n">
        <f aca="false">IF(OR($B199="",$B198=""),"",LN($B199/$B198)*100)</f>
        <v>-12.4809843611619</v>
      </c>
      <c r="D199" s="6" t="n">
        <f aca="false">IF(ROW()&lt;5,"",STDEV($C197:$C199))</f>
        <v>12.7725486535445</v>
      </c>
      <c r="E199" s="6" t="n">
        <f aca="false">IF(ROW()&lt;14,"",STDEV($C188:$C199))</f>
        <v>6.00016448484536</v>
      </c>
    </row>
    <row r="200" customFormat="false" ht="15" hidden="false" customHeight="true" outlineLevel="0" collapsed="false">
      <c r="A200" s="6" t="s">
        <v>221</v>
      </c>
      <c r="B200" s="6" t="n">
        <v>633.709523809523</v>
      </c>
      <c r="C200" s="6" t="n">
        <f aca="false">IF(OR($B200="",$B199=""),"",LN($B200/$B199)*100)</f>
        <v>6.11059965691348</v>
      </c>
      <c r="D200" s="6" t="n">
        <f aca="false">IF(ROW()&lt;5,"",STDEV($C198:$C200))</f>
        <v>12.0431230135423</v>
      </c>
      <c r="E200" s="6" t="n">
        <f aca="false">IF(ROW()&lt;14,"",STDEV($C189:$C200))</f>
        <v>5.9204413647442</v>
      </c>
    </row>
    <row r="201" customFormat="false" ht="15" hidden="false" customHeight="true" outlineLevel="0" collapsed="false">
      <c r="A201" s="6" t="s">
        <v>222</v>
      </c>
      <c r="B201" s="6" t="n">
        <v>632.593181818181</v>
      </c>
      <c r="C201" s="6" t="n">
        <f aca="false">IF(OR($B201="",$B200=""),"",LN($B201/$B200)*100)</f>
        <v>-0.176315232618395</v>
      </c>
      <c r="D201" s="6" t="n">
        <f aca="false">IF(ROW()&lt;5,"",STDEV($C199:$C201))</f>
        <v>9.45671875346049</v>
      </c>
      <c r="E201" s="6" t="n">
        <f aca="false">IF(ROW()&lt;14,"",STDEV($C190:$C201))</f>
        <v>6.00737902559161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IF(OR($B202="",$B201=""),"",LN($B202/$B201)*100)</f>
        <v>-5.59262680400243</v>
      </c>
      <c r="D202" s="6" t="n">
        <f aca="false">IF(ROW()&lt;5,"",STDEV($C200:$C202))</f>
        <v>5.85700776082248</v>
      </c>
      <c r="E202" s="6" t="n">
        <f aca="false">IF(ROW()&lt;14,"",STDEV($C191:$C202))</f>
        <v>6.489092438831</v>
      </c>
    </row>
    <row r="203" customFormat="false" ht="15" hidden="false" customHeight="true" outlineLevel="0" collapsed="false">
      <c r="A203" s="6" t="s">
        <v>224</v>
      </c>
      <c r="B203" s="6" t="n">
        <v>585.779545454545</v>
      </c>
      <c r="C203" s="6" t="n">
        <f aca="false">IF(OR($B203="",$B202=""),"",LN($B203/$B202)*100)</f>
        <v>-2.09577482441983</v>
      </c>
      <c r="D203" s="6" t="n">
        <f aca="false">IF(ROW()&lt;5,"",STDEV($C201:$C203))</f>
        <v>2.74617096851774</v>
      </c>
      <c r="E203" s="6" t="n">
        <f aca="false">IF(ROW()&lt;14,"",STDEV($C192:$C203))</f>
        <v>6.60220876075625</v>
      </c>
    </row>
    <row r="204" customFormat="false" ht="15" hidden="false" customHeight="true" outlineLevel="0" collapsed="false">
      <c r="A204" s="6" t="s">
        <v>225</v>
      </c>
      <c r="B204" s="6" t="n">
        <v>627.827272727272</v>
      </c>
      <c r="C204" s="6" t="n">
        <f aca="false">IF(OR($B204="",$B203=""),"",LN($B204/$B203)*100)</f>
        <v>6.93215687097294</v>
      </c>
      <c r="D204" s="6" t="n">
        <f aca="false">IF(ROW()&lt;5,"",STDEV($C202:$C204))</f>
        <v>6.46273588310603</v>
      </c>
      <c r="E204" s="6" t="n">
        <f aca="false">IF(ROW()&lt;14,"",STDEV($C193:$C204))</f>
        <v>6.76054154541862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IF(OR($B205="",$B204=""),"",LN($B205/$B204)*100)</f>
        <v>0.312321330999932</v>
      </c>
      <c r="D205" s="6" t="n">
        <f aca="false">IF(ROW()&lt;5,"",STDEV($C203:$C205))</f>
        <v>4.67483868468055</v>
      </c>
      <c r="E205" s="6" t="n">
        <f aca="false">IF(ROW()&lt;14,"",STDEV($C194:$C205))</f>
        <v>6.62710622258981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IF(OR($B206="",$B205=""),"",LN($B206/$B205)*100)</f>
        <v>0.218045987564851</v>
      </c>
      <c r="D206" s="6" t="n">
        <f aca="false">IF(ROW()&lt;5,"",STDEV($C204:$C206))</f>
        <v>3.84946739544075</v>
      </c>
      <c r="E206" s="6" t="n">
        <f aca="false">IF(ROW()&lt;14,"",STDEV($C195:$C206))</f>
        <v>6.38161948757426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IF(OR($B207="",$B206=""),"",LN($B207/$B206)*100)</f>
        <v>5.18347500756159</v>
      </c>
      <c r="D207" s="6" t="n">
        <f aca="false">IF(ROW()&lt;5,"",STDEV($C205:$C207))</f>
        <v>2.83996805538624</v>
      </c>
      <c r="E207" s="6" t="n">
        <f aca="false">IF(ROW()&lt;14,"",STDEV($C196:$C207))</f>
        <v>6.48560959514797</v>
      </c>
    </row>
    <row r="208" customFormat="false" ht="15" hidden="false" customHeight="true" outlineLevel="0" collapsed="false">
      <c r="A208" s="6" t="s">
        <v>229</v>
      </c>
      <c r="B208" s="6" t="n">
        <v>654.895454545454</v>
      </c>
      <c r="C208" s="6" t="n">
        <f aca="false">IF(OR($B208="",$B207=""),"",LN($B208/$B207)*100)</f>
        <v>-1.49278969551572</v>
      </c>
      <c r="D208" s="6" t="n">
        <f aca="false">IF(ROW()&lt;5,"",STDEV($C206:$C208))</f>
        <v>3.46782723696657</v>
      </c>
      <c r="E208" s="6" t="n">
        <f aca="false">IF(ROW()&lt;14,"",STDEV($C197:$C208))</f>
        <v>6.5373985889318</v>
      </c>
    </row>
    <row r="209" customFormat="false" ht="15" hidden="false" customHeight="true" outlineLevel="0" collapsed="false">
      <c r="A209" s="6" t="s">
        <v>230</v>
      </c>
      <c r="B209" s="6" t="n">
        <v>679.368421052631</v>
      </c>
      <c r="C209" s="6" t="n">
        <f aca="false">IF(OR($B209="",$B208=""),"",LN($B209/$B208)*100)</f>
        <v>3.66879624903975</v>
      </c>
      <c r="D209" s="6" t="n">
        <f aca="false">IF(ROW()&lt;5,"",STDEV($C207:$C209))</f>
        <v>3.50020788882855</v>
      </c>
      <c r="E209" s="6" t="n">
        <f aca="false">IF(ROW()&lt;14,"",STDEV($C198:$C209))</f>
        <v>6.1172933987482</v>
      </c>
    </row>
    <row r="210" customFormat="false" ht="15" hidden="false" customHeight="true" outlineLevel="0" collapsed="false">
      <c r="A210" s="6" t="s">
        <v>231</v>
      </c>
      <c r="B210" s="6" t="n">
        <v>666.859523809523</v>
      </c>
      <c r="C210" s="6" t="n">
        <f aca="false">IF(OR($B210="",$B209=""),"",LN($B210/$B209)*100)</f>
        <v>-1.85841592521982</v>
      </c>
      <c r="D210" s="6" t="n">
        <f aca="false">IF(ROW()&lt;5,"",STDEV($C208:$C210))</f>
        <v>3.09100108978098</v>
      </c>
      <c r="E210" s="6" t="n">
        <f aca="false">IF(ROW()&lt;14,"",STDEV($C199:$C210))</f>
        <v>5.41790802863388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IF(OR($B211="",$B210=""),"",LN($B211/$B210)*100)</f>
        <v>-1.71956407313207</v>
      </c>
      <c r="D211" s="6" t="n">
        <f aca="false">IF(ROW()&lt;5,"",STDEV($C209:$C211))</f>
        <v>3.15181908368451</v>
      </c>
      <c r="E211" s="6" t="n">
        <f aca="false">IF(ROW()&lt;14,"",STDEV($C200:$C211))</f>
        <v>3.84592814513753</v>
      </c>
    </row>
    <row r="212" customFormat="false" ht="15" hidden="false" customHeight="true" outlineLevel="0" collapsed="false">
      <c r="A212" s="6" t="s">
        <v>233</v>
      </c>
      <c r="B212" s="6" t="n">
        <v>665.295454545454</v>
      </c>
      <c r="C212" s="6" t="n">
        <f aca="false">IF(OR($B212="",$B211=""),"",LN($B212/$B211)*100)</f>
        <v>1.48474605148062</v>
      </c>
      <c r="D212" s="6" t="n">
        <f aca="false">IF(ROW()&lt;5,"",STDEV($C210:$C212))</f>
        <v>1.89136701946763</v>
      </c>
      <c r="E212" s="6" t="n">
        <f aca="false">IF(ROW()&lt;14,"",STDEV($C201:$C212))</f>
        <v>3.47852001911675</v>
      </c>
    </row>
    <row r="213" customFormat="false" ht="15" hidden="false" customHeight="true" outlineLevel="0" collapsed="false">
      <c r="A213" s="6" t="s">
        <v>234</v>
      </c>
      <c r="B213" s="6" t="n">
        <v>665.411363636363</v>
      </c>
      <c r="C213" s="6" t="n">
        <f aca="false">IF(OR($B213="",$B212=""),"",LN($B213/$B212)*100)</f>
        <v>0.0174206804411644</v>
      </c>
      <c r="D213" s="6" t="n">
        <f aca="false">IF(ROW()&lt;5,"",STDEV($C211:$C213))</f>
        <v>1.60404505097464</v>
      </c>
      <c r="E213" s="6" t="n">
        <f aca="false">IF(ROW()&lt;14,"",STDEV($C202:$C213))</f>
        <v>3.47602369950807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IF(OR($B214="",$B213=""),"",LN($B214/$B213)*100)</f>
        <v>6.85884829871733</v>
      </c>
      <c r="D214" s="6" t="n">
        <f aca="false">IF(ROW()&lt;5,"",STDEV($C212:$C214))</f>
        <v>3.60183172298861</v>
      </c>
      <c r="E214" s="6" t="n">
        <f aca="false">IF(ROW()&lt;14,"",STDEV($C203:$C214))</f>
        <v>3.37450842568973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IF(OR($B215="",$B214=""),"",LN($B215/$B214)*100)</f>
        <v>5.71996449479661</v>
      </c>
      <c r="D215" s="6" t="n">
        <f aca="false">IF(ROW()&lt;5,"",STDEV($C213:$C215))</f>
        <v>3.66563305423016</v>
      </c>
      <c r="E215" s="6" t="n">
        <f aca="false">IF(ROW()&lt;14,"",STDEV($C204:$C215))</f>
        <v>3.38025875574092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IF(OR($B216="",$B215=""),"",LN($B216/$B215)*100)</f>
        <v>6.61974799432195</v>
      </c>
      <c r="D216" s="6" t="n">
        <f aca="false">IF(ROW()&lt;5,"",STDEV($C214:$C216))</f>
        <v>0.600532488770446</v>
      </c>
      <c r="E216" s="6" t="n">
        <f aca="false">IF(ROW()&lt;14,"",STDEV($C205:$C216))</f>
        <v>3.34071847521985</v>
      </c>
    </row>
    <row r="217" customFormat="false" ht="15" hidden="false" customHeight="true" outlineLevel="0" collapsed="false">
      <c r="A217" s="6" t="s">
        <v>238</v>
      </c>
      <c r="B217" s="6" t="n">
        <v>803.20294117647</v>
      </c>
      <c r="C217" s="6" t="n">
        <f aca="false">IF(OR($B217="",$B216=""),"",LN($B217/$B216)*100)</f>
        <v>-0.378363846541457</v>
      </c>
      <c r="D217" s="6" t="n">
        <f aca="false">IF(ROW()&lt;5,"",STDEV($C215:$C217))</f>
        <v>3.80729099321328</v>
      </c>
      <c r="E217" s="6" t="n">
        <f aca="false">IF(ROW()&lt;14,"",STDEV($C206:$C217))</f>
        <v>3.37974669465662</v>
      </c>
    </row>
    <row r="218" customFormat="false" ht="15" hidden="false" customHeight="true" outlineLevel="0" collapsed="false">
      <c r="A218" s="6" t="s">
        <v>239</v>
      </c>
      <c r="B218" s="6" t="n">
        <v>889.595454545454</v>
      </c>
      <c r="C218" s="6" t="n">
        <f aca="false">IF(OR($B218="",$B217=""),"",LN($B218/$B217)*100)</f>
        <v>10.2159403180484</v>
      </c>
      <c r="D218" s="6" t="n">
        <f aca="false">IF(ROW()&lt;5,"",STDEV($C216:$C218))</f>
        <v>5.38741510835374</v>
      </c>
      <c r="E218" s="6" t="n">
        <f aca="false">IF(ROW()&lt;14,"",STDEV($C207:$C218))</f>
        <v>4.05764878337409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IF(OR($B219="",$B218=""),"",LN($B219/$B218)*100)</f>
        <v>3.61011547659284</v>
      </c>
      <c r="D219" s="6" t="n">
        <f aca="false">IF(ROW()&lt;5,"",STDEV($C217:$C219))</f>
        <v>5.35076583115147</v>
      </c>
      <c r="E219" s="6" t="n">
        <f aca="false">IF(ROW()&lt;14,"",STDEV($C208:$C219))</f>
        <v>4.00076638020538</v>
      </c>
    </row>
    <row r="220" customFormat="false" ht="15" hidden="false" customHeight="true" outlineLevel="0" collapsed="false">
      <c r="A220" s="6" t="s">
        <v>241</v>
      </c>
      <c r="B220" s="6" t="n">
        <v>968.434210526315</v>
      </c>
      <c r="C220" s="6" t="n">
        <f aca="false">IF(OR($B220="",$B219=""),"",LN($B220/$B219)*100)</f>
        <v>4.88125825943884</v>
      </c>
      <c r="D220" s="6" t="n">
        <f aca="false">IF(ROW()&lt;5,"",STDEV($C218:$C220))</f>
        <v>3.50503348716349</v>
      </c>
      <c r="E220" s="6" t="n">
        <f aca="false">IF(ROW()&lt;14,"",STDEV($C209:$C220))</f>
        <v>3.8077922364689</v>
      </c>
    </row>
    <row r="221" customFormat="false" ht="15" hidden="false" customHeight="true" outlineLevel="0" collapsed="false">
      <c r="A221" s="6" t="s">
        <v>242</v>
      </c>
      <c r="B221" s="6" t="n">
        <v>909.704545454545</v>
      </c>
      <c r="C221" s="6" t="n">
        <f aca="false">IF(OR($B221="",$B220=""),"",LN($B221/$B220)*100)</f>
        <v>-6.25606798270802</v>
      </c>
      <c r="D221" s="6" t="n">
        <f aca="false">IF(ROW()&lt;5,"",STDEV($C219:$C221))</f>
        <v>6.09641172946535</v>
      </c>
      <c r="E221" s="6" t="n">
        <f aca="false">IF(ROW()&lt;14,"",STDEV($C210:$C221))</f>
        <v>4.68724355870386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IF(OR($B222="",$B221=""),"",LN($B222/$B221)*100)</f>
        <v>-2.34023480803911</v>
      </c>
      <c r="D222" s="6" t="n">
        <f aca="false">IF(ROW()&lt;5,"",STDEV($C220:$C222))</f>
        <v>5.64983403000304</v>
      </c>
      <c r="E222" s="6" t="n">
        <f aca="false">IF(ROW()&lt;14,"",STDEV($C211:$C222))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IF(OR($B223="",$B222=""),"",LN($B223/$B222)*100)</f>
        <v>0.0928599973063643</v>
      </c>
      <c r="D223" s="6" t="n">
        <f aca="false">IF(ROW()&lt;5,"",STDEV($C221:$C223))</f>
        <v>3.20319076024324</v>
      </c>
      <c r="E223" s="6" t="n">
        <f aca="false">IF(ROW()&lt;14,"",STDEV($C212:$C223))</f>
        <v>4.61347138380822</v>
      </c>
    </row>
    <row r="224" customFormat="false" ht="15" hidden="false" customHeight="true" outlineLevel="0" collapsed="false">
      <c r="A224" s="6" t="s">
        <v>245</v>
      </c>
      <c r="B224" s="6" t="n">
        <v>939.771739130434</v>
      </c>
      <c r="C224" s="6" t="n">
        <f aca="false">IF(OR($B224="",$B223=""),"",LN($B224/$B223)*100)</f>
        <v>5.49908917031458</v>
      </c>
      <c r="D224" s="6" t="n">
        <f aca="false">IF(ROW()&lt;5,"",STDEV($C222:$C224))</f>
        <v>4.01252756253203</v>
      </c>
      <c r="E224" s="6" t="n">
        <f aca="false">IF(ROW()&lt;14,"",STDEV($C213:$C224))</f>
        <v>4.67482718934202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IF(OR($B225="",$B224=""),"",LN($B225/$B224)*100)</f>
        <v>-11.339651166249</v>
      </c>
      <c r="D225" s="6" t="n">
        <f aca="false">IF(ROW()&lt;5,"",STDEV($C223:$C225))</f>
        <v>8.59721661836083</v>
      </c>
      <c r="E225" s="6" t="n">
        <f aca="false">IF(ROW()&lt;14,"",STDEV($C214:$C225))</f>
        <v>6.20566359986774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IF(OR($B226="",$B225=""),"",LN($B226/$B225)*100)</f>
        <v>-1.08969527535848</v>
      </c>
      <c r="D226" s="6" t="n">
        <f aca="false">IF(ROW()&lt;5,"",STDEV($C224:$C226))</f>
        <v>8.48544687842032</v>
      </c>
      <c r="E226" s="6" t="n">
        <f aca="false">IF(ROW()&lt;14,"",STDEV($C215:$C226))</f>
        <v>6.05433035461474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IF(OR($B227="",$B226=""),"",LN($B227/$B226)*100)</f>
        <v>-2.84914120960471</v>
      </c>
      <c r="D227" s="6" t="n">
        <f aca="false">IF(ROW()&lt;5,"",STDEV($C225:$C227))</f>
        <v>5.48096714526146</v>
      </c>
      <c r="E227" s="6" t="n">
        <f aca="false">IF(ROW()&lt;14,"",STDEV($C216:$C227))</f>
        <v>5.98667377243317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IF(OR($B228="",$B227=""),"",LN($B228/$B227)*100)</f>
        <v>-5.83994803264145</v>
      </c>
      <c r="D228" s="6" t="n">
        <f aca="false">IF(ROW()&lt;5,"",STDEV($C226:$C228))</f>
        <v>2.40157853318511</v>
      </c>
      <c r="E228" s="6" t="n">
        <f aca="false">IF(ROW()&lt;14,"",STDEV($C217:$C228))</f>
        <v>5.91939987773294</v>
      </c>
    </row>
    <row r="229" customFormat="false" ht="15" hidden="false" customHeight="true" outlineLevel="0" collapsed="false">
      <c r="A229" s="6" t="s">
        <v>250</v>
      </c>
      <c r="B229" s="6" t="n">
        <v>816.092105263157</v>
      </c>
      <c r="C229" s="6" t="n">
        <f aca="false">IF(OR($B229="",$B228=""),"",LN($B229/$B228)*100)</f>
        <v>7.00745644662541</v>
      </c>
      <c r="D229" s="6" t="n">
        <f aca="false">IF(ROW()&lt;5,"",STDEV($C227:$C229))</f>
        <v>6.72251496420066</v>
      </c>
      <c r="E229" s="6" t="n">
        <f aca="false">IF(ROW()&lt;14,"",STDEV($C218:$C229))</f>
        <v>6.30281114268783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IF(OR($B230="",$B229=""),"",LN($B230/$B229)*100)</f>
        <v>5.08813039630929</v>
      </c>
      <c r="D230" s="6" t="n">
        <f aca="false">IF(ROW()&lt;5,"",STDEV($C228:$C230))</f>
        <v>6.93015767606345</v>
      </c>
      <c r="E230" s="6" t="n">
        <f aca="false">IF(ROW()&lt;14,"",STDEV($C219:$C230))</f>
        <v>5.70225398493798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IF(OR($B231="",$B230=""),"",LN($B231/$B230)*100)</f>
        <v>9.38300635086556</v>
      </c>
      <c r="D231" s="6" t="n">
        <f aca="false">IF(ROW()&lt;5,"",STDEV($C229:$C231))</f>
        <v>2.15147272428226</v>
      </c>
      <c r="E231" s="6" t="n">
        <f aca="false">IF(ROW()&lt;14,"",STDEV($C220:$C231))</f>
        <v>6.27625672433841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IF(OR($B232="",$B231=""),"",LN($B232/$B231)*100)</f>
        <v>-2.023140268627</v>
      </c>
      <c r="D232" s="6" t="n">
        <f aca="false">IF(ROW()&lt;5,"",STDEV($C230:$C232))</f>
        <v>5.76073361416713</v>
      </c>
      <c r="E232" s="6" t="n">
        <f aca="false">IF(ROW()&lt;14,"",STDEV($C221:$C232))</f>
        <v>6.12130035970628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IF(OR($B233="",$B232=""),"",LN($B233/$B232)*100)</f>
        <v>-3.75610308950363</v>
      </c>
      <c r="D233" s="6" t="n">
        <f aca="false">IF(ROW()&lt;5,"",STDEV($C231:$C233))</f>
        <v>7.13838844709715</v>
      </c>
      <c r="E233" s="6" t="n">
        <f aca="false">IF(ROW()&lt;14,"",STDEV($C222:$C233))</f>
        <v>5.94342494100886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IF(OR($B234="",$B233=""),"",LN($B234/$B233)*100)</f>
        <v>4.22800944989025</v>
      </c>
      <c r="D234" s="6" t="n">
        <f aca="false">IF(ROW()&lt;5,"",STDEV($C232:$C234))</f>
        <v>4.19972391917146</v>
      </c>
      <c r="E234" s="6" t="n">
        <f aca="false">IF(ROW()&lt;14,"",STDEV($C223:$C234))</f>
        <v>6.02829804197408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IF(OR($B235="",$B234=""),"",LN($B235/$B234)*100)</f>
        <v>1.81679005636465</v>
      </c>
      <c r="D235" s="6" t="n">
        <f aca="false">IF(ROW()&lt;5,"",STDEV($C233:$C235))</f>
        <v>4.09506145702125</v>
      </c>
      <c r="E235" s="6" t="n">
        <f aca="false">IF(ROW()&lt;14,"",STDEV($C224:$C235))</f>
        <v>6.0417044995732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IF(OR($B236="",$B235=""),"",LN($B236/$B235)*100)</f>
        <v>-1.21733526213521</v>
      </c>
      <c r="D236" s="6" t="n">
        <f aca="false">IF(ROW()&lt;5,"",STDEV($C234:$C236))</f>
        <v>2.72860386904058</v>
      </c>
      <c r="E236" s="6" t="n">
        <f aca="false">IF(ROW()&lt;14,"",STDEV($C225:$C236))</f>
        <v>5.84545652697404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IF(OR($B237="",$B236=""),"",LN($B237/$B236)*100)</f>
        <v>1.60830743270863</v>
      </c>
      <c r="D237" s="6" t="n">
        <f aca="false">IF(ROW()&lt;5,"",STDEV($C235:$C237))</f>
        <v>1.69477816108052</v>
      </c>
      <c r="E237" s="6" t="n">
        <f aca="false">IF(ROW()&lt;14,"",STDEV($C226:$C237))</f>
        <v>4.6433516402453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IF(OR($B238="",$B237=""),"",LN($B238/$B237)*100)</f>
        <v>4.85364905320306</v>
      </c>
      <c r="D238" s="6" t="n">
        <f aca="false">IF(ROW()&lt;5,"",STDEV($C236:$C238))</f>
        <v>3.03790907889295</v>
      </c>
      <c r="E238" s="6" t="n">
        <f aca="false">IF(ROW()&lt;14,"",STDEV($C227:$C238))</f>
        <v>4.71318324804132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IF(OR($B239="",$B238=""),"",LN($B239/$B238)*100)</f>
        <v>4.56686115186029</v>
      </c>
      <c r="D239" s="6" t="n">
        <f aca="false">IF(ROW()&lt;5,"",STDEV($C237:$C239))</f>
        <v>1.79664175816884</v>
      </c>
      <c r="E239" s="6" t="n">
        <f aca="false">IF(ROW()&lt;14,"",STDEV($C228:$C239))</f>
        <v>4.57157393362892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IF(OR($B240="",$B239=""),"",LN($B240/$B239)*100)</f>
        <v>7.73372278315053</v>
      </c>
      <c r="D240" s="6" t="n">
        <f aca="false">IF(ROW()&lt;5,"",STDEV($C238:$C240))</f>
        <v>1.75147959270766</v>
      </c>
      <c r="E240" s="6" t="n">
        <f aca="false">IF(ROW()&lt;14,"",STDEV($C229:$C240))</f>
        <v>4.06836907749633</v>
      </c>
    </row>
    <row r="241" customFormat="false" ht="15" hidden="false" customHeight="true" outlineLevel="0" collapsed="false">
      <c r="A241" s="6" t="s">
        <v>262</v>
      </c>
      <c r="B241" s="6" t="n">
        <v>1134.72368421052</v>
      </c>
      <c r="C241" s="6" t="n">
        <f aca="false">IF(OR($B241="",$B240=""),"",LN($B241/$B240)*100)</f>
        <v>0.679824700977271</v>
      </c>
      <c r="D241" s="6" t="n">
        <f aca="false">IF(ROW()&lt;5,"",STDEV($C239:$C241))</f>
        <v>3.53307097569803</v>
      </c>
      <c r="E241" s="6" t="n">
        <f aca="false">IF(ROW()&lt;14,"",STDEV($C230:$C241))</f>
        <v>3.94880645265463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IF(OR($B242="",$B241=""),"",LN($B242/$B241)*100)</f>
        <v>-1.48813391288071</v>
      </c>
      <c r="D242" s="6" t="n">
        <f aca="false">IF(ROW()&lt;5,"",STDEV($C240:$C242))</f>
        <v>4.82182820838778</v>
      </c>
      <c r="E242" s="6" t="n">
        <f aca="false">IF(ROW()&lt;14,"",STDEV($C231:$C242))</f>
        <v>4.04938637869812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IF(OR($B243="",$B242=""),"",LN($B243/$B242)*100)</f>
        <v>-2.03768274720479</v>
      </c>
      <c r="D243" s="6" t="n">
        <f aca="false">IF(ROW()&lt;5,"",STDEV($C241:$C243))</f>
        <v>1.43683072556889</v>
      </c>
      <c r="E243" s="6" t="n">
        <f aca="false">IF(ROW()&lt;14,"",STDEV($C232:$C243))</f>
        <v>3.51410380741552</v>
      </c>
    </row>
    <row r="244" customFormat="false" ht="15" hidden="false" customHeight="true" outlineLevel="0" collapsed="false">
      <c r="A244" s="6" t="s">
        <v>265</v>
      </c>
      <c r="B244" s="6" t="n">
        <v>1113.33695652173</v>
      </c>
      <c r="C244" s="6" t="n">
        <f aca="false">IF(OR($B244="",$B243=""),"",LN($B244/$B243)*100)</f>
        <v>1.62307680170823</v>
      </c>
      <c r="D244" s="6" t="n">
        <f aca="false">IF(ROW()&lt;5,"",STDEV($C242:$C244))</f>
        <v>1.974115688388</v>
      </c>
      <c r="E244" s="6" t="n">
        <f aca="false">IF(ROW()&lt;14,"",STDEV($C233:$C244))</f>
        <v>3.35988936327571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IF(OR($B245="",$B244=""),"",LN($B245/$B244)*100)</f>
        <v>3.12582135675167</v>
      </c>
      <c r="D245" s="6" t="n">
        <f aca="false">IF(ROW()&lt;5,"",STDEV($C243:$C245))</f>
        <v>2.6558481477752</v>
      </c>
      <c r="E245" s="6" t="n">
        <f aca="false">IF(ROW()&lt;14,"",STDEV($C234:$C245))</f>
        <v>2.93174727914243</v>
      </c>
    </row>
    <row r="246" customFormat="false" ht="15" hidden="false" customHeight="true" outlineLevel="0" collapsed="false">
      <c r="A246" s="6" t="s">
        <v>267</v>
      </c>
      <c r="B246" s="6" t="n">
        <v>1205.43421052631</v>
      </c>
      <c r="C246" s="6" t="n">
        <f aca="false">IF(OR($B246="",$B245=""),"",LN($B246/$B245)*100)</f>
        <v>4.8219856477684</v>
      </c>
      <c r="D246" s="6" t="n">
        <f aca="false">IF(ROW()&lt;5,"",STDEV($C244:$C246))</f>
        <v>1.60042870846298</v>
      </c>
      <c r="E246" s="6" t="n">
        <f aca="false">IF(ROW()&lt;14,"",STDEV($C235:$C246))</f>
        <v>2.97518444328102</v>
      </c>
    </row>
    <row r="247" customFormat="false" ht="15" hidden="false" customHeight="true" outlineLevel="0" collapsed="false">
      <c r="A247" s="6" t="s">
        <v>268</v>
      </c>
      <c r="B247" s="6" t="n">
        <v>1232.92045454545</v>
      </c>
      <c r="C247" s="6" t="n">
        <f aca="false">IF(OR($B247="",$B246=""),"",LN($B247/$B246)*100)</f>
        <v>2.2545865629217</v>
      </c>
      <c r="D247" s="6" t="n">
        <f aca="false">IF(ROW()&lt;5,"",STDEV($C245:$C247))</f>
        <v>1.30560084692655</v>
      </c>
      <c r="E247" s="6" t="n">
        <f aca="false">IF(ROW()&lt;14,"",STDEV($C236:$C247))</f>
        <v>2.97309070123585</v>
      </c>
    </row>
    <row r="248" customFormat="false" ht="15" hidden="false" customHeight="true" outlineLevel="0" collapsed="false">
      <c r="A248" s="6" t="s">
        <v>269</v>
      </c>
      <c r="B248" s="6" t="n">
        <v>1192.9659090909</v>
      </c>
      <c r="C248" s="6" t="n">
        <f aca="false">IF(OR($B248="",$B247=""),"",LN($B248/$B247)*100)</f>
        <v>-3.29431414259574</v>
      </c>
      <c r="D248" s="6" t="n">
        <f aca="false">IF(ROW()&lt;5,"",STDEV($C246:$C248))</f>
        <v>4.14841655308843</v>
      </c>
      <c r="E248" s="6" t="n">
        <f aca="false">IF(ROW()&lt;14,"",STDEV($C237:$C248))</f>
        <v>3.23931717248143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IF(OR($B249="",$B248=""),"",LN($B249/$B248)*100)</f>
        <v>1.89675627458852</v>
      </c>
      <c r="D249" s="6" t="n">
        <f aca="false">IF(ROW()&lt;5,"",STDEV($C247:$C249))</f>
        <v>3.1055207193831</v>
      </c>
      <c r="E249" s="6" t="n">
        <f aca="false">IF(ROW()&lt;14,"",STDEV($C238:$C249))</f>
        <v>3.2369136886456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IF(OR($B250="",$B249=""),"",LN($B250/$B249)*100)</f>
        <v>4.43759809665701</v>
      </c>
      <c r="D250" s="6" t="n">
        <f aca="false">IF(ROW()&lt;5,"",STDEV($C248:$C250))</f>
        <v>3.94092958823263</v>
      </c>
      <c r="E250" s="6" t="n">
        <f aca="false">IF(ROW()&lt;14,"",STDEV($C239:$C250))</f>
        <v>3.20637015714126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IF(OR($B251="",$B250=""),"",LN($B251/$B250)*100)</f>
        <v>5.43926695761718</v>
      </c>
      <c r="D251" s="6" t="n">
        <f aca="false">IF(ROW()&lt;5,"",STDEV($C249:$C251))</f>
        <v>1.82613433291757</v>
      </c>
      <c r="E251" s="6" t="n">
        <f aca="false">IF(ROW()&lt;14,"",STDEV($C240:$C251))</f>
        <v>3.27828556795079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IF(OR($B252="",$B251=""),"",LN($B252/$B251)*100)</f>
        <v>2.05490099358443</v>
      </c>
      <c r="D252" s="6" t="n">
        <f aca="false">IF(ROW()&lt;5,"",STDEV($C250:$C252))</f>
        <v>1.73851080767953</v>
      </c>
      <c r="E252" s="6" t="n">
        <f aca="false">IF(ROW()&lt;14,"",STDEV($C241:$C252))</f>
        <v>2.75989808384905</v>
      </c>
    </row>
    <row r="253" customFormat="false" ht="15" hidden="false" customHeight="true" outlineLevel="0" collapsed="false">
      <c r="A253" s="6" t="s">
        <v>274</v>
      </c>
      <c r="B253" s="6" t="n">
        <v>1390.55263157894</v>
      </c>
      <c r="C253" s="6" t="n">
        <f aca="false">IF(OR($B253="",$B252=""),"",LN($B253/$B252)*100)</f>
        <v>1.4973454656461</v>
      </c>
      <c r="D253" s="6" t="n">
        <f aca="false">IF(ROW()&lt;5,"",STDEV($C251:$C253))</f>
        <v>2.13321143639121</v>
      </c>
      <c r="E253" s="6" t="n">
        <f aca="false">IF(ROW()&lt;14,"",STDEV($C242:$C253))</f>
        <v>2.74446204759972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IF(OR($B254="",$B253=""),"",LN($B254/$B253)*100)</f>
        <v>-2.48671135360855</v>
      </c>
      <c r="D254" s="6" t="n">
        <f aca="false">IF(ROW()&lt;5,"",STDEV($C252:$C254))</f>
        <v>2.47688714646563</v>
      </c>
      <c r="E254" s="6" t="n">
        <f aca="false">IF(ROW()&lt;14,"",STDEV($C243:$C254))</f>
        <v>2.8623353435842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IF(OR($B255="",$B254=""),"",LN($B255/$B254)*100)</f>
        <v>1.19636841226517</v>
      </c>
      <c r="D255" s="6" t="n">
        <f aca="false">IF(ROW()&lt;5,"",STDEV($C253:$C255))</f>
        <v>2.21842182972115</v>
      </c>
      <c r="E255" s="6" t="n">
        <f aca="false">IF(ROW()&lt;14,"",STDEV($C244:$C255))</f>
        <v>2.63041136205904</v>
      </c>
    </row>
    <row r="256" customFormat="false" ht="15" hidden="false" customHeight="true" outlineLevel="0" collapsed="false">
      <c r="A256" s="6" t="s">
        <v>277</v>
      </c>
      <c r="B256" s="6" t="n">
        <v>1424.01086956521</v>
      </c>
      <c r="C256" s="6" t="n">
        <f aca="false">IF(OR($B256="",$B255=""),"",LN($B256/$B255)*100)</f>
        <v>3.66796306902897</v>
      </c>
      <c r="D256" s="6" t="n">
        <f aca="false">IF(ROW()&lt;5,"",STDEV($C254:$C256))</f>
        <v>3.09714583549113</v>
      </c>
      <c r="E256" s="6" t="n">
        <f aca="false">IF(ROW()&lt;14,"",STDEV($C245:$C256))</f>
        <v>2.6780210697482</v>
      </c>
    </row>
    <row r="257" customFormat="false" ht="15" hidden="false" customHeight="true" outlineLevel="0" collapsed="false">
      <c r="A257" s="6" t="s">
        <v>278</v>
      </c>
      <c r="B257" s="6" t="n">
        <v>1473.80555555555</v>
      </c>
      <c r="C257" s="6" t="n">
        <f aca="false">IF(OR($B257="",$B256=""),"",LN($B257/$B256)*100)</f>
        <v>3.43704228064565</v>
      </c>
      <c r="D257" s="6" t="n">
        <f aca="false">IF(ROW()&lt;5,"",STDEV($C255:$C257))</f>
        <v>1.36520596384416</v>
      </c>
      <c r="E257" s="6" t="n">
        <f aca="false">IF(ROW()&lt;14,"",STDEV($C246:$C257))</f>
        <v>2.69085299940477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IF(OR($B258="",$B257=""),"",LN($B258/$B257)*100)</f>
        <v>2.45514750723179</v>
      </c>
      <c r="D258" s="6" t="n">
        <f aca="false">IF(ROW()&lt;5,"",STDEV($C256:$C258))</f>
        <v>0.643993186234974</v>
      </c>
      <c r="E258" s="6" t="n">
        <f aca="false">IF(ROW()&lt;14,"",STDEV($C247:$C258))</f>
        <v>2.5546451976324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IF(OR($B259="",$B258=""),"",LN($B259/$B258)*100)</f>
        <v>1.19915959999452</v>
      </c>
      <c r="D259" s="6" t="n">
        <f aca="false">IF(ROW()&lt;5,"",STDEV($C257:$C259))</f>
        <v>1.12173540117846</v>
      </c>
      <c r="E259" s="6" t="n">
        <f aca="false">IF(ROW()&lt;14,"",STDEV($C248:$C259))</f>
        <v>2.55872876704921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IF(OR($B260="",$B259=""),"",LN($B260/$B259)*100)</f>
        <v>2.8472585752838</v>
      </c>
      <c r="D260" s="6" t="n">
        <f aca="false">IF(ROW()&lt;5,"",STDEV($C258:$C260))</f>
        <v>0.860957504290495</v>
      </c>
      <c r="E260" s="6" t="n">
        <f aca="false">IF(ROW()&lt;14,"",STDEV($C249:$C260))</f>
        <v>2.00275530576728</v>
      </c>
    </row>
    <row r="261" customFormat="false" ht="15" hidden="false" customHeight="true" outlineLevel="0" collapsed="false">
      <c r="A261" s="6" t="s">
        <v>282</v>
      </c>
      <c r="B261" s="6" t="n">
        <v>1755.80681818181</v>
      </c>
      <c r="C261" s="6" t="n">
        <f aca="false">IF(OR($B261="",$B260=""),"",LN($B261/$B260)*100)</f>
        <v>11.0064951022331</v>
      </c>
      <c r="D261" s="6" t="n">
        <f aca="false">IF(ROW()&lt;5,"",STDEV($C259:$C261))</f>
        <v>5.25155850817202</v>
      </c>
      <c r="E261" s="6" t="n">
        <f aca="false">IF(ROW()&lt;14,"",STDEV($C250:$C261))</f>
        <v>3.20201985811751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IF(OR($B262="",$B261=""),"",LN($B262/$B261)*100)</f>
        <v>0.909700443604554</v>
      </c>
      <c r="D262" s="6" t="n">
        <f aca="false">IF(ROW()&lt;5,"",STDEV($C260:$C262))</f>
        <v>5.35836627146202</v>
      </c>
      <c r="E262" s="6" t="n">
        <f aca="false">IF(ROW()&lt;14,"",STDEV($C251:$C262))</f>
        <v>3.22616858319951</v>
      </c>
    </row>
    <row r="263" customFormat="false" ht="15" hidden="false" customHeight="true" outlineLevel="0" collapsed="false">
      <c r="A263" s="6" t="s">
        <v>284</v>
      </c>
      <c r="B263" s="6" t="n">
        <v>1665.21428571428</v>
      </c>
      <c r="C263" s="6" t="n">
        <f aca="false">IF(OR($B263="",$B262=""),"",LN($B263/$B262)*100)</f>
        <v>-6.20716658922695</v>
      </c>
      <c r="D263" s="6" t="n">
        <f aca="false">IF(ROW()&lt;5,"",STDEV($C261:$C263))</f>
        <v>8.6497129776037</v>
      </c>
      <c r="E263" s="6" t="n">
        <f aca="false">IF(ROW()&lt;14,"",STDEV($C252:$C263))</f>
        <v>4.00703779741797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IF(OR($B264="",$B263=""),"",LN($B264/$B263)*100)</f>
        <v>4.33433508447841</v>
      </c>
      <c r="D264" s="6" t="n">
        <f aca="false">IF(ROW()&lt;5,"",STDEV($C262:$C264))</f>
        <v>5.37744016429146</v>
      </c>
      <c r="E264" s="6" t="n">
        <f aca="false">IF(ROW()&lt;14,"",STDEV($C253:$C264))</f>
        <v>4.07378885936546</v>
      </c>
    </row>
    <row r="265" customFormat="false" ht="15" hidden="false" customHeight="true" outlineLevel="0" collapsed="false">
      <c r="A265" s="6" t="s">
        <v>286</v>
      </c>
      <c r="B265" s="6" t="n">
        <v>1652.30555555555</v>
      </c>
      <c r="C265" s="6" t="n">
        <f aca="false">IF(OR($B265="",$B264=""),"",LN($B265/$B264)*100)</f>
        <v>-5.11255471390832</v>
      </c>
      <c r="D265" s="6" t="n">
        <f aca="false">IF(ROW()&lt;5,"",STDEV($C263:$C265))</f>
        <v>5.79604979788224</v>
      </c>
      <c r="E265" s="6" t="n">
        <f aca="false">IF(ROW()&lt;14,"",STDEV($C254:$C265))</f>
        <v>4.56359688971327</v>
      </c>
    </row>
    <row r="266" customFormat="false" ht="15" hidden="false" customHeight="true" outlineLevel="0" collapsed="false">
      <c r="A266" s="6" t="s">
        <v>287</v>
      </c>
      <c r="B266" s="6" t="n">
        <v>1656.11904761904</v>
      </c>
      <c r="C266" s="6" t="n">
        <f aca="false">IF(OR($B266="",$B265=""),"",LN($B266/$B265)*100)</f>
        <v>0.230532305238895</v>
      </c>
      <c r="D266" s="6" t="n">
        <f aca="false">IF(ROW()&lt;5,"",STDEV($C264:$C266))</f>
        <v>4.73697341854368</v>
      </c>
      <c r="E266" s="6" t="n">
        <f aca="false">IF(ROW()&lt;14,"",STDEV($C255:$C266))</f>
        <v>4.41623014684848</v>
      </c>
    </row>
    <row r="267" customFormat="false" ht="15" hidden="false" customHeight="true" outlineLevel="0" collapsed="false">
      <c r="A267" s="6" t="s">
        <v>288</v>
      </c>
      <c r="B267" s="6" t="n">
        <v>1742.61904761904</v>
      </c>
      <c r="C267" s="6" t="n">
        <f aca="false">IF(OR($B267="",$B266=""),"",LN($B267/$B266)*100)</f>
        <v>5.09122392917204</v>
      </c>
      <c r="D267" s="6" t="n">
        <f aca="false">IF(ROW()&lt;5,"",STDEV($C265:$C267))</f>
        <v>5.10378945089065</v>
      </c>
      <c r="E267" s="6" t="n">
        <f aca="false">IF(ROW()&lt;14,"",STDEV($C256:$C267))</f>
        <v>4.52065377600934</v>
      </c>
    </row>
    <row r="268" customFormat="false" ht="15" hidden="false" customHeight="true" outlineLevel="0" collapsed="false">
      <c r="A268" s="6" t="s">
        <v>289</v>
      </c>
      <c r="B268" s="6" t="n">
        <v>1673.77272727272</v>
      </c>
      <c r="C268" s="6" t="n">
        <f aca="false">IF(OR($B268="",$B267=""),"",LN($B268/$B267)*100)</f>
        <v>-4.03089847443559</v>
      </c>
      <c r="D268" s="6" t="n">
        <f aca="false">IF(ROW()&lt;5,"",STDEV($C266:$C268))</f>
        <v>4.5643406332739</v>
      </c>
      <c r="E268" s="6" t="n">
        <f aca="false">IF(ROW()&lt;14,"",STDEV($C257:$C268))</f>
        <v>4.79837975872505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IF(OR($B269="",$B268=""),"",LN($B269/$B268)*100)</f>
        <v>-1.42650370595103</v>
      </c>
      <c r="D269" s="6" t="n">
        <f aca="false">IF(ROW()&lt;5,"",STDEV($C267:$C269))</f>
        <v>4.69887863896194</v>
      </c>
      <c r="E269" s="6" t="n">
        <f aca="false">IF(ROW()&lt;14,"",STDEV($C258:$C269))</f>
        <v>4.81114978473527</v>
      </c>
    </row>
    <row r="270" customFormat="false" ht="15" hidden="false" customHeight="true" outlineLevel="0" collapsed="false">
      <c r="A270" s="6" t="s">
        <v>291</v>
      </c>
      <c r="B270" s="6" t="n">
        <v>1585.50454545454</v>
      </c>
      <c r="C270" s="6" t="n">
        <f aca="false">IF(OR($B270="",$B269=""),"",LN($B270/$B269)*100)</f>
        <v>-3.99124776434607</v>
      </c>
      <c r="D270" s="6" t="n">
        <f aca="false">IF(ROW()&lt;5,"",STDEV($C268:$C270))</f>
        <v>1.492333540354</v>
      </c>
      <c r="E270" s="6" t="n">
        <f aca="false">IF(ROW()&lt;14,"",STDEV($C259:$C270))</f>
        <v>4.98356653959723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IF(OR($B271="",$B270=""),"",LN($B271/$B270)*100)</f>
        <v>0.703466934359989</v>
      </c>
      <c r="D271" s="6" t="n">
        <f aca="false">IF(ROW()&lt;5,"",STDEV($C269:$C271))</f>
        <v>2.35071028683908</v>
      </c>
      <c r="E271" s="6" t="n">
        <f aca="false">IF(ROW()&lt;14,"",STDEV($C260:$C271))</f>
        <v>4.97842991430589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IF(OR($B272="",$B271=""),"",LN($B272/$B271)*100)</f>
        <v>-0.17478045364157</v>
      </c>
      <c r="D272" s="6" t="n">
        <f aca="false">IF(ROW()&lt;5,"",STDEV($C270:$C272))</f>
        <v>2.49589954760651</v>
      </c>
      <c r="E272" s="6" t="n">
        <f aca="false">IF(ROW()&lt;14,"",STDEV($C261:$C272))</f>
        <v>4.9173933528807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IF(OR($B273="",$B272=""),"",LN($B273/$B272)*100)</f>
        <v>1.99544303349643</v>
      </c>
      <c r="D273" s="6" t="n">
        <f aca="false">IF(ROW()&lt;5,"",STDEV($C271:$C273))</f>
        <v>1.09166468443052</v>
      </c>
      <c r="E273" s="6" t="n">
        <f aca="false">IF(ROW()&lt;14,"",STDEV($C262:$C273))</f>
        <v>3.61891444363096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IF(OR($B274="",$B273=""),"",LN($B274/$B273)*100)</f>
        <v>7.02953427017631</v>
      </c>
      <c r="D274" s="6" t="n">
        <f aca="false">IF(ROW()&lt;5,"",STDEV($C272:$C274))</f>
        <v>3.69581058324065</v>
      </c>
      <c r="E274" s="6" t="n">
        <f aca="false">IF(ROW()&lt;14,"",STDEV($C263:$C274))</f>
        <v>4.2357733244585</v>
      </c>
    </row>
    <row r="275" customFormat="false" ht="15" hidden="false" customHeight="true" outlineLevel="0" collapsed="false">
      <c r="A275" s="6" t="s">
        <v>296</v>
      </c>
      <c r="B275" s="6" t="n">
        <v>1747.01086956521</v>
      </c>
      <c r="C275" s="6" t="n">
        <f aca="false">IF(OR($B275="",$B274=""),"",LN($B275/$B274)*100)</f>
        <v>0.146693325235825</v>
      </c>
      <c r="D275" s="6" t="n">
        <f aca="false">IF(ROW()&lt;5,"",STDEV($C273:$C275))</f>
        <v>3.56214938710605</v>
      </c>
      <c r="E275" s="6" t="n">
        <f aca="false">IF(ROW()&lt;14,"",STDEV($C264:$C275))</f>
        <v>3.77959085736113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IF(OR($B276="",$B275=""),"",LN($B276/$B275)*100)</f>
        <v>-1.49215037712378</v>
      </c>
      <c r="D276" s="6" t="n">
        <f aca="false">IF(ROW()&lt;5,"",STDEV($C274:$C276))</f>
        <v>4.52176988545678</v>
      </c>
      <c r="E276" s="6" t="n">
        <f aca="false">IF(ROW()&lt;14,"",STDEV($C265:$C276))</f>
        <v>3.59805509262339</v>
      </c>
    </row>
    <row r="277" customFormat="false" ht="15" hidden="false" customHeight="true" outlineLevel="0" collapsed="false">
      <c r="A277" s="6" t="s">
        <v>298</v>
      </c>
      <c r="B277" s="6" t="n">
        <v>1688.5294117647</v>
      </c>
      <c r="C277" s="6" t="n">
        <f aca="false">IF(OR($B277="",$B276=""),"",LN($B277/$B276)*100)</f>
        <v>-1.91267696440875</v>
      </c>
      <c r="D277" s="6" t="n">
        <f aca="false">IF(ROW()&lt;5,"",STDEV($C275:$C277))</f>
        <v>1.08809139331584</v>
      </c>
      <c r="E277" s="6" t="n">
        <f aca="false">IF(ROW()&lt;14,"",STDEV($C266:$C277))</f>
        <v>3.29769656296815</v>
      </c>
    </row>
    <row r="278" customFormat="false" ht="15" hidden="false" customHeight="true" outlineLevel="0" collapsed="false">
      <c r="A278" s="6" t="s">
        <v>299</v>
      </c>
      <c r="B278" s="6" t="n">
        <v>1670.95454545454</v>
      </c>
      <c r="C278" s="6" t="n">
        <f aca="false">IF(OR($B278="",$B277=""),"",LN($B278/$B277)*100)</f>
        <v>-1.04629323221756</v>
      </c>
      <c r="D278" s="6" t="n">
        <f aca="false">IF(ROW()&lt;5,"",STDEV($C276:$C278))</f>
        <v>0.433253577727679</v>
      </c>
      <c r="E278" s="6" t="n">
        <f aca="false">IF(ROW()&lt;14,"",STDEV($C267:$C278))</f>
        <v>3.31648843930482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IF(OR($B279="",$B278=""),"",LN($B279/$B278)*100)</f>
        <v>-2.62961901449594</v>
      </c>
      <c r="D279" s="6" t="n">
        <f aca="false">IF(ROW()&lt;5,"",STDEV($C277:$C279))</f>
        <v>0.792837436828022</v>
      </c>
      <c r="E279" s="6" t="n">
        <f aca="false">IF(ROW()&lt;14,"",STDEV($C268:$C279))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IF(OR($B280="",$B279=""),"",LN($B280/$B279)*100)</f>
        <v>-2.15661450223872</v>
      </c>
      <c r="D280" s="6" t="n">
        <f aca="false">IF(ROW()&lt;5,"",STDEV($C278:$C280))</f>
        <v>0.812759407215578</v>
      </c>
      <c r="E280" s="6" t="n">
        <f aca="false">IF(ROW()&lt;14,"",STDEV($C269:$C280))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IF(OR($B281="",$B280=""),"",LN($B281/$B280)*100)</f>
        <v>-7.00618246708986</v>
      </c>
      <c r="D281" s="6" t="n">
        <f aca="false">IF(ROW()&lt;5,"",STDEV($C279:$C281))</f>
        <v>2.67383464861819</v>
      </c>
      <c r="E281" s="6" t="n">
        <f aca="false">IF(ROW()&lt;14,"",STDEV($C270:$C281))</f>
        <v>3.41463881529488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IF(OR($B282="",$B281=""),"",LN($B282/$B281)*100)</f>
        <v>-4.94019892514518</v>
      </c>
      <c r="D282" s="6" t="n">
        <f aca="false">IF(ROW()&lt;5,"",STDEV($C280:$C282))</f>
        <v>2.43361663924101</v>
      </c>
      <c r="E282" s="6" t="n">
        <f aca="false">IF(ROW()&lt;14,"",STDEV($C271:$C282))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IF(OR($B283="",$B282=""),"",LN($B283/$B282)*100)</f>
        <v>-5.16377768526102</v>
      </c>
      <c r="D283" s="6" t="n">
        <f aca="false">IF(ROW()&lt;5,"",STDEV($C281:$C283))</f>
        <v>1.13377914057861</v>
      </c>
      <c r="E283" s="6" t="n">
        <f aca="false">IF(ROW()&lt;14,"",STDEV($C272:$C283))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1286.72391304347</v>
      </c>
      <c r="C284" s="6" t="n">
        <f aca="false">IF(OR($B284="",$B283=""),"",LN($B284/$B283)*100)</f>
        <v>-4.23317354773108</v>
      </c>
      <c r="D284" s="6" t="n">
        <f aca="false">IF(ROW()&lt;5,"",STDEV($C282:$C284))</f>
        <v>0.485780541512028</v>
      </c>
      <c r="E284" s="6" t="n">
        <f aca="false">IF(ROW()&lt;14,"",STDEV($C273:$C284))</f>
        <v>3.71537518688078</v>
      </c>
    </row>
    <row r="285" customFormat="false" ht="15" hidden="false" customHeight="true" outlineLevel="0" collapsed="false">
      <c r="A285" s="6" t="s">
        <v>306</v>
      </c>
      <c r="B285" s="6" t="n">
        <v>1347.09523809523</v>
      </c>
      <c r="C285" s="6" t="n">
        <f aca="false">IF(OR($B285="",$B284=""),"",LN($B285/$B284)*100)</f>
        <v>4.58512129641295</v>
      </c>
      <c r="D285" s="6" t="n">
        <f aca="false">IF(ROW()&lt;5,"",STDEV($C283:$C285))</f>
        <v>5.38004614871671</v>
      </c>
      <c r="E285" s="6" t="n">
        <f aca="false">IF(ROW()&lt;14,"",STDEV($C274:$C285))</f>
        <v>4.01776991642574</v>
      </c>
    </row>
    <row r="286" customFormat="false" ht="15" hidden="false" customHeight="true" outlineLevel="0" collapsed="false">
      <c r="A286" s="6" t="s">
        <v>307</v>
      </c>
      <c r="B286" s="6" t="n">
        <v>1348.79761904761</v>
      </c>
      <c r="C286" s="6" t="n">
        <f aca="false">IF(OR($B286="",$B285=""),"",LN($B286/$B285)*100)</f>
        <v>0.126294424064245</v>
      </c>
      <c r="D286" s="6" t="n">
        <f aca="false">IF(ROW()&lt;5,"",STDEV($C284:$C286))</f>
        <v>4.40924071379161</v>
      </c>
      <c r="E286" s="6" t="n">
        <f aca="false">IF(ROW()&lt;14,"",STDEV($C275:$C286))</f>
        <v>3.05324264565481</v>
      </c>
    </row>
    <row r="287" customFormat="false" ht="15" hidden="false" customHeight="true" outlineLevel="0" collapsed="false">
      <c r="A287" s="6" t="s">
        <v>308</v>
      </c>
      <c r="B287" s="6" t="n">
        <v>1316.18478260869</v>
      </c>
      <c r="C287" s="6" t="n">
        <f aca="false">IF(OR($B287="",$B286=""),"",LN($B287/$B286)*100)</f>
        <v>-2.44763076634862</v>
      </c>
      <c r="D287" s="6" t="n">
        <f aca="false">IF(ROW()&lt;5,"",STDEV($C285:$C287))</f>
        <v>3.55822590485057</v>
      </c>
      <c r="E287" s="6" t="n">
        <f aca="false">IF(ROW()&lt;14,"",STDEV($C276:$C287))</f>
        <v>2.96696326243306</v>
      </c>
    </row>
    <row r="288" customFormat="false" ht="15" hidden="false" customHeight="true" outlineLevel="0" collapsed="false">
      <c r="A288" s="6" t="s">
        <v>309</v>
      </c>
      <c r="B288" s="6" t="n">
        <v>1275.82142857142</v>
      </c>
      <c r="C288" s="6" t="n">
        <f aca="false">IF(OR($B288="",$B287=""),"",LN($B288/$B287)*100)</f>
        <v>-3.11470064943087</v>
      </c>
      <c r="D288" s="6" t="n">
        <f aca="false">IF(ROW()&lt;5,"",STDEV($C286:$C288))</f>
        <v>1.71143809807117</v>
      </c>
      <c r="E288" s="6" t="n">
        <f aca="false">IF(ROW()&lt;14,"",STDEV($C277:$C288))</f>
        <v>2.96079595924317</v>
      </c>
    </row>
    <row r="289" customFormat="false" ht="15" hidden="false" customHeight="true" outlineLevel="0" collapsed="false">
      <c r="A289" s="6" t="s">
        <v>310</v>
      </c>
      <c r="B289" s="6" t="n">
        <v>1225.40277777777</v>
      </c>
      <c r="C289" s="6" t="n">
        <f aca="false">IF(OR($B289="",$B288=""),"",LN($B289/$B288)*100)</f>
        <v>-4.03206407282166</v>
      </c>
      <c r="D289" s="6" t="n">
        <f aca="false">IF(ROW()&lt;5,"",STDEV($C287:$C289))</f>
        <v>0.795504743559264</v>
      </c>
      <c r="E289" s="6" t="n">
        <f aca="false">IF(ROW()&lt;14,"",STDEV($C278:$C289))</f>
        <v>2.98600953585315</v>
      </c>
    </row>
    <row r="290" customFormat="false" ht="15" hidden="false" customHeight="true" outlineLevel="0" collapsed="false">
      <c r="A290" s="6" t="s">
        <v>311</v>
      </c>
      <c r="B290" s="6" t="n">
        <v>1244.79545454545</v>
      </c>
      <c r="C290" s="6" t="n">
        <f aca="false">IF(OR($B290="",$B289=""),"",LN($B290/$B289)*100)</f>
        <v>1.57016347408708</v>
      </c>
      <c r="D290" s="6" t="n">
        <f aca="false">IF(ROW()&lt;5,"",STDEV($C288:$C290))</f>
        <v>3.00484223084851</v>
      </c>
      <c r="E290" s="6" t="n">
        <f aca="false">IF(ROW()&lt;14,"",STDEV($C279:$C290))</f>
        <v>3.20311032376361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IF(OR($B291="",$B290=""),"",LN($B291/$B290)*100)</f>
        <v>4.41427604768189</v>
      </c>
      <c r="D291" s="6" t="n">
        <f aca="false">IF(ROW()&lt;5,"",STDEV($C289:$C291))</f>
        <v>4.2975689106333</v>
      </c>
      <c r="E291" s="6" t="n">
        <f aca="false">IF(ROW()&lt;14,"",STDEV($C280:$C291))</f>
        <v>3.76418707040827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IF(OR($B292="",$B291=""),"",LN($B292/$B291)*100)</f>
        <v>2.66284650606606</v>
      </c>
      <c r="D292" s="6" t="n">
        <f aca="false">IF(ROW()&lt;5,"",STDEV($C290:$C292))</f>
        <v>1.43471472070812</v>
      </c>
      <c r="E292" s="6" t="n">
        <f aca="false">IF(ROW()&lt;14,"",STDEV($C281:$C292))</f>
        <v>3.98127151652501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IF(OR($B293="",$B292=""),"",LN($B293/$B292)*100)</f>
        <v>-2.81477107302351</v>
      </c>
      <c r="D293" s="6" t="n">
        <f aca="false">IF(ROW()&lt;5,"",STDEV($C291:$C293))</f>
        <v>3.77118288373323</v>
      </c>
      <c r="E293" s="6" t="n">
        <f aca="false">IF(ROW()&lt;14,"",STDEV($C282:$C293))</f>
        <v>3.61823985729262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IF(OR($B294="",$B293=""),"",LN($B294/$B293)*100)</f>
        <v>-0.887296684549683</v>
      </c>
      <c r="D294" s="6" t="n">
        <f aca="false">IF(ROW()&lt;5,"",STDEV($C292:$C294))</f>
        <v>2.7785778297194</v>
      </c>
      <c r="E294" s="6" t="n">
        <f aca="false">IF(ROW()&lt;14,"",STDEV($C283:$C294))</f>
        <v>3.41206771982871</v>
      </c>
    </row>
    <row r="295" customFormat="false" ht="15" hidden="false" customHeight="true" outlineLevel="0" collapsed="false">
      <c r="A295" s="6" t="s">
        <v>316</v>
      </c>
      <c r="B295" s="6" t="n">
        <v>1279.09523809523</v>
      </c>
      <c r="C295" s="6" t="n">
        <f aca="false">IF(OR($B295="",$B294=""),"",LN($B295/$B294)*100)</f>
        <v>-0.656878808241969</v>
      </c>
      <c r="D295" s="6" t="n">
        <f aca="false">IF(ROW()&lt;5,"",STDEV($C293:$C295))</f>
        <v>1.18495773077557</v>
      </c>
      <c r="E295" s="6" t="n">
        <f aca="false">IF(ROW()&lt;14,"",STDEV($C284:$C295))</f>
        <v>3.12104654292692</v>
      </c>
    </row>
    <row r="296" customFormat="false" ht="15" hidden="false" customHeight="true" outlineLevel="0" collapsed="false">
      <c r="A296" s="6" t="s">
        <v>317</v>
      </c>
      <c r="B296" s="6" t="n">
        <v>1310.96739130434</v>
      </c>
      <c r="C296" s="6" t="n">
        <f aca="false">IF(OR($B296="",$B295=""),"",LN($B296/$B295)*100)</f>
        <v>2.46123485647185</v>
      </c>
      <c r="D296" s="6" t="n">
        <f aca="false">IF(ROW()&lt;5,"",STDEV($C294:$C296))</f>
        <v>1.87031141368727</v>
      </c>
      <c r="E296" s="6" t="n">
        <f aca="false">IF(ROW()&lt;14,"",STDEV($C285:$C296))</f>
        <v>2.96862583918375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IF(OR($B297="",$B296=""),"",LN($B297/$B296)*100)</f>
        <v>-1.14923785034238</v>
      </c>
      <c r="D297" s="6" t="n">
        <f aca="false">IF(ROW()&lt;5,"",STDEV($C295:$C297))</f>
        <v>1.95791400130613</v>
      </c>
      <c r="E297" s="6" t="n">
        <f aca="false">IF(ROW()&lt;14,"",STDEV($C286:$C297))</f>
        <v>2.63337422315823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IF(OR($B298="",$B297=""),"",LN($B298/$B297)*100)</f>
        <v>-4.51151068525289</v>
      </c>
      <c r="D298" s="6" t="n">
        <f aca="false">IF(ROW()&lt;5,"",STDEV($C296:$C298))</f>
        <v>3.48710893082579</v>
      </c>
      <c r="E298" s="6" t="n">
        <f aca="false">IF(ROW()&lt;14,"",STDEV($C287:$C298))</f>
        <v>2.88943126550637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IF(OR($B299="",$B298=""),"",LN($B299/$B298)*100)</f>
        <v>-1.32687949018427</v>
      </c>
      <c r="D299" s="6" t="n">
        <f aca="false">IF(ROW()&lt;5,"",STDEV($C297:$C299))</f>
        <v>1.89201440345059</v>
      </c>
      <c r="E299" s="6" t="n">
        <f aca="false">IF(ROW()&lt;14,"",STDEV($C288:$C299))</f>
        <v>2.8459022209584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IF(OR($B300="",$B299=""),"",LN($B300/$B299)*100)</f>
        <v>-3.85151320832103</v>
      </c>
      <c r="D300" s="6" t="n">
        <f aca="false">IF(ROW()&lt;5,"",STDEV($C298:$C300))</f>
        <v>1.68083550300208</v>
      </c>
      <c r="E300" s="6" t="n">
        <f aca="false">IF(ROW()&lt;14,"",STDEV($C289:$C300))</f>
        <v>2.91191026958419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IF(OR($B301="",$B300=""),"",LN($B301/$B300)*100)</f>
        <v>2.18537148270187</v>
      </c>
      <c r="D301" s="6" t="n">
        <f aca="false">IF(ROW()&lt;5,"",STDEV($C299:$C301))</f>
        <v>3.03187673122329</v>
      </c>
      <c r="E301" s="6" t="n">
        <f aca="false">IF(ROW()&lt;14,"",STDEV($C290:$C301))</f>
        <v>2.81205717162565</v>
      </c>
    </row>
    <row r="302" customFormat="false" ht="15" hidden="false" customHeight="true" outlineLevel="0" collapsed="false">
      <c r="A302" s="6" t="s">
        <v>323</v>
      </c>
      <c r="B302" s="6" t="n">
        <v>1251.84523809523</v>
      </c>
      <c r="C302" s="6" t="n">
        <f aca="false">IF(OR($B302="",$B301=""),"",LN($B302/$B301)*100)</f>
        <v>4.03910194810441</v>
      </c>
      <c r="D302" s="6" t="n">
        <f aca="false">IF(ROW()&lt;5,"",STDEV($C300:$C302))</f>
        <v>4.12597667140519</v>
      </c>
      <c r="E302" s="6" t="n">
        <f aca="false">IF(ROW()&lt;14,"",STDEV($C291:$C302))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IF(OR($B303="",$B302=""),"",LN($B303/$B302)*100)</f>
        <v>-1.98936875021297</v>
      </c>
      <c r="D303" s="6" t="n">
        <f aca="false">IF(ROW()&lt;5,"",STDEV($C301:$C303))</f>
        <v>3.08780481926213</v>
      </c>
      <c r="E303" s="6" t="n">
        <f aca="false">IF(ROW()&lt;14,"",STDEV($C292:$C303))</f>
        <v>2.74302596662204</v>
      </c>
    </row>
    <row r="304" customFormat="false" ht="15" hidden="false" customHeight="true" outlineLevel="0" collapsed="false">
      <c r="A304" s="6" t="s">
        <v>325</v>
      </c>
      <c r="B304" s="6" t="n">
        <v>1178.62954545454</v>
      </c>
      <c r="C304" s="6" t="n">
        <f aca="false">IF(OR($B304="",$B303=""),"",LN($B304/$B303)*100)</f>
        <v>-4.03726044199161</v>
      </c>
      <c r="D304" s="6" t="n">
        <f aca="false">IF(ROW()&lt;5,"",STDEV($C302:$C304))</f>
        <v>4.19849077641567</v>
      </c>
      <c r="E304" s="6" t="n">
        <f aca="false">IF(ROW()&lt;14,"",STDEV($C293:$C304))</f>
        <v>2.72553018283347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IF(OR($B305="",$B304=""),"",LN($B305/$B304)*100)</f>
        <v>1.6226010292261</v>
      </c>
      <c r="D305" s="6" t="n">
        <f aca="false">IF(ROW()&lt;5,"",STDEV($C303:$C305))</f>
        <v>2.86572323454923</v>
      </c>
      <c r="E305" s="6" t="n">
        <f aca="false">IF(ROW()&lt;14,"",STDEV($C294:$C305))</f>
        <v>2.76431939836122</v>
      </c>
    </row>
    <row r="306" customFormat="false" ht="15" hidden="false" customHeight="true" outlineLevel="0" collapsed="false">
      <c r="A306" s="6" t="s">
        <v>327</v>
      </c>
      <c r="B306" s="6" t="n">
        <v>1199.05263157894</v>
      </c>
      <c r="C306" s="6" t="n">
        <f aca="false">IF(OR($B306="",$B305=""),"",LN($B306/$B305)*100)</f>
        <v>0.0953399648737062</v>
      </c>
      <c r="D306" s="6" t="n">
        <f aca="false">IF(ROW()&lt;5,"",STDEV($C304:$C306))</f>
        <v>2.92816621667569</v>
      </c>
      <c r="E306" s="6" t="n">
        <f aca="false">IF(ROW()&lt;14,"",STDEV($C295:$C306))</f>
        <v>2.772006761478</v>
      </c>
    </row>
    <row r="307" customFormat="false" ht="15" hidden="false" customHeight="true" outlineLevel="0" collapsed="false">
      <c r="A307" s="6" t="s">
        <v>328</v>
      </c>
      <c r="B307" s="6" t="n">
        <v>1181.50454545454</v>
      </c>
      <c r="C307" s="6" t="n">
        <f aca="false">IF(OR($B307="",$B306=""),"",LN($B307/$B306)*100)</f>
        <v>-1.47431064842252</v>
      </c>
      <c r="D307" s="6" t="n">
        <f aca="false">IF(ROW()&lt;5,"",STDEV($C305:$C307))</f>
        <v>1.54850418929928</v>
      </c>
      <c r="E307" s="6" t="n">
        <f aca="false">IF(ROW()&lt;14,"",STDEV($C296:$C307))</f>
        <v>2.78373151606234</v>
      </c>
    </row>
    <row r="308" customFormat="false" ht="15" hidden="false" customHeight="true" outlineLevel="0" collapsed="false">
      <c r="A308" s="6" t="s">
        <v>329</v>
      </c>
      <c r="B308" s="6" t="n">
        <v>1130.03695652173</v>
      </c>
      <c r="C308" s="6" t="n">
        <f aca="false">IF(OR($B308="",$B307=""),"",LN($B308/$B307)*100)</f>
        <v>-4.45383277511057</v>
      </c>
      <c r="D308" s="6" t="n">
        <f aca="false">IF(ROW()&lt;5,"",STDEV($C306:$C308))</f>
        <v>2.31071157039922</v>
      </c>
      <c r="E308" s="6" t="n">
        <f aca="false">IF(ROW()&lt;14,"",STDEV($C297:$C308))</f>
        <v>2.7942806565314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IF(OR($B309="",$B308=""),"",LN($B309/$B308)*100)</f>
        <v>-1.11786611852519</v>
      </c>
      <c r="D309" s="6" t="n">
        <f aca="false">IF(ROW()&lt;5,"",STDEV($C307:$C309))</f>
        <v>1.83181505344502</v>
      </c>
      <c r="E309" s="6" t="n">
        <f aca="false">IF(ROW()&lt;14,"",STDEV($C298:$C309))</f>
        <v>2.79438554223413</v>
      </c>
    </row>
    <row r="310" customFormat="false" ht="15" hidden="false" customHeight="true" outlineLevel="0" collapsed="false">
      <c r="A310" s="6" t="s">
        <v>331</v>
      </c>
      <c r="B310" s="6" t="n">
        <v>1124.53181818181</v>
      </c>
      <c r="C310" s="6" t="n">
        <f aca="false">IF(OR($B310="",$B309=""),"",LN($B310/$B309)*100)</f>
        <v>0.629511153024581</v>
      </c>
      <c r="D310" s="6" t="n">
        <f aca="false">IF(ROW()&lt;5,"",STDEV($C308:$C310))</f>
        <v>2.58271131289989</v>
      </c>
      <c r="E310" s="6" t="n">
        <f aca="false">IF(ROW()&lt;14,"",STDEV($C299:$C310))</f>
        <v>2.63599172869685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IF(OR($B311="",$B310=""),"",LN($B311/$B310)*100)</f>
        <v>3.04025358303586</v>
      </c>
      <c r="D311" s="6" t="n">
        <f aca="false">IF(ROW()&lt;5,"",STDEV($C309:$C311))</f>
        <v>2.08786038188603</v>
      </c>
      <c r="E311" s="6" t="n">
        <f aca="false">IF(ROW()&lt;14,"",STDEV($C300:$C311))</f>
        <v>2.85037762424464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IF(OR($B312="",$B311=""),"",LN($B312/$B311)*100)</f>
        <v>-6.55421899867197</v>
      </c>
      <c r="D312" s="6" t="n">
        <f aca="false">IF(ROW()&lt;5,"",STDEV($C310:$C312))</f>
        <v>4.99118493074531</v>
      </c>
      <c r="E312" s="6" t="n">
        <f aca="false">IF(ROW()&lt;14,"",STDEV($C301:$C312))</f>
        <v>3.22621801968314</v>
      </c>
    </row>
    <row r="313" customFormat="false" ht="15" hidden="false" customHeight="true" outlineLevel="0" collapsed="false">
      <c r="A313" s="6" t="s">
        <v>334</v>
      </c>
      <c r="B313" s="6" t="n">
        <v>1068.25263157894</v>
      </c>
      <c r="C313" s="6" t="n">
        <f aca="false">IF(OR($B313="",$B312=""),"",LN($B313/$B312)*100)</f>
        <v>-1.62028742770377</v>
      </c>
      <c r="D313" s="6" t="n">
        <f aca="false">IF(ROW()&lt;5,"",STDEV($C311:$C313))</f>
        <v>4.79788542625683</v>
      </c>
      <c r="E313" s="6" t="n">
        <f aca="false">IF(ROW()&lt;14,"",STDEV($C302:$C313))</f>
        <v>3.10501574457544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IF(OR($B314="",$B313=""),"",LN($B314/$B313)*100)</f>
        <v>2.68967052766979</v>
      </c>
      <c r="D314" s="6" t="n">
        <f aca="false">IF(ROW()&lt;5,"",STDEV($C312:$C314))</f>
        <v>4.62545334533628</v>
      </c>
      <c r="E314" s="6" t="n">
        <f aca="false">IF(ROW()&lt;14,"",STDEV($C303:$C314))</f>
        <v>2.9257808688616</v>
      </c>
    </row>
    <row r="315" customFormat="false" ht="15" hidden="false" customHeight="true" outlineLevel="0" collapsed="false">
      <c r="A315" s="6" t="s">
        <v>336</v>
      </c>
      <c r="B315" s="6" t="n">
        <v>1199.9119047619</v>
      </c>
      <c r="C315" s="6" t="n">
        <f aca="false">IF(OR($B315="",$B314=""),"",LN($B315/$B314)*100)</f>
        <v>8.9327177136458</v>
      </c>
      <c r="D315" s="6" t="n">
        <f aca="false">IF(ROW()&lt;5,"",STDEV($C313:$C315))</f>
        <v>5.30592896762294</v>
      </c>
      <c r="E315" s="6" t="n">
        <f aca="false">IF(ROW()&lt;14,"",STDEV($C304:$C315))</f>
        <v>4.09023837635899</v>
      </c>
    </row>
    <row r="316" customFormat="false" ht="15" hidden="false" customHeight="true" outlineLevel="0" collapsed="false">
      <c r="A316" s="6" t="s">
        <v>337</v>
      </c>
      <c r="B316" s="6" t="n">
        <v>1246.33809523809</v>
      </c>
      <c r="C316" s="6" t="n">
        <f aca="false">IF(OR($B316="",$B315=""),"",LN($B316/$B315)*100)</f>
        <v>3.79615866501579</v>
      </c>
      <c r="D316" s="6" t="n">
        <f aca="false">IF(ROW()&lt;5,"",STDEV($C314:$C316))</f>
        <v>3.33127085420548</v>
      </c>
      <c r="E316" s="6" t="n">
        <f aca="false">IF(ROW()&lt;14,"",STDEV($C305:$C316))</f>
        <v>4.04478190199533</v>
      </c>
    </row>
    <row r="317" customFormat="false" ht="15" hidden="false" customHeight="true" outlineLevel="0" collapsed="false">
      <c r="A317" s="6" t="s">
        <v>338</v>
      </c>
      <c r="B317" s="6" t="n">
        <v>1242.2619047619</v>
      </c>
      <c r="C317" s="6" t="n">
        <f aca="false">IF(OR($B317="",$B316=""),"",LN($B317/$B316)*100)</f>
        <v>-0.327589337095945</v>
      </c>
      <c r="D317" s="6" t="n">
        <f aca="false">IF(ROW()&lt;5,"",STDEV($C315:$C317))</f>
        <v>4.63937537316898</v>
      </c>
      <c r="E317" s="6" t="n">
        <f aca="false">IF(ROW()&lt;14,"",STDEV($C306:$C317))</f>
        <v>4.03322510724998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IF(OR($B318="",$B317=""),"",LN($B318/$B317)*100)</f>
        <v>1.36995973183861</v>
      </c>
      <c r="D318" s="6" t="n">
        <f aca="false">IF(ROW()&lt;5,"",STDEV($C316:$C318))</f>
        <v>2.07257535808758</v>
      </c>
      <c r="E318" s="6" t="n">
        <f aca="false">IF(ROW()&lt;14,"",STDEV($C307:$C318))</f>
        <v>4.04402973217697</v>
      </c>
    </row>
    <row r="319" customFormat="false" ht="15" hidden="false" customHeight="true" outlineLevel="0" collapsed="false">
      <c r="A319" s="6" t="s">
        <v>340</v>
      </c>
      <c r="B319" s="6" t="n">
        <v>1276.40454545454</v>
      </c>
      <c r="C319" s="6" t="n">
        <f aca="false">IF(OR($B319="",$B318=""),"",LN($B319/$B318)*100)</f>
        <v>1.34137445694319</v>
      </c>
      <c r="D319" s="6" t="n">
        <f aca="false">IF(ROW()&lt;5,"",STDEV($C317:$C319))</f>
        <v>0.971933648729424</v>
      </c>
      <c r="E319" s="6" t="n">
        <f aca="false">IF(ROW()&lt;14,"",STDEV($C308:$C319))</f>
        <v>4.00632130407041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IF(OR($B320="",$B319=""),"",LN($B320/$B319)*100)</f>
        <v>4.66250637301065</v>
      </c>
      <c r="D320" s="6" t="n">
        <f aca="false">IF(ROW()&lt;5,"",STDEV($C318:$C320))</f>
        <v>1.90925804551384</v>
      </c>
      <c r="E320" s="6" t="n">
        <f aca="false">IF(ROW()&lt;14,"",STDEV($C309:$C320))</f>
        <v>3.81140438272531</v>
      </c>
    </row>
    <row r="321" customFormat="false" ht="15" hidden="false" customHeight="true" outlineLevel="0" collapsed="false">
      <c r="A321" s="6" t="s">
        <v>342</v>
      </c>
      <c r="B321" s="6" t="n">
        <v>1341.08863636363</v>
      </c>
      <c r="C321" s="6" t="n">
        <f aca="false">IF(OR($B321="",$B320=""),"",LN($B321/$B320)*100)</f>
        <v>0.280945903114374</v>
      </c>
      <c r="D321" s="6" t="n">
        <f aca="false">IF(ROW()&lt;5,"",STDEV($C319:$C321))</f>
        <v>2.28591695945176</v>
      </c>
      <c r="E321" s="6" t="n">
        <f aca="false">IF(ROW()&lt;14,"",STDEV($C310:$C321))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1326.02954545454</v>
      </c>
      <c r="C322" s="6" t="n">
        <f aca="false">IF(OR($B322="",$B321=""),"",LN($B322/$B321)*100)</f>
        <v>-1.1292526173597</v>
      </c>
      <c r="D322" s="6" t="n">
        <f aca="false">IF(ROW()&lt;5,"",STDEV($C320:$C322))</f>
        <v>3.02024293231082</v>
      </c>
      <c r="E322" s="6" t="n">
        <f aca="false">IF(ROW()&lt;14,"",STDEV($C311:$C322))</f>
        <v>3.81983661062051</v>
      </c>
    </row>
    <row r="323" customFormat="false" ht="15" hidden="false" customHeight="true" outlineLevel="0" collapsed="false">
      <c r="A323" s="6" t="s">
        <v>344</v>
      </c>
      <c r="B323" s="6" t="n">
        <v>1266.56904761904</v>
      </c>
      <c r="C323" s="6" t="n">
        <f aca="false">IF(OR($B323="",$B322=""),"",LN($B323/$B322)*100)</f>
        <v>-4.58774657301773</v>
      </c>
      <c r="D323" s="6" t="n">
        <f aca="false">IF(ROW()&lt;5,"",STDEV($C321:$C323))</f>
        <v>2.50512829796586</v>
      </c>
      <c r="E323" s="6" t="n">
        <f aca="false">IF(ROW()&lt;14,"",STDEV($C312:$C323))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1235.97954545454</v>
      </c>
      <c r="C324" s="6" t="n">
        <f aca="false">IF(OR($B324="",$B323=""),"",LN($B324/$B323)*100)</f>
        <v>-2.44478975116231</v>
      </c>
      <c r="D324" s="6" t="n">
        <f aca="false">IF(ROW()&lt;5,"",STDEV($C322:$C324))</f>
        <v>1.74566521857588</v>
      </c>
      <c r="E324" s="6" t="n">
        <f aca="false">IF(ROW()&lt;14,"",STDEV($C313:$C324))</f>
        <v>3.61763502798748</v>
      </c>
    </row>
    <row r="325" customFormat="false" ht="15" hidden="false" customHeight="true" outlineLevel="0" collapsed="false">
      <c r="A325" s="6" t="s">
        <v>346</v>
      </c>
      <c r="B325" s="6" t="n">
        <v>1151.40277777777</v>
      </c>
      <c r="C325" s="6" t="n">
        <f aca="false">IF(OR($B325="",$B324=""),"",LN($B325/$B324)*100)</f>
        <v>-7.08828041349537</v>
      </c>
      <c r="D325" s="6" t="n">
        <f aca="false">IF(ROW()&lt;5,"",STDEV($C323:$C325))</f>
        <v>2.32403883210833</v>
      </c>
      <c r="E325" s="6" t="n">
        <f aca="false">IF(ROW()&lt;14,"",STDEV($C314:$C325))</f>
        <v>4.27360962391868</v>
      </c>
    </row>
    <row r="326" customFormat="false" ht="15" hidden="false" customHeight="true" outlineLevel="0" collapsed="false">
      <c r="A326" s="6" t="s">
        <v>347</v>
      </c>
      <c r="B326" s="6" t="n">
        <v>1192.61666666666</v>
      </c>
      <c r="C326" s="6" t="n">
        <f aca="false">IF(OR($B326="",$B325=""),"",LN($B326/$B325)*100)</f>
        <v>3.5168766899081</v>
      </c>
      <c r="D326" s="6" t="n">
        <f aca="false">IF(ROW()&lt;5,"",STDEV($C324:$C326))</f>
        <v>5.31621465383075</v>
      </c>
      <c r="E326" s="6" t="n">
        <f aca="false">IF(ROW()&lt;14,"",STDEV($C315:$C326))</f>
        <v>4.31640413912776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IF(OR($B327="",$B326=""),"",LN($B327/$B326)*100)</f>
        <v>3.44008191139718</v>
      </c>
      <c r="D327" s="6" t="n">
        <f aca="false">IF(ROW()&lt;5,"",STDEV($C325:$C327))</f>
        <v>6.1008423990748</v>
      </c>
      <c r="E327" s="6" t="n">
        <f aca="false">IF(ROW()&lt;14,"",STDEV($C316:$C327))</f>
        <v>3.59406726168916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IF(OR($B328="",$B327=""),"",LN($B328/$B327)*100)</f>
        <v>-0.264781062360456</v>
      </c>
      <c r="D328" s="6" t="n">
        <f aca="false">IF(ROW()&lt;5,"",STDEV($C326:$C328))</f>
        <v>2.161513453101</v>
      </c>
      <c r="E328" s="6" t="n">
        <f aca="false">IF(ROW()&lt;14,"",STDEV($C317:$C328))</f>
        <v>3.41508830129168</v>
      </c>
    </row>
    <row r="329" customFormat="false" ht="15" hidden="false" customHeight="true" outlineLevel="0" collapsed="false">
      <c r="A329" s="6" t="s">
        <v>350</v>
      </c>
      <c r="B329" s="6" t="n">
        <v>1265.62777777777</v>
      </c>
      <c r="C329" s="6" t="n">
        <f aca="false">IF(OR($B329="",$B328=""),"",LN($B329/$B328)*100)</f>
        <v>2.76654849296746</v>
      </c>
      <c r="D329" s="6" t="n">
        <f aca="false">IF(ROW()&lt;5,"",STDEV($C327:$C329))</f>
        <v>1.97351698721962</v>
      </c>
      <c r="E329" s="6" t="n">
        <f aca="false">IF(ROW()&lt;14,"",STDEV($C318:$C329))</f>
        <v>3.51198511647031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IF(OR($B330="",$B329=""),"",LN($B330/$B329)*100)</f>
        <v>-1.64289113652755</v>
      </c>
      <c r="D330" s="6" t="n">
        <f aca="false">IF(ROW()&lt;5,"",STDEV($C328:$C330))</f>
        <v>2.25578161234957</v>
      </c>
      <c r="E330" s="6" t="n">
        <f aca="false">IF(ROW()&lt;14,"",STDEV($C319:$C330))</f>
        <v>3.52492435998039</v>
      </c>
    </row>
    <row r="331" customFormat="false" ht="15" hidden="false" customHeight="true" outlineLevel="0" collapsed="false">
      <c r="A331" s="6" t="s">
        <v>352</v>
      </c>
      <c r="B331" s="6" t="n">
        <v>1260.25681818181</v>
      </c>
      <c r="C331" s="6" t="n">
        <f aca="false">IF(OR($B331="",$B330=""),"",LN($B331/$B330)*100)</f>
        <v>1.21761694154676</v>
      </c>
      <c r="D331" s="6" t="n">
        <f aca="false">IF(ROW()&lt;5,"",STDEV($C329:$C331))</f>
        <v>2.23699401213161</v>
      </c>
      <c r="E331" s="6" t="n">
        <f aca="false">IF(ROW()&lt;14,"",STDEV($C320:$C331))</f>
        <v>3.52051559319295</v>
      </c>
    </row>
    <row r="332" customFormat="false" ht="15" hidden="false" customHeight="true" outlineLevel="0" collapsed="false">
      <c r="A332" s="6" t="s">
        <v>353</v>
      </c>
      <c r="B332" s="6" t="n">
        <v>1236.22142857142</v>
      </c>
      <c r="C332" s="6" t="n">
        <f aca="false">IF(OR($B332="",$B331=""),"",LN($B332/$B331)*100)</f>
        <v>-1.92560318281222</v>
      </c>
      <c r="D332" s="6" t="n">
        <f aca="false">IF(ROW()&lt;5,"",STDEV($C330:$C332))</f>
        <v>1.73888207938406</v>
      </c>
      <c r="E332" s="6" t="n">
        <f aca="false">IF(ROW()&lt;14,"",STDEV($C321:$C332))</f>
        <v>3.20919731431477</v>
      </c>
    </row>
    <row r="333" customFormat="false" ht="15" hidden="false" customHeight="true" outlineLevel="0" collapsed="false">
      <c r="A333" s="6" t="s">
        <v>354</v>
      </c>
      <c r="B333" s="6" t="n">
        <v>1282.3159090909</v>
      </c>
      <c r="C333" s="6" t="n">
        <f aca="false">IF(OR($B333="",$B332=""),"",LN($B333/$B332)*100)</f>
        <v>3.66082547701742</v>
      </c>
      <c r="D333" s="6" t="n">
        <f aca="false">IF(ROW()&lt;5,"",STDEV($C331:$C333))</f>
        <v>2.80051441314324</v>
      </c>
      <c r="E333" s="6" t="n">
        <f aca="false">IF(ROW()&lt;14,"",STDEV($C322:$C333))</f>
        <v>3.43891537941799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IF(OR($B334="",$B333=""),"",LN($B334/$B333)*100)</f>
        <v>2.5152622915397</v>
      </c>
      <c r="D334" s="6" t="n">
        <f aca="false">IF(ROW()&lt;5,"",STDEV($C332:$C334))</f>
        <v>2.95075657938149</v>
      </c>
      <c r="E334" s="6" t="n">
        <f aca="false">IF(ROW()&lt;14,"",STDEV($C323:$C334))</f>
        <v>3.52593086334268</v>
      </c>
    </row>
    <row r="335" customFormat="false" ht="15" hidden="false" customHeight="true" outlineLevel="0" collapsed="false">
      <c r="A335" s="6" t="s">
        <v>356</v>
      </c>
      <c r="B335" s="6" t="n">
        <v>1279.51363636363</v>
      </c>
      <c r="C335" s="6" t="n">
        <f aca="false">IF(OR($B335="",$B334=""),"",LN($B335/$B334)*100)</f>
        <v>-2.73403358722581</v>
      </c>
      <c r="D335" s="6" t="n">
        <f aca="false">IF(ROW()&lt;5,"",STDEV($C333:$C335))</f>
        <v>3.40983002231001</v>
      </c>
      <c r="E335" s="6" t="n">
        <f aca="false">IF(ROW()&lt;14,"",STDEV($C324:$C335))</f>
        <v>3.34601249368345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IF(OR($B336="",$B335=""),"",LN($B336/$B335)*100)</f>
        <v>0.216289958884145</v>
      </c>
      <c r="D336" s="6" t="n">
        <f aca="false">IF(ROW()&lt;5,"",STDEV($C334:$C336))</f>
        <v>2.63137448354376</v>
      </c>
      <c r="E336" s="6" t="n">
        <f aca="false">IF(ROW()&lt;14,"",STDEV($C325:$C336))</f>
        <v>3.24992991820394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IF(OR($B337="",$B336=""),"",LN($B337/$B336)*100)</f>
        <v>-1.65349771399635</v>
      </c>
      <c r="D337" s="6" t="n">
        <f aca="false">IF(ROW()&lt;5,"",STDEV($C335:$C337))</f>
        <v>1.49265271366799</v>
      </c>
      <c r="E337" s="6" t="n">
        <f aca="false">IF(ROW()&lt;14,"",STDEV($C326:$C337))</f>
        <v>2.39089137041959</v>
      </c>
    </row>
    <row r="338" customFormat="false" ht="15" hidden="false" customHeight="true" outlineLevel="0" collapsed="false">
      <c r="A338" s="6" t="s">
        <v>359</v>
      </c>
      <c r="B338" s="6" t="n">
        <v>1331.6659090909</v>
      </c>
      <c r="C338" s="6" t="n">
        <f aca="false">IF(OR($B338="",$B337=""),"",LN($B338/$B337)*100)</f>
        <v>5.43227650750322</v>
      </c>
      <c r="D338" s="6" t="n">
        <f aca="false">IF(ROW()&lt;5,"",STDEV($C336:$C338))</f>
        <v>3.67221136680835</v>
      </c>
      <c r="E338" s="6" t="n">
        <f aca="false">IF(ROW()&lt;14,"",STDEV($C327:$C338))</f>
        <v>2.64242275098838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IF(OR($B339="",$B338=""),"",LN($B339/$B338)*100)</f>
        <v>-0.0105819744690796</v>
      </c>
      <c r="D339" s="6" t="n">
        <f aca="false">IF(ROW()&lt;5,"",STDEV($C337:$C339))</f>
        <v>3.70882004821012</v>
      </c>
      <c r="E339" s="6" t="n">
        <f aca="false">IF(ROW()&lt;14,"",STDEV($C328:$C339))</f>
        <v>2.52842826481276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IF(OR($B340="",$B339=""),"",LN($B340/$B339)*100)</f>
        <v>-0.517123606614103</v>
      </c>
      <c r="D340" s="6" t="n">
        <f aca="false">IF(ROW()&lt;5,"",STDEV($C338:$C340))</f>
        <v>3.2983999807415</v>
      </c>
      <c r="E340" s="6" t="n">
        <f aca="false">IF(ROW()&lt;14,"",STDEV($C329:$C340))</f>
        <v>2.53759246161425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IF(OR($B341="",$B340=""),"",LN($B341/$B340)*100)</f>
        <v>0.758285048419176</v>
      </c>
      <c r="D341" s="6" t="n">
        <f aca="false">IF(ROW()&lt;5,"",STDEV($C339:$C341))</f>
        <v>0.642184833376782</v>
      </c>
      <c r="E341" s="6" t="n">
        <f aca="false">IF(ROW()&lt;14,"",STDEV($C330:$C341))</f>
        <v>2.44707668315181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IF(OR($B342="",$B341=""),"",LN($B342/$B341)*100)</f>
        <v>-2.40471182544634</v>
      </c>
      <c r="D342" s="6" t="n">
        <f aca="false">IF(ROW()&lt;5,"",STDEV($C340:$C342))</f>
        <v>1.59134145431305</v>
      </c>
      <c r="E342" s="6" t="n">
        <f aca="false">IF(ROW()&lt;14,"",STDEV($C331:$C342))</f>
        <v>2.51505084994586</v>
      </c>
    </row>
    <row r="343" customFormat="false" ht="15" hidden="false" customHeight="true" outlineLevel="0" collapsed="false">
      <c r="A343" s="6" t="s">
        <v>364</v>
      </c>
      <c r="B343" s="6" t="n">
        <v>1281.56666666666</v>
      </c>
      <c r="C343" s="6" t="n">
        <f aca="false">IF(OR($B343="",$B342=""),"",LN($B343/$B342)*100)</f>
        <v>-1.6606110237436</v>
      </c>
      <c r="D343" s="6" t="n">
        <f aca="false">IF(ROW()&lt;5,"",STDEV($C341:$C343))</f>
        <v>1.6537479370157</v>
      </c>
      <c r="E343" s="6" t="n">
        <f aca="false">IF(ROW()&lt;14,"",STDEV($C332:$C343))</f>
        <v>2.5646200079383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IF(OR($B344="",$B343=""),"",LN($B344/$B343)*100)</f>
        <v>-3.41621323864189</v>
      </c>
      <c r="D344" s="6" t="n">
        <f aca="false">IF(ROW()&lt;5,"",STDEV($C342:$C344))</f>
        <v>0.881188614783755</v>
      </c>
      <c r="E344" s="6" t="n">
        <f aca="false">IF(ROW()&lt;14,"",STDEV($C333:$C344))</f>
        <v>2.70595318446722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IF(OR($B345="",$B344=""),"",LN($B345/$B344)*100)</f>
        <v>-3.05622580940513</v>
      </c>
      <c r="D345" s="6" t="n">
        <f aca="false">IF(ROW()&lt;5,"",STDEV($C343:$C345))</f>
        <v>0.927314286539484</v>
      </c>
      <c r="E345" s="6" t="n">
        <f aca="false">IF(ROW()&lt;14,"",STDEV($C334:$C345))</f>
        <v>2.57490332811111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IF(OR($B346="",$B345=""),"",LN($B346/$B345)*100)</f>
        <v>-0.231106807731418</v>
      </c>
      <c r="D346" s="6" t="n">
        <f aca="false">IF(ROW()&lt;5,"",STDEV($C344:$C346))</f>
        <v>1.74431415839453</v>
      </c>
      <c r="E346" s="6" t="n">
        <f aca="false">IF(ROW()&lt;14,"",STDEV($C335:$C346))</f>
        <v>2.3939383530258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IF(OR($B347="",$B346=""),"",LN($B347/$B346)*100)</f>
        <v>1.40200455040512</v>
      </c>
      <c r="D347" s="6" t="n">
        <f aca="false">IF(ROW()&lt;5,"",STDEV($C345:$C347))</f>
        <v>2.25551797535238</v>
      </c>
      <c r="E347" s="6" t="n">
        <f aca="false">IF(ROW()&lt;14,"",STDEV($C336:$C347))</f>
        <v>2.38366864197248</v>
      </c>
    </row>
    <row r="348" customFormat="false" ht="15" hidden="false" customHeight="true" outlineLevel="0" collapsed="false">
      <c r="A348" s="6" t="s">
        <v>369</v>
      </c>
      <c r="B348" s="6" t="n">
        <v>1220.94545454545</v>
      </c>
      <c r="C348" s="6" t="n">
        <f aca="false">IF(OR($B348="",$B347=""),"",LN($B348/$B347)*100)</f>
        <v>0.455764657400789</v>
      </c>
      <c r="D348" s="6" t="n">
        <f aca="false">IF(ROW()&lt;5,"",STDEV($C346:$C348))</f>
        <v>0.819981204337461</v>
      </c>
      <c r="E348" s="6" t="n">
        <f aca="false">IF(ROW()&lt;14,"",STDEV($C337:$C348))</f>
        <v>2.39054953230244</v>
      </c>
    </row>
    <row r="349" customFormat="false" ht="15" hidden="false" customHeight="true" outlineLevel="0" collapsed="false">
      <c r="A349" s="6" t="s">
        <v>370</v>
      </c>
      <c r="B349" s="6" t="n">
        <v>1247.92352941176</v>
      </c>
      <c r="C349" s="6" t="n">
        <f aca="false">IF(OR($B349="",$B348=""),"",LN($B349/$B348)*100)</f>
        <v>2.18554722013082</v>
      </c>
      <c r="D349" s="6" t="n">
        <f aca="false">IF(ROW()&lt;5,"",STDEV($C347:$C349))</f>
        <v>0.866165569691943</v>
      </c>
      <c r="E349" s="6" t="n">
        <f aca="false">IF(ROW()&lt;14,"",STDEV($C338:$C349))</f>
        <v>2.46452475598141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IF(OR($B350="",$B349=""),"",LN($B350/$B349)*100)</f>
        <v>3.45133757843315</v>
      </c>
      <c r="D350" s="6" t="n">
        <f aca="false">IF(ROW()&lt;5,"",STDEV($C348:$C350))</f>
        <v>1.50376361566118</v>
      </c>
      <c r="E350" s="6" t="n">
        <f aca="false">IF(ROW()&lt;14,"",STDEV($C339:$C350))</f>
        <v>2.10058307984063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IF(OR($B351="",$B350=""),"",LN($B351/$B350)*100)</f>
        <v>2.16866084657532</v>
      </c>
      <c r="D351" s="6" t="n">
        <f aca="false">IF(ROW()&lt;5,"",STDEV($C349:$C351))</f>
        <v>0.735727528735163</v>
      </c>
      <c r="E351" s="6" t="n">
        <f aca="false">IF(ROW()&lt;14,"",STDEV($C340:$C351))</f>
        <v>2.21461327801787</v>
      </c>
    </row>
    <row r="352" customFormat="false" ht="15" hidden="false" customHeight="true" outlineLevel="0" collapsed="false">
      <c r="A352" s="6" t="s">
        <v>373</v>
      </c>
      <c r="B352" s="6" t="n">
        <v>1300.89761904761</v>
      </c>
      <c r="C352" s="6" t="n">
        <f aca="false">IF(OR($B352="",$B351=""),"",LN($B352/$B351)*100)</f>
        <v>-1.46264754212049</v>
      </c>
      <c r="D352" s="6" t="n">
        <f aca="false">IF(ROW()&lt;5,"",STDEV($C350:$C352))</f>
        <v>2.54882031461892</v>
      </c>
      <c r="E352" s="6" t="n">
        <f aca="false">IF(ROW()&lt;14,"",STDEV($C341:$C352))</f>
        <v>2.24845066075915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IF(OR($B353="",$B352=""),"",LN($B353/$B352)*100)</f>
        <v>-1.11719022149331</v>
      </c>
      <c r="D353" s="6" t="n">
        <f aca="false">IF(ROW()&lt;5,"",STDEV($C351:$C353))</f>
        <v>2.00426872016185</v>
      </c>
      <c r="E353" s="6" t="n">
        <f aca="false">IF(ROW()&lt;14,"",STDEV($C342:$C353))</f>
        <v>2.2446925761109</v>
      </c>
    </row>
    <row r="354" customFormat="false" ht="15" hidden="false" customHeight="true" outlineLevel="0" collapsed="false">
      <c r="A354" s="6" t="s">
        <v>375</v>
      </c>
      <c r="B354" s="6" t="n">
        <v>1283.94761904761</v>
      </c>
      <c r="C354" s="6" t="n">
        <f aca="false">IF(OR($B354="",$B353=""),"",LN($B354/$B353)*100)</f>
        <v>-0.194319087265032</v>
      </c>
      <c r="D354" s="6" t="n">
        <f aca="false">IF(ROW()&lt;5,"",STDEV($C352:$C354))</f>
        <v>0.655704323630036</v>
      </c>
      <c r="E354" s="6" t="n">
        <f aca="false">IF(ROW()&lt;14,"",STDEV($C343:$C354))</f>
        <v>2.14541274104805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IF(OR($B355="",$B354=""),"",LN($B355/$B354)*100)</f>
        <v>5.68409983735007</v>
      </c>
      <c r="D355" s="6" t="n">
        <f aca="false">IF(ROW()&lt;5,"",STDEV($C353:$C355))</f>
        <v>3.68928734419415</v>
      </c>
      <c r="E355" s="6" t="n">
        <f aca="false">IF(ROW()&lt;14,"",STDEV($C344:$C355))</f>
        <v>2.65419550139508</v>
      </c>
    </row>
    <row r="356" customFormat="false" ht="15" hidden="false" customHeight="true" outlineLevel="0" collapsed="false">
      <c r="A356" s="6" t="s">
        <v>377</v>
      </c>
      <c r="B356" s="6" t="n">
        <v>1412.97826086956</v>
      </c>
      <c r="C356" s="6" t="n">
        <f aca="false">IF(OR($B356="",$B355=""),"",LN($B356/$B355)*100)</f>
        <v>3.89193108203972</v>
      </c>
      <c r="D356" s="6" t="n">
        <f aca="false">IF(ROW()&lt;5,"",STDEV($C354:$C356))</f>
        <v>3.01289225238603</v>
      </c>
      <c r="E356" s="6" t="n">
        <f aca="false">IF(ROW()&lt;14,"",STDEV($C345:$C356))</f>
        <v>2.51122403772555</v>
      </c>
    </row>
    <row r="357" customFormat="false" ht="15" hidden="false" customHeight="true" outlineLevel="0" collapsed="false">
      <c r="A357" s="6" t="s">
        <v>378</v>
      </c>
      <c r="B357" s="6" t="n">
        <v>1498.79761904761</v>
      </c>
      <c r="C357" s="6" t="n">
        <f aca="false">IF(OR($B357="",$B356=""),"",LN($B357/$B356)*100)</f>
        <v>5.8963480868419</v>
      </c>
      <c r="D357" s="6" t="n">
        <f aca="false">IF(ROW()&lt;5,"",STDEV($C355:$C357))</f>
        <v>1.1011059361738</v>
      </c>
      <c r="E357" s="6" t="n">
        <f aca="false">IF(ROW()&lt;14,"",STDEV($C346:$C357))</f>
        <v>2.49460221035306</v>
      </c>
    </row>
    <row r="358" customFormat="false" ht="15" hidden="false" customHeight="true" outlineLevel="0" collapsed="false">
      <c r="A358" s="6" t="s">
        <v>379</v>
      </c>
      <c r="B358" s="6" t="n">
        <v>1511.31428571428</v>
      </c>
      <c r="C358" s="6" t="n">
        <f aca="false">IF(OR($B358="",$B357=""),"",LN($B358/$B357)*100)</f>
        <v>0.831646078551411</v>
      </c>
      <c r="D358" s="6" t="n">
        <f aca="false">IF(ROW()&lt;5,"",STDEV($C356:$C358))</f>
        <v>2.55062862397022</v>
      </c>
      <c r="E358" s="6" t="n">
        <f aca="false">IF(ROW()&lt;14,"",STDEV($C347:$C358))</f>
        <v>2.43231433949249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IF(OR($B359="",$B358=""),"",LN($B359/$B358)*100)</f>
        <v>-1.09872415200045</v>
      </c>
      <c r="D359" s="6" t="n">
        <f aca="false">IF(ROW()&lt;5,"",STDEV($C357:$C359))</f>
        <v>3.61267609228038</v>
      </c>
      <c r="E359" s="6" t="n">
        <f aca="false">IF(ROW()&lt;14,"",STDEV($C348:$C359))</f>
        <v>2.58430169245576</v>
      </c>
    </row>
    <row r="360" customFormat="false" ht="15" hidden="false" customHeight="true" outlineLevel="0" collapsed="false">
      <c r="A360" s="6" t="s">
        <v>381</v>
      </c>
      <c r="B360" s="6" t="n">
        <v>1470.01666666666</v>
      </c>
      <c r="C360" s="6" t="n">
        <f aca="false">IF(OR($B360="",$B359=""),"",LN($B360/$B359)*100)</f>
        <v>-1.67186800343437</v>
      </c>
      <c r="D360" s="6" t="n">
        <f aca="false">IF(ROW()&lt;5,"",STDEV($C358:$C360))</f>
        <v>1.3116405668817</v>
      </c>
      <c r="E360" s="6" t="n">
        <f aca="false">IF(ROW()&lt;14,"",STDEV($C349:$C360))</f>
        <v>2.74710774706464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IF(OR($B361="",$B360=""),"",LN($B361/$B360)*100)</f>
        <v>0.409209854231555</v>
      </c>
      <c r="D361" s="6" t="n">
        <f aca="false">IF(ROW()&lt;5,"",STDEV($C359:$C361))</f>
        <v>1.07496076604799</v>
      </c>
      <c r="E361" s="6" t="n">
        <f aca="false">IF(ROW()&lt;14,"",STDEV($C350:$C361))</f>
        <v>2.75741529143574</v>
      </c>
    </row>
    <row r="362" customFormat="false" ht="15" hidden="false" customHeight="true" outlineLevel="0" collapsed="false">
      <c r="A362" s="6" t="s">
        <v>383</v>
      </c>
      <c r="B362" s="6" t="n">
        <v>1560.67272727272</v>
      </c>
      <c r="C362" s="6" t="n">
        <f aca="false">IF(OR($B362="",$B361=""),"",LN($B362/$B361)*100)</f>
        <v>5.57511266002373</v>
      </c>
      <c r="D362" s="6" t="n">
        <f aca="false">IF(ROW()&lt;5,"",STDEV($C360:$C362))</f>
        <v>3.73131267306593</v>
      </c>
      <c r="E362" s="6" t="n">
        <f aca="false">IF(ROW()&lt;14,"",STDEV($C351:$C362))</f>
        <v>2.96170278985326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IF(OR($B363="",$B362=""),"",LN($B363/$B362)*100)</f>
        <v>2.30740862786745</v>
      </c>
      <c r="D363" s="6" t="n">
        <f aca="false">IF(ROW()&lt;5,"",STDEV($C361:$C363))</f>
        <v>2.61303144594213</v>
      </c>
      <c r="E363" s="6" t="n">
        <f aca="false">IF(ROW()&lt;14,"",STDEV($C352:$C363))</f>
        <v>2.96449626299647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IF(OR($B364="",$B363=""),"",LN($B364/$B363)*100)</f>
        <v>-0.324564659763955</v>
      </c>
      <c r="D364" s="6" t="n">
        <f aca="false">IF(ROW()&lt;5,"",STDEV($C362:$C364))</f>
        <v>2.9555418427702</v>
      </c>
      <c r="E364" s="6" t="n">
        <f aca="false">IF(ROW()&lt;14,"",STDEV($C353:$C364))</f>
        <v>2.87489261707638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IF(OR($B365="",$B364=""),"",LN($B365/$B364)*100)</f>
        <v>5.55909185307122</v>
      </c>
      <c r="D365" s="6" t="n">
        <f aca="false">IF(ROW()&lt;5,"",STDEV($C363:$C365))</f>
        <v>2.94726260409284</v>
      </c>
      <c r="E365" s="6" t="n">
        <f aca="false">IF(ROW()&lt;14,"",STDEV($C354:$C365))</f>
        <v>2.92934059405653</v>
      </c>
    </row>
    <row r="366" customFormat="false" ht="15" hidden="false" customHeight="true" outlineLevel="0" collapsed="false">
      <c r="A366" s="6" t="s">
        <v>387</v>
      </c>
      <c r="B366" s="6" t="n">
        <v>1716.38157894736</v>
      </c>
      <c r="C366" s="6" t="n">
        <f aca="false">IF(OR($B366="",$B365=""),"",LN($B366/$B365)*100)</f>
        <v>1.96820197510512</v>
      </c>
      <c r="D366" s="6" t="n">
        <f aca="false">IF(ROW()&lt;5,"",STDEV($C364:$C366))</f>
        <v>2.96559951551891</v>
      </c>
      <c r="E366" s="6" t="n">
        <f aca="false">IF(ROW()&lt;14,"",STDEV($C355:$C366))</f>
        <v>2.83091582151988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IF(OR($B367="",$B366=""),"",LN($B367/$B366)*100)</f>
        <v>0.918443153302368</v>
      </c>
      <c r="D367" s="6" t="n">
        <f aca="false">IF(ROW()&lt;5,"",STDEV($C365:$C367))</f>
        <v>2.4335195381141</v>
      </c>
      <c r="E367" s="6" t="n">
        <f aca="false">IF(ROW()&lt;14,"",STDEV($C356:$C367))</f>
        <v>2.66036589662697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IF(OR($B368="",$B367=""),"",LN($B368/$B367)*100)</f>
        <v>6.21617464176807</v>
      </c>
      <c r="D368" s="6" t="n">
        <f aca="false">IF(ROW()&lt;5,"",STDEV($C366:$C368))</f>
        <v>2.80515074712422</v>
      </c>
      <c r="E368" s="6" t="n">
        <f aca="false">IF(ROW()&lt;14,"",STDEV($C357:$C368))</f>
        <v>2.88409399437955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IF(OR($B369="",$B368=""),"",LN($B369/$B368)*100)</f>
        <v>6.54690066913256</v>
      </c>
      <c r="D369" s="6" t="n">
        <f aca="false">IF(ROW()&lt;5,"",STDEV($C367:$C369))</f>
        <v>3.15845090291012</v>
      </c>
      <c r="E369" s="6" t="n">
        <f aca="false">IF(ROW()&lt;14,"",STDEV($C358:$C369))</f>
        <v>2.96456418216812</v>
      </c>
    </row>
    <row r="370" customFormat="false" ht="15" hidden="false" customHeight="true" outlineLevel="0" collapsed="false">
      <c r="A370" s="6" t="s">
        <v>391</v>
      </c>
      <c r="B370" s="6" t="n">
        <v>1922.21363636363</v>
      </c>
      <c r="C370" s="6" t="n">
        <f aca="false">IF(OR($B370="",$B369=""),"",LN($B370/$B369)*100)</f>
        <v>-2.35560688163283</v>
      </c>
      <c r="D370" s="6" t="n">
        <f aca="false">IF(ROW()&lt;5,"",STDEV($C368:$C370))</f>
        <v>5.04710245060682</v>
      </c>
      <c r="E370" s="6" t="n">
        <f aca="false">IF(ROW()&lt;14,"",STDEV($C359:$C370))</f>
        <v>3.2355173957811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IF(OR($B371="",$B370=""),"",LN($B371/$B370)*100)</f>
        <v>-1.14788449847669</v>
      </c>
      <c r="D371" s="6" t="n">
        <f aca="false">IF(ROW()&lt;5,"",STDEV($C369:$C371))</f>
        <v>4.82912954236873</v>
      </c>
      <c r="E371" s="6" t="n">
        <f aca="false">IF(ROW()&lt;14,"",STDEV($C360:$C371))</f>
        <v>3.23983154609602</v>
      </c>
    </row>
    <row r="372" customFormat="false" ht="15" hidden="false" customHeight="true" outlineLevel="0" collapsed="false">
      <c r="A372" s="6" t="s">
        <v>393</v>
      </c>
      <c r="B372" s="6" t="n">
        <v>1863.49285714285</v>
      </c>
      <c r="C372" s="6" t="n">
        <f aca="false">IF(OR($B372="",$B371=""),"",LN($B372/$B371)*100)</f>
        <v>-1.95460056443869</v>
      </c>
      <c r="D372" s="6" t="n">
        <f aca="false">IF(ROW()&lt;5,"",STDEV($C370:$C372))</f>
        <v>0.615113842076834</v>
      </c>
      <c r="E372" s="6" t="n">
        <f aca="false">IF(ROW()&lt;14,"",STDEV($C361:$C372))</f>
        <v>3.26985142308282</v>
      </c>
    </row>
    <row r="373" customFormat="false" ht="15" hidden="false" customHeight="true" outlineLevel="0" collapsed="false">
      <c r="A373" s="6" t="s">
        <v>394</v>
      </c>
      <c r="B373" s="6" t="n">
        <v>1855.95526315789</v>
      </c>
      <c r="C373" s="6" t="n">
        <f aca="false">IF(OR($B373="",$B372=""),"",LN($B373/$B372)*100)</f>
        <v>-0.405307672524092</v>
      </c>
      <c r="D373" s="6" t="n">
        <f aca="false">IF(ROW()&lt;5,"",STDEV($C371:$C373))</f>
        <v>0.774867689615473</v>
      </c>
      <c r="E373" s="6" t="n">
        <f aca="false">IF(ROW()&lt;14,"",STDEV($C362:$C373))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IF(OR($B374="",$B373=""),"",LN($B374/$B373)*100)</f>
        <v>0.592530007621136</v>
      </c>
      <c r="D374" s="6" t="n">
        <f aca="false">IF(ROW()&lt;5,"",STDEV($C372:$C374))</f>
        <v>1.28347592186066</v>
      </c>
      <c r="E374" s="6" t="n">
        <f aca="false">IF(ROW()&lt;14,"",STDEV($C363:$C374))</f>
        <v>3.11874888454675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IF(OR($B375="",$B374=""),"",LN($B375/$B374)*100)</f>
        <v>-3.20067809263814</v>
      </c>
      <c r="D375" s="6" t="n">
        <f aca="false">IF(ROW()&lt;5,"",STDEV($C373:$C375))</f>
        <v>1.96630802577821</v>
      </c>
      <c r="E375" s="6" t="n">
        <f aca="false">IF(ROW()&lt;14,"",STDEV($C364:$C375))</f>
        <v>3.38225363118659</v>
      </c>
    </row>
    <row r="376" customFormat="false" ht="15" hidden="false" customHeight="true" outlineLevel="0" collapsed="false">
      <c r="A376" s="6" t="s">
        <v>397</v>
      </c>
      <c r="B376" s="6" t="n">
        <v>1718.22826086956</v>
      </c>
      <c r="C376" s="6" t="n">
        <f aca="false">IF(OR($B376="",$B375=""),"",LN($B376/$B375)*100)</f>
        <v>-5.10243702836948</v>
      </c>
      <c r="D376" s="6" t="n">
        <f aca="false">IF(ROW()&lt;5,"",STDEV($C374:$C376))</f>
        <v>2.89936097219503</v>
      </c>
      <c r="E376" s="6" t="n">
        <f aca="false">IF(ROW()&lt;14,"",STDEV($C365:$C376))</f>
        <v>3.8108410103118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IF(OR($B377="",$B376=""),"",LN($B377/$B376)*100)</f>
        <v>2.49728010772014</v>
      </c>
      <c r="D377" s="6" t="n">
        <f aca="false">IF(ROW()&lt;5,"",STDEV($C375:$C377))</f>
        <v>3.95472534341806</v>
      </c>
      <c r="E377" s="6" t="n">
        <f aca="false">IF(ROW()&lt;14,"",STDEV($C366:$C377))</f>
        <v>3.54446239232866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IF(OR($B378="",$B377=""),"",LN($B378/$B377)*100)</f>
        <v>5.19200571783596</v>
      </c>
      <c r="D378" s="6" t="n">
        <f aca="false">IF(ROW()&lt;5,"",STDEV($C376:$C378))</f>
        <v>5.33842670514591</v>
      </c>
      <c r="E378" s="6" t="n">
        <f aca="false">IF(ROW()&lt;14,"",STDEV($C367:$C378))</f>
        <v>3.78940262003945</v>
      </c>
    </row>
    <row r="379" customFormat="false" ht="15" hidden="false" customHeight="true" outlineLevel="0" collapsed="false">
      <c r="A379" s="6" t="s">
        <v>400</v>
      </c>
      <c r="B379" s="6" t="n">
        <v>1834.5659090909</v>
      </c>
      <c r="C379" s="6" t="n">
        <f aca="false">IF(OR($B379="",$B378=""),"",LN($B379/$B378)*100)</f>
        <v>-1.137864557515</v>
      </c>
      <c r="D379" s="6" t="n">
        <f aca="false">IF(ROW()&lt;5,"",STDEV($C377:$C379))</f>
        <v>3.17655685068422</v>
      </c>
      <c r="E379" s="6" t="n">
        <f aca="false">IF(ROW()&lt;14,"",STDEV($C368:$C379))</f>
        <v>3.82249603788673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IF(OR($B380="",$B379=""),"",LN($B380/$B379)*100)</f>
        <v>-1.5088314299603</v>
      </c>
      <c r="D380" s="6" t="n">
        <f aca="false">IF(ROW()&lt;5,"",STDEV($C378:$C380))</f>
        <v>3.7662114607943</v>
      </c>
      <c r="E380" s="6" t="n">
        <f aca="false">IF(ROW()&lt;14,"",STDEV($C369:$C380))</f>
        <v>3.39491489932221</v>
      </c>
    </row>
    <row r="381" customFormat="false" ht="15" hidden="false" customHeight="true" outlineLevel="0" collapsed="false">
      <c r="A381" s="6" t="s">
        <v>402</v>
      </c>
      <c r="B381" s="6" t="n">
        <v>1783.96904761904</v>
      </c>
      <c r="C381" s="6" t="n">
        <f aca="false">IF(OR($B381="",$B380=""),"",LN($B381/$B380)*100)</f>
        <v>-1.28788934004719</v>
      </c>
      <c r="D381" s="6" t="n">
        <f aca="false">IF(ROW()&lt;5,"",STDEV($C379:$C381))</f>
        <v>0.186609781326729</v>
      </c>
      <c r="E381" s="6" t="n">
        <f aca="false">IF(ROW()&lt;14,"",STDEV($C370:$C381))</f>
        <v>2.66065597455869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IF(OR($B382="",$B381=""),"",LN($B382/$B381)*100)</f>
        <v>-0.377217940260986</v>
      </c>
      <c r="D382" s="6" t="n">
        <f aca="false">IF(ROW()&lt;5,"",STDEV($C380:$C382))</f>
        <v>0.599817596656573</v>
      </c>
      <c r="E382" s="6" t="n">
        <f aca="false">IF(ROW()&lt;14,"",STDEV($C371:$C382))</f>
        <v>2.61768392796785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IF(OR($B383="",$B382=""),"",LN($B383/$B382)*100)</f>
        <v>-0.0223690969514605</v>
      </c>
      <c r="D383" s="6" t="n">
        <f aca="false">IF(ROW()&lt;5,"",STDEV($C381:$C383))</f>
        <v>0.652786538064798</v>
      </c>
      <c r="E383" s="6" t="n">
        <f aca="false">IF(ROW()&lt;14,"",STDEV($C372:$C383))</f>
        <v>2.61851967480686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IF(OR($B384="",$B383=""),"",LN($B384/$B383)*100)</f>
        <v>2.41203005504514</v>
      </c>
      <c r="D384" s="6" t="n">
        <f aca="false">IF(ROW()&lt;5,"",STDEV($C382:$C384))</f>
        <v>1.51833907676333</v>
      </c>
      <c r="E384" s="6" t="n">
        <f aca="false">IF(ROW()&lt;14,"",STDEV($C373:$C384))</f>
        <v>2.70888827316483</v>
      </c>
    </row>
    <row r="385" customFormat="false" ht="15" hidden="false" customHeight="true" outlineLevel="0" collapsed="false">
      <c r="A385" s="6" t="s">
        <v>406</v>
      </c>
      <c r="B385" s="6" t="n">
        <v>1786.65263157894</v>
      </c>
      <c r="C385" s="6" t="n">
        <f aca="false">IF(OR($B385="",$B384=""),"",LN($B385/$B384)*100)</f>
        <v>-1.86212832721064</v>
      </c>
      <c r="D385" s="6" t="n">
        <f aca="false">IF(ROW()&lt;5,"",STDEV($C383:$C385))</f>
        <v>2.14396218612382</v>
      </c>
      <c r="E385" s="6" t="n">
        <f aca="false">IF(ROW()&lt;14,"",STDEV($C374:$C385))</f>
        <v>2.75144482864377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IF(OR($B386="",$B385=""),"",LN($B386/$B385)*100)</f>
        <v>1.67136160583207</v>
      </c>
      <c r="D386" s="6" t="n">
        <f aca="false">IF(ROW()&lt;5,"",STDEV($C384:$C386))</f>
        <v>2.28409612812819</v>
      </c>
      <c r="E386" s="6" t="n">
        <f aca="false">IF(ROW()&lt;14,"",STDEV($C375:$C386))</f>
        <v>2.80104793078091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IF(OR($B387="",$B386=""),"",LN($B387/$B386)*100)</f>
        <v>2.15251187167534</v>
      </c>
      <c r="D387" s="6" t="n">
        <f aca="false">IF(ROW()&lt;5,"",STDEV($C385:$C387))</f>
        <v>2.19219800701436</v>
      </c>
      <c r="E387" s="6" t="n">
        <f aca="false">IF(ROW()&lt;14,"",STDEV($C376:$C387))</f>
        <v>2.70921440355674</v>
      </c>
    </row>
    <row r="388" customFormat="false" ht="15" hidden="false" customHeight="true" outlineLevel="0" collapsed="false">
      <c r="A388" s="6" t="s">
        <v>409</v>
      </c>
      <c r="B388" s="6" t="n">
        <v>1947.82826086956</v>
      </c>
      <c r="C388" s="6" t="n">
        <f aca="false">IF(OR($B388="",$B387=""),"",LN($B388/$B387)*100)</f>
        <v>4.81324738633206</v>
      </c>
      <c r="D388" s="6" t="n">
        <f aca="false">IF(ROW()&lt;5,"",STDEV($C386:$C388))</f>
        <v>1.69226009205562</v>
      </c>
      <c r="E388" s="6" t="n">
        <f aca="false">IF(ROW()&lt;14,"",STDEV($C377:$C388))</f>
        <v>2.43715269021392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IF(OR($B389="",$B388=""),"",LN($B389/$B388)*100)</f>
        <v>-0.717635017647705</v>
      </c>
      <c r="D389" s="6" t="n">
        <f aca="false">IF(ROW()&lt;5,"",STDEV($C387:$C389))</f>
        <v>2.76610185435206</v>
      </c>
      <c r="E389" s="6" t="n">
        <f aca="false">IF(ROW()&lt;14,"",STDEV($C378:$C389))</f>
        <v>2.43971772242723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IF(OR($B390="",$B389=""),"",LN($B390/$B389)*100)</f>
        <v>-4.44432263517937</v>
      </c>
      <c r="D390" s="6" t="n">
        <f aca="false">IF(ROW()&lt;5,"",STDEV($C388:$C390))</f>
        <v>4.6579942655701</v>
      </c>
      <c r="E390" s="6" t="n">
        <f aca="false">IF(ROW()&lt;14,"",STDEV($C379:$C390))</f>
        <v>2.44040459443248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IF(OR($B391="",$B390=""),"",LN($B391/$B390)*100)</f>
        <v>-0.692676851005132</v>
      </c>
      <c r="D391" s="6" t="n">
        <f aca="false">IF(ROW()&lt;5,"",STDEV($C389:$C391))</f>
        <v>2.1588449689073</v>
      </c>
      <c r="E391" s="6" t="n">
        <f aca="false">IF(ROW()&lt;14,"",STDEV($C380:$C391))</f>
        <v>2.42529857633876</v>
      </c>
    </row>
    <row r="392" customFormat="false" ht="15" hidden="false" customHeight="true" outlineLevel="0" collapsed="false">
      <c r="A392" s="6" t="s">
        <v>413</v>
      </c>
      <c r="B392" s="6" t="n">
        <v>1737.38047619047</v>
      </c>
      <c r="C392" s="6" t="n">
        <f aca="false">IF(OR($B392="",$B391=""),"",LN($B392/$B391)*100)</f>
        <v>-5.57901891153919</v>
      </c>
      <c r="D392" s="6" t="n">
        <f aca="false">IF(ROW()&lt;5,"",STDEV($C390:$C392))</f>
        <v>2.55730067525771</v>
      </c>
      <c r="E392" s="6" t="n">
        <f aca="false">IF(ROW()&lt;14,"",STDEV($C381:$C392))</f>
        <v>2.89613317892471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IF(OR($B393="",$B392=""),"",LN($B393/$B392)*100)</f>
        <v>1.52806243477563</v>
      </c>
      <c r="D393" s="6" t="n">
        <f aca="false">IF(ROW()&lt;5,"",STDEV($C391:$C393))</f>
        <v>3.63590032342038</v>
      </c>
      <c r="E393" s="6" t="n">
        <f aca="false">IF(ROW()&lt;14,"",STDEV($C382:$C393))</f>
        <v>2.9252094636591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IF(OR($B394="",$B393=""),"",LN($B394/$B393)*100)</f>
        <v>-4.69575253361284</v>
      </c>
      <c r="D394" s="6" t="n">
        <f aca="false">IF(ROW()&lt;5,"",STDEV($C392:$C394))</f>
        <v>3.87355645194111</v>
      </c>
      <c r="E394" s="6" t="n">
        <f aca="false">IF(ROW()&lt;14,"",STDEV($C383:$C394))</f>
        <v>3.21465690309316</v>
      </c>
    </row>
    <row r="395" customFormat="false" ht="15" hidden="false" customHeight="true" outlineLevel="0" collapsed="false">
      <c r="A395" s="6" t="s">
        <v>416</v>
      </c>
      <c r="B395" s="6" t="n">
        <v>1666.62666666666</v>
      </c>
      <c r="C395" s="6" t="n">
        <f aca="false">IF(OR($B395="",$B394=""),"",LN($B395/$B394)*100)</f>
        <v>-0.989998094252464</v>
      </c>
      <c r="D395" s="6" t="n">
        <f aca="false">IF(ROW()&lt;5,"",STDEV($C393:$C395))</f>
        <v>3.13073786705905</v>
      </c>
      <c r="E395" s="6" t="n">
        <f aca="false">IF(ROW()&lt;14,"",STDEV($C384:$C395))</f>
        <v>3.21500736969382</v>
      </c>
    </row>
    <row r="396" customFormat="false" ht="15" hidden="false" customHeight="true" outlineLevel="0" collapsed="false">
      <c r="A396" s="6" t="s">
        <v>417</v>
      </c>
      <c r="B396" s="6" t="n">
        <v>1727.89863636363</v>
      </c>
      <c r="C396" s="6" t="n">
        <f aca="false">IF(OR($B396="",$B395=""),"",LN($B396/$B395)*100)</f>
        <v>3.61043856715571</v>
      </c>
      <c r="D396" s="6" t="n">
        <f aca="false">IF(ROW()&lt;5,"",STDEV($C394:$C396))</f>
        <v>4.16111852036113</v>
      </c>
      <c r="E396" s="6" t="n">
        <f aca="false">IF(ROW()&lt;14,"",STDEV($C385:$C396))</f>
        <v>3.33133684709551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IF(OR($B397="",$B396=""),"",LN($B397/$B396)*100)</f>
        <v>3.94397191119348</v>
      </c>
      <c r="D397" s="6" t="n">
        <f aca="false">IF(ROW()&lt;5,"",STDEV($C395:$C397))</f>
        <v>2.75739375684884</v>
      </c>
      <c r="E397" s="6" t="n">
        <f aca="false">IF(ROW()&lt;14,"",STDEV($C386:$C397))</f>
        <v>3.52125609447668</v>
      </c>
    </row>
    <row r="398" customFormat="false" ht="15" hidden="false" customHeight="true" outlineLevel="0" collapsed="false">
      <c r="A398" s="6" t="s">
        <v>419</v>
      </c>
      <c r="B398" s="6" t="n">
        <v>1896.05954545454</v>
      </c>
      <c r="C398" s="6" t="n">
        <f aca="false">IF(OR($B398="",$B397=""),"",LN($B398/$B397)*100)</f>
        <v>5.34320809086569</v>
      </c>
      <c r="D398" s="6" t="n">
        <f aca="false">IF(ROW()&lt;5,"",STDEV($C396:$C398))</f>
        <v>0.919383543503182</v>
      </c>
      <c r="E398" s="6" t="n">
        <f aca="false">IF(ROW()&lt;14,"",STDEV($C387:$C398))</f>
        <v>3.82167590064322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IF(OR($B399="",$B398=""),"",LN($B399/$B398)*100)</f>
        <v>-2.27511630710331</v>
      </c>
      <c r="D399" s="6" t="n">
        <f aca="false">IF(ROW()&lt;5,"",STDEV($C397:$C399))</f>
        <v>4.05532133511331</v>
      </c>
      <c r="E399" s="6" t="n">
        <f aca="false">IF(ROW()&lt;14,"",STDEV($C388:$C399))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1913.64826086956</v>
      </c>
      <c r="C400" s="6" t="n">
        <f aca="false">IF(OR($B400="",$B399=""),"",LN($B400/$B399)*100)</f>
        <v>3.19848582930764</v>
      </c>
      <c r="D400" s="6" t="n">
        <f aca="false">IF(ROW()&lt;5,"",STDEV($C398:$C400))</f>
        <v>3.928507361998</v>
      </c>
      <c r="E400" s="6" t="n">
        <f aca="false">IF(ROW()&lt;14,"",STDEV($C389:$C400))</f>
        <v>3.68686563266326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IF(OR($B401="",$B400=""),"",LN($B401/$B400)*100)</f>
        <v>4.39699124297218</v>
      </c>
      <c r="D401" s="6" t="n">
        <f aca="false">IF(ROW()&lt;5,"",STDEV($C399:$C401))</f>
        <v>3.55700610846819</v>
      </c>
      <c r="E401" s="6" t="n">
        <f aca="false">IF(ROW()&lt;14,"",STDEV($C390:$C401))</f>
        <v>3.90419888241539</v>
      </c>
    </row>
    <row r="402" customFormat="false" ht="15" hidden="false" customHeight="true" outlineLevel="0" collapsed="false">
      <c r="A402" s="6" t="s">
        <v>423</v>
      </c>
      <c r="B402" s="6" t="n">
        <v>1989.82695652173</v>
      </c>
      <c r="C402" s="6" t="n">
        <f aca="false">IF(OR($B402="",$B401=""),"",LN($B402/$B401)*100)</f>
        <v>-0.493373838817626</v>
      </c>
      <c r="D402" s="6" t="n">
        <f aca="false">IF(ROW()&lt;5,"",STDEV($C400:$C402))</f>
        <v>2.54891851801577</v>
      </c>
      <c r="E402" s="6" t="n">
        <f aca="false">IF(ROW()&lt;14,"",STDEV($C391:$C402))</f>
        <v>3.62640397906051</v>
      </c>
    </row>
    <row r="403" customFormat="false" ht="15" hidden="false" customHeight="true" outlineLevel="0" collapsed="false">
      <c r="A403" s="6" t="s">
        <v>424</v>
      </c>
      <c r="B403" s="6" t="n">
        <v>1944.72863636363</v>
      </c>
      <c r="C403" s="6" t="n">
        <f aca="false">IF(OR($B403="",$B402=""),"",LN($B403/$B402)*100)</f>
        <v>-2.29252296760431</v>
      </c>
      <c r="D403" s="6" t="n">
        <f aca="false">IF(ROW()&lt;5,"",STDEV($C401:$C403))</f>
        <v>3.46174832019669</v>
      </c>
      <c r="E403" s="6" t="n">
        <f aca="false">IF(ROW()&lt;14,"",STDEV($C392:$C403))</f>
        <v>3.70707722849818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IF(OR($B404="",$B403=""),"",LN($B404/$B403)*100)</f>
        <v>0.284537577152613</v>
      </c>
      <c r="D404" s="6" t="n">
        <f aca="false">IF(ROW()&lt;5,"",STDEV($C402:$C404))</f>
        <v>1.32182479991699</v>
      </c>
      <c r="E404" s="6" t="n">
        <f aca="false">IF(ROW()&lt;14,"",STDEV($C393:$C404))</f>
        <v>3.18649393864921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IF(OR($B405="",$B404=""),"",LN($B405/$B404)*100)</f>
        <v>-1.60061556408253</v>
      </c>
      <c r="D405" s="6" t="n">
        <f aca="false">IF(ROW()&lt;5,"",STDEV($C403:$C405))</f>
        <v>1.33377779710489</v>
      </c>
      <c r="E405" s="6" t="n">
        <f aca="false">IF(ROW()&lt;14,"",STDEV($C394:$C405))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IF(OR($B406="",$B405=""),"",LN($B406/$B405)*100)</f>
        <v>-0.201704230783474</v>
      </c>
      <c r="D406" s="6" t="n">
        <f aca="false">IF(ROW()&lt;5,"",STDEV($C404:$C406))</f>
        <v>0.978705469836407</v>
      </c>
      <c r="E406" s="6" t="n">
        <f aca="false">IF(ROW()&lt;14,"",STDEV($C395:$C406))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1913.98454545454</v>
      </c>
      <c r="C407" s="6" t="n">
        <f aca="false">IF(OR($B407="",$B406=""),"",LN($B407/$B406)*100)</f>
        <v>-0.0757408057540966</v>
      </c>
      <c r="D407" s="6" t="n">
        <f aca="false">IF(ROW()&lt;5,"",STDEV($C405:$C407))</f>
        <v>0.846370952111116</v>
      </c>
      <c r="E407" s="6" t="n">
        <f aca="false">IF(ROW()&lt;14,"",STDEV($C396:$C407))</f>
        <v>2.76520052222703</v>
      </c>
    </row>
    <row r="408" customFormat="false" ht="15" hidden="false" customHeight="true" outlineLevel="0" collapsed="false">
      <c r="A408" s="6" t="s">
        <v>429</v>
      </c>
      <c r="B408" s="6" t="n">
        <v>1985.77772727272</v>
      </c>
      <c r="C408" s="6" t="n">
        <f aca="false">IF(OR($B408="",$B407=""),"",LN($B408/$B407)*100)</f>
        <v>3.6823421034235</v>
      </c>
      <c r="D408" s="6" t="n">
        <f aca="false">IF(ROW()&lt;5,"",STDEV($C406:$C408))</f>
        <v>2.20699153687263</v>
      </c>
      <c r="E408" s="6" t="n">
        <f aca="false">IF(ROW()&lt;14,"",STDEV($C397:$C408))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2034.70428571428</v>
      </c>
      <c r="C409" s="6" t="n">
        <f aca="false">IF(OR($B409="",$B408=""),"",LN($B409/$B408)*100)</f>
        <v>2.43398546328813</v>
      </c>
      <c r="D409" s="6" t="n">
        <f aca="false">IF(ROW()&lt;5,"",STDEV($C407:$C409))</f>
        <v>1.91399701317877</v>
      </c>
      <c r="E409" s="6" t="n">
        <f aca="false">IF(ROW()&lt;14,"",STDEV($C398:$C409))</f>
        <v>2.66539973431381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IF(OR($B410="",$B409=""),"",LN($B410/$B409)*100)</f>
        <v>-0.0343203964235529</v>
      </c>
      <c r="D410" s="6" t="n">
        <f aca="false">IF(ROW()&lt;5,"",STDEV($C408:$C410))</f>
        <v>1.89140636634165</v>
      </c>
      <c r="E410" s="6" t="n">
        <f aca="false">IF(ROW()&lt;14,"",STDEV($C399:$C410))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IF(OR($B411="",$B410=""),"",LN($B411/$B410)*100)</f>
        <v>-0.471111325614399</v>
      </c>
      <c r="D411" s="6" t="n">
        <f aca="false">IF(ROW()&lt;5,"",STDEV($C409:$C411))</f>
        <v>1.56646669747568</v>
      </c>
      <c r="E411" s="6" t="n">
        <f aca="false">IF(ROW()&lt;14,"",STDEV($C400:$C411))</f>
        <v>2.1525123435852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IF(OR($B412="",$B411=""),"",LN($B412/$B411)*100)</f>
        <v>6.58976545332425</v>
      </c>
      <c r="D412" s="6" t="n">
        <f aca="false">IF(ROW()&lt;5,"",STDEV($C410:$C412))</f>
        <v>3.95654058802231</v>
      </c>
      <c r="E412" s="6" t="n">
        <f aca="false">IF(ROW()&lt;14,"",STDEV($C401:$C412))</f>
        <v>2.66651954399004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IF(OR($B413="",$B412=""),"",LN($B413/$B412)*100)</f>
        <v>7.61970765032086</v>
      </c>
      <c r="D413" s="6" t="n">
        <f aca="false">IF(ROW()&lt;5,"",STDEV($C411:$C413))</f>
        <v>4.40412900049229</v>
      </c>
      <c r="E413" s="6" t="n">
        <f aca="false">IF(ROW()&lt;14,"",STDEV($C402:$C413))</f>
        <v>3.15525337345307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IF(OR($B414="",$B413=""),"",LN($B414/$B413)*100)</f>
        <v>0.727822697612787</v>
      </c>
      <c r="D414" s="6" t="n">
        <f aca="false">IF(ROW()&lt;5,"",STDEV($C412:$C414))</f>
        <v>3.71755367595762</v>
      </c>
      <c r="E414" s="6" t="n">
        <f aca="false">IF(ROW()&lt;14,"",STDEV($C403:$C414))</f>
        <v>3.11201710110205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IF(OR($B415="",$B414=""),"",LN($B415/$B414)*100)</f>
        <v>-0.95468537378427</v>
      </c>
      <c r="D415" s="6" t="n">
        <f aca="false">IF(ROW()&lt;5,"",STDEV($C413:$C415))</f>
        <v>4.54329409392757</v>
      </c>
      <c r="E415" s="6" t="n">
        <f aca="false">IF(ROW()&lt;14,"",STDEV($C404:$C415))</f>
        <v>2.98971812533074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IF(OR($B416="",$B415=""),"",LN($B416/$B415)*100)</f>
        <v>2.78275253959863</v>
      </c>
      <c r="D416" s="6" t="n">
        <f aca="false">IF(ROW()&lt;5,"",STDEV($C414:$C416))</f>
        <v>1.87180893888738</v>
      </c>
      <c r="E416" s="6" t="n">
        <f aca="false">IF(ROW()&lt;14,"",STDEV($C405:$C416))</f>
        <v>2.98436199175656</v>
      </c>
    </row>
    <row r="417" customFormat="false" ht="15" hidden="false" customHeight="true" outlineLevel="0" collapsed="false">
      <c r="A417" s="6" t="s">
        <v>438</v>
      </c>
      <c r="B417" s="6" t="n">
        <v>2468.32863636363</v>
      </c>
      <c r="C417" s="6" t="n">
        <f aca="false">IF(OR($B417="",$B416=""),"",LN($B417/$B416)*100)</f>
        <v>3.0591449518211</v>
      </c>
      <c r="D417" s="6" t="n">
        <f aca="false">IF(ROW()&lt;5,"",STDEV($C415:$C417))</f>
        <v>2.24186190493064</v>
      </c>
      <c r="E417" s="6" t="n">
        <f aca="false">IF(ROW()&lt;14,"",STDEV($C406:$C417))</f>
        <v>2.8129260514119</v>
      </c>
    </row>
    <row r="418" customFormat="false" ht="15" hidden="false" customHeight="true" outlineLevel="0" collapsed="false">
      <c r="A418" s="6" t="s">
        <v>439</v>
      </c>
      <c r="B418" s="6" t="n">
        <v>2569.04904761904</v>
      </c>
      <c r="C418" s="6" t="n">
        <f aca="false">IF(OR($B418="",$B417=""),"",LN($B418/$B417)*100)</f>
        <v>3.99945538923262</v>
      </c>
      <c r="D418" s="6" t="n">
        <f aca="false">IF(ROW()&lt;5,"",STDEV($C416:$C418))</f>
        <v>0.637827341912458</v>
      </c>
      <c r="E418" s="6" t="n">
        <f aca="false">IF(ROW()&lt;14,"",STDEV($C407:$C418))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IF(OR($B419="",$B418=""),"",LN($B419/$B418)*100)</f>
        <v>4.56814261321882</v>
      </c>
      <c r="D419" s="6" t="n">
        <f aca="false">IF(ROW()&lt;5,"",STDEV($C417:$C419))</f>
        <v>0.762087354959384</v>
      </c>
      <c r="E419" s="6" t="n">
        <f aca="false">IF(ROW()&lt;14,"",STDEV($C408:$C419))</f>
        <v>2.70098402283225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IF(OR($B420="",$B419=""),"",LN($B420/$B419)*100)</f>
        <v>-1.38279314673054</v>
      </c>
      <c r="D420" s="6" t="n">
        <f aca="false">IF(ROW()&lt;5,"",STDEV($C418:$C420))</f>
        <v>3.2839417595487</v>
      </c>
      <c r="E420" s="6" t="n">
        <f aca="false">IF(ROW()&lt;14,"",STDEV($C409:$C420))</f>
        <v>2.94136542213277</v>
      </c>
    </row>
    <row r="421" customFormat="false" ht="15" hidden="false" customHeight="true" outlineLevel="0" collapsed="false">
      <c r="A421" s="6" t="s">
        <v>442</v>
      </c>
      <c r="B421" s="6" t="n">
        <v>2640.60545454545</v>
      </c>
      <c r="C421" s="6" t="n">
        <f aca="false">IF(OR($B421="",$B420=""),"",LN($B421/$B420)*100)</f>
        <v>-0.438107500881543</v>
      </c>
      <c r="D421" s="6" t="n">
        <f aca="false">IF(ROW()&lt;5,"",STDEV($C419:$C421))</f>
        <v>3.19814028234762</v>
      </c>
      <c r="E421" s="6" t="n">
        <f aca="false">IF(ROW()&lt;14,"",STDEV($C410:$C421))</f>
        <v>3.05406167103514</v>
      </c>
    </row>
    <row r="422" customFormat="false" ht="15" hidden="false" customHeight="true" outlineLevel="0" collapsed="false">
      <c r="A422" s="6" t="s">
        <v>443</v>
      </c>
      <c r="B422" s="6" t="n">
        <v>2707.46739130434</v>
      </c>
      <c r="C422" s="6" t="n">
        <f aca="false">IF(OR($B422="",$B421=""),"",LN($B422/$B421)*100)</f>
        <v>2.50054262738362</v>
      </c>
      <c r="D422" s="6" t="n">
        <f aca="false">IF(ROW()&lt;5,"",STDEV($C420:$C422))</f>
        <v>2.02519103133263</v>
      </c>
      <c r="E422" s="6" t="n">
        <f aca="false">IF(ROW()&lt;14,"",STDEV($C411:$C422))</f>
        <v>2.97419354993852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IF(OR($B423="",$B422=""),"",LN($B423/$B422)*100)</f>
        <v>6.67572697591486</v>
      </c>
      <c r="D423" s="6" t="n">
        <f aca="false">IF(ROW()&lt;5,"",STDEV($C421:$C423))</f>
        <v>3.57478367373072</v>
      </c>
      <c r="E423" s="6" t="n">
        <f aca="false">IF(ROW()&lt;14,"",STDEV($C412:$C423))</f>
        <v>3.06481037739527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IF(OR($B424="",$B423=""),"",LN($B424/$B423)*100)</f>
        <v>3.12495669089656</v>
      </c>
      <c r="D424" s="6" t="n">
        <f aca="false">IF(ROW()&lt;5,"",STDEV($C422:$C424))</f>
        <v>2.25203711055502</v>
      </c>
      <c r="E424" s="6" t="n">
        <f aca="false">IF(ROW()&lt;14,"",STDEV($C413:$C424))</f>
        <v>2.84934847074104</v>
      </c>
    </row>
    <row r="425" customFormat="false" ht="15" hidden="false" customHeight="true" outlineLevel="0" collapsed="false">
      <c r="A425" s="6" t="s">
        <v>446</v>
      </c>
      <c r="B425" s="6" t="n">
        <v>3222.01181818181</v>
      </c>
      <c r="C425" s="6" t="n">
        <f aca="false">IF(OR($B425="",$B424=""),"",LN($B425/$B424)*100)</f>
        <v>7.59854600635988</v>
      </c>
      <c r="D425" s="6" t="n">
        <f aca="false">IF(ROW()&lt;5,"",STDEV($C423:$C425))</f>
        <v>2.3619400903829</v>
      </c>
      <c r="E425" s="6" t="n">
        <f aca="false">IF(ROW()&lt;14,"",STDEV($C414:$C425))</f>
        <v>2.84602485533569</v>
      </c>
    </row>
    <row r="426" customFormat="false" ht="15" hidden="false" customHeight="true" outlineLevel="0" collapsed="false">
      <c r="A426" s="6" t="s">
        <v>447</v>
      </c>
      <c r="B426" s="6" t="n">
        <v>3288.00954545454</v>
      </c>
      <c r="C426" s="6" t="n">
        <f aca="false">IF(OR($B426="",$B425=""),"",LN($B426/$B425)*100)</f>
        <v>2.02764275958818</v>
      </c>
      <c r="D426" s="6" t="n">
        <f aca="false">IF(ROW()&lt;5,"",STDEV($C424:$C426))</f>
        <v>2.95104676942952</v>
      </c>
      <c r="E426" s="6" t="n">
        <f aca="false">IF(ROW()&lt;14,"",STDEV($C415:$C426))</f>
        <v>2.78877982535791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IF(OR($B427="",$B426=""),"",LN($B427/$B426)*100)</f>
        <v>1.92326091266407</v>
      </c>
      <c r="D427" s="6" t="n">
        <f aca="false">IF(ROW()&lt;5,"",STDEV($C425:$C427))</f>
        <v>3.24691441858227</v>
      </c>
      <c r="E427" s="6" t="n">
        <f aca="false">IF(ROW()&lt;14,"",STDEV($C416:$C427))</f>
        <v>2.55039333233886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IF(OR($B428="",$B427=""),"",LN($B428/$B427)*100)</f>
        <v>-0.305055267457412</v>
      </c>
      <c r="D428" s="6" t="n">
        <f aca="false">IF(ROW()&lt;5,"",STDEV($C426:$C428))</f>
        <v>1.31768538568841</v>
      </c>
      <c r="E428" s="6" t="n">
        <f aca="false">IF(ROW()&lt;14,"",STDEV($C417:$C428))</f>
        <v>2.72792427021373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IF(OR($B429="",$B428=""),"",LN($B429/$B428)*100)</f>
        <v>0.763378917129707</v>
      </c>
      <c r="D429" s="6" t="n">
        <f aca="false">IF(ROW()&lt;5,"",STDEV($C427:$C429))</f>
        <v>1.11447078987819</v>
      </c>
      <c r="E429" s="6" t="n">
        <f aca="false">IF(ROW()&lt;14,"",STDEV($C418:$C429))</f>
        <v>2.78638963954445</v>
      </c>
    </row>
    <row r="430" customFormat="false" ht="15" hidden="false" customHeight="true" outlineLevel="0" collapsed="false">
      <c r="A430" s="6" t="s">
        <v>451</v>
      </c>
      <c r="B430" s="6" t="n">
        <v>3666.52363636363</v>
      </c>
      <c r="C430" s="6" t="n">
        <f aca="false">IF(OR($B430="",$B429=""),"",LN($B430/$B429)*100)</f>
        <v>8.5145749173094</v>
      </c>
      <c r="D430" s="6" t="n">
        <f aca="false">IF(ROW()&lt;5,"",STDEV($C428:$C430))</f>
        <v>4.81332296229341</v>
      </c>
      <c r="E430" s="6" t="n">
        <f aca="false">IF(ROW()&lt;14,"",STDEV($C419:$C430))</f>
        <v>3.25907254969863</v>
      </c>
    </row>
    <row r="431" customFormat="false" ht="15" hidden="false" customHeight="true" outlineLevel="0" collapsed="false">
      <c r="A431" s="6" t="s">
        <v>452</v>
      </c>
      <c r="B431" s="6" t="n">
        <v>4055.16869565217</v>
      </c>
      <c r="C431" s="6" t="n">
        <f aca="false">IF(OR($B431="",$B430=""),"",LN($B431/$B430)*100)</f>
        <v>10.0748313484182</v>
      </c>
      <c r="D431" s="6" t="n">
        <f aca="false">IF(ROW()&lt;5,"",STDEV($C429:$C431))</f>
        <v>4.98695942674771</v>
      </c>
      <c r="E431" s="6" t="n">
        <f aca="false">IF(ROW()&lt;14,"",STDEV($C420:$C431))</f>
        <v>3.84114315760856</v>
      </c>
    </row>
    <row r="432" customFormat="false" ht="15" hidden="false" customHeight="true" outlineLevel="0" collapsed="false">
      <c r="A432" s="6" t="s">
        <v>453</v>
      </c>
      <c r="B432" s="6" t="n">
        <v>4085.231</v>
      </c>
      <c r="C432" s="6" t="n">
        <f aca="false">IF(OR($B432="",$B431=""),"",LN($B432/$B431)*100)</f>
        <v>0.738598647164527</v>
      </c>
      <c r="D432" s="6" t="n">
        <f aca="false">IF(ROW()&lt;5,"",STDEV($C430:$C432))</f>
        <v>5.00109068331819</v>
      </c>
      <c r="E432" s="6" t="n">
        <f aca="false">IF(ROW()&lt;14,"",STDEV($C421:$C432))</f>
        <v>3.64358706522771</v>
      </c>
    </row>
    <row r="433" customFormat="false" ht="15" hidden="false" customHeight="true" outlineLevel="0" collapsed="false">
      <c r="A433" s="6" t="s">
        <v>454</v>
      </c>
      <c r="B433" s="6" t="n">
        <v>4313.93818181818</v>
      </c>
      <c r="C433" s="6" t="n">
        <f aca="false">IF(OR($B433="",$B432=""),"",LN($B433/$B432)*100)</f>
        <v>5.44729431368871</v>
      </c>
      <c r="D433" s="6" t="n">
        <f aca="false">IF(ROW()&lt;5,"",STDEV($C431:$C433))</f>
        <v>4.66817514202456</v>
      </c>
      <c r="E433" s="6" t="n">
        <f aca="false">IF(ROW()&lt;14,"",STDEV($C422:$C433))</f>
        <v>3.44111191732136</v>
      </c>
    </row>
    <row r="434" customFormat="false" ht="15" hidden="false" customHeight="true" outlineLevel="0" collapsed="false">
      <c r="A434" s="6" t="s">
        <v>455</v>
      </c>
      <c r="B434" s="6" t="n">
        <v>4719.7059090909</v>
      </c>
      <c r="C434" s="6" t="n">
        <f aca="false">IF(OR($B434="",$B433=""),"",LN($B434/$B433)*100)</f>
        <v>8.98952720626128</v>
      </c>
      <c r="D434" s="6" t="n">
        <f aca="false">IF(ROW()&lt;5,"",STDEV($C432:$C434))</f>
        <v>4.13918371245034</v>
      </c>
      <c r="E434" s="6" t="n">
        <f aca="false">IF(ROW()&lt;14,"",STDEV($C423:$C434))</f>
        <v>3.67075910333749</v>
      </c>
    </row>
    <row r="435" customFormat="false" ht="15" hidden="false" customHeight="true" outlineLevel="0" collapsed="false">
      <c r="A435" s="6" t="s">
        <v>456</v>
      </c>
      <c r="B435" s="6" t="n">
        <v>5014.645</v>
      </c>
      <c r="C435" s="6" t="n">
        <f aca="false">IF(OR($B435="",$B434=""),"",LN($B435/$B434)*100)</f>
        <v>6.06161410109655</v>
      </c>
      <c r="D435" s="6" t="n">
        <f aca="false">IF(ROW()&lt;5,"",STDEV($C433:$C435))</f>
        <v>1.89285841246421</v>
      </c>
      <c r="E435" s="6" t="n">
        <f aca="false">IF(ROW()&lt;14,"",STDEV($C424:$C435))</f>
        <v>3.64384472424713</v>
      </c>
    </row>
    <row r="436" customFormat="false" ht="15" hidden="false" customHeight="true" outlineLevel="0" collapsed="false">
      <c r="A436" s="6" t="s">
        <v>457</v>
      </c>
      <c r="B436" s="6" t="n">
        <v>4862.75954545454</v>
      </c>
      <c r="C436" s="6" t="n">
        <f aca="false">IF(OR($B436="",$B435=""),"",LN($B436/$B435)*100)</f>
        <v>-3.07565467939498</v>
      </c>
      <c r="D436" s="6" t="n">
        <f aca="false">IF(ROW()&lt;5,"",STDEV($C434:$C436))</f>
        <v>6.2932631950405</v>
      </c>
      <c r="E436" s="6" t="n">
        <f aca="false">IF(ROW()&lt;14,"",STDEV($C425:$C436))</f>
        <v>4.25698061332023</v>
      </c>
    </row>
    <row r="437" customFormat="false" ht="15" hidden="false" customHeight="true" outlineLevel="0" collapsed="false">
      <c r="A437" s="6" t="s">
        <v>458</v>
      </c>
      <c r="B437" s="6" t="n">
        <v>4719.97181818181</v>
      </c>
      <c r="C437" s="6" t="n">
        <f aca="false">IF(OR($B437="",$B436=""),"",LN($B437/$B436)*100)</f>
        <v>-2.98032556218511</v>
      </c>
      <c r="D437" s="6" t="n">
        <f aca="false">IF(ROW()&lt;5,"",STDEV($C435:$C437))</f>
        <v>5.24810189944833</v>
      </c>
      <c r="E437" s="6" t="n">
        <f aca="false">IF(ROW()&lt;14,"",STDEV($C426:$C437))</f>
        <v>4.54400245426769</v>
      </c>
    </row>
    <row r="438" customFormat="false" ht="15" hidden="false" customHeight="true" outlineLevel="0" collapsed="false">
      <c r="A438" s="6" t="s">
        <v>459</v>
      </c>
      <c r="B438" s="6" t="n">
        <v>4590.50428571428</v>
      </c>
      <c r="C438" s="6" t="n">
        <f aca="false">IF(OR($B438="",$B437=""),"",LN($B438/$B437)*100)</f>
        <v>-2.78129446491496</v>
      </c>
      <c r="D438" s="6" t="n">
        <f aca="false">IF(ROW()&lt;5,"",STDEV($C436:$C438))</f>
        <v>0.150193738294519</v>
      </c>
      <c r="E438" s="6" t="n">
        <f aca="false">IF(ROW()&lt;14,"",STDEV($C427:$C438))</f>
        <v>4.85634794336511</v>
      </c>
    </row>
    <row r="439" customFormat="false" ht="15" hidden="false" customHeight="true" outlineLevel="0" collapsed="false">
      <c r="A439" s="6" t="s">
        <v>460</v>
      </c>
      <c r="B439" s="6" t="n">
        <v>4237.07181818181</v>
      </c>
      <c r="C439" s="6" t="n">
        <f aca="false">IF(OR($B439="",$B438=""),"",LN($B439/$B438)*100)</f>
        <v>-8.01174624620046</v>
      </c>
      <c r="D439" s="6" t="n">
        <f aca="false">IF(ROW()&lt;5,"",STDEV($C437:$C439))</f>
        <v>2.9640184804184</v>
      </c>
      <c r="E439" s="6" t="n">
        <f aca="false">IF(ROW()&lt;14,"",STDEV($C428:$C439))</f>
        <v>5.77569744647386</v>
      </c>
    </row>
    <row r="440" customFormat="false" ht="15" hidden="false" customHeight="true" outlineLevel="0" collapsed="false">
      <c r="A440" s="6" t="s">
        <v>461</v>
      </c>
      <c r="B440" s="6" t="n">
        <v>4075.09681818181</v>
      </c>
      <c r="C440" s="6" t="n">
        <f aca="false">IF(OR($B440="",$B439=""),"",LN($B440/$B439)*100)</f>
        <v>-3.89779162706874</v>
      </c>
      <c r="D440" s="6" t="n">
        <f aca="false">IF(ROW()&lt;5,"",STDEV($C438:$C440))</f>
        <v>2.75465709776871</v>
      </c>
      <c r="E440" s="6" t="n">
        <f aca="false">IF(ROW()&lt;14,"",STDEV($C429:$C440))</f>
        <v>5.99243947923063</v>
      </c>
    </row>
    <row r="441" customFormat="false" ht="15" hidden="false" customHeight="true" outlineLevel="0" collapsed="false">
      <c r="A441" s="6" t="s">
        <v>462</v>
      </c>
      <c r="B441" s="6" t="n">
        <v>4418.5445</v>
      </c>
      <c r="C441" s="6" t="n">
        <f aca="false">IF(OR($B441="",$B440=""),"",LN($B441/$B440)*100)</f>
        <v>8.09158377427643</v>
      </c>
      <c r="D441" s="6" t="n">
        <f aca="false">IF(ROW()&lt;5,"",STDEV($C439:$C441))</f>
        <v>8.36647061062835</v>
      </c>
      <c r="E441" s="6" t="n">
        <f aca="false">IF(ROW()&lt;14,"",STDEV($C430:$C441))</f>
        <v>6.26086547808568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  <c r="O1" s="1" t="s">
        <v>476</v>
      </c>
      <c r="P1" s="1" t="s">
        <v>477</v>
      </c>
    </row>
    <row r="2" customFormat="false" ht="12.75" hidden="false" customHeight="true" outlineLevel="0" collapsed="false">
      <c r="A2" s="1" t="s">
        <v>478</v>
      </c>
      <c r="C2" s="1" t="s">
        <v>479</v>
      </c>
      <c r="D2" s="1" t="s">
        <v>480</v>
      </c>
      <c r="E2" s="1" t="s">
        <v>481</v>
      </c>
      <c r="F2" s="1" t="s">
        <v>482</v>
      </c>
      <c r="G2" s="1" t="s">
        <v>483</v>
      </c>
      <c r="H2" s="1" t="s">
        <v>484</v>
      </c>
      <c r="I2" s="1" t="s">
        <v>485</v>
      </c>
      <c r="J2" s="1" t="s">
        <v>486</v>
      </c>
      <c r="K2" s="1" t="s">
        <v>487</v>
      </c>
      <c r="L2" s="1" t="s">
        <v>488</v>
      </c>
      <c r="M2" s="1" t="s">
        <v>489</v>
      </c>
      <c r="N2" s="1" t="s">
        <v>490</v>
      </c>
      <c r="O2" s="1" t="s">
        <v>491</v>
      </c>
      <c r="P2" s="1" t="s">
        <v>479</v>
      </c>
    </row>
    <row r="3" customFormat="false" ht="12.75" hidden="false" customHeight="true" outlineLevel="0" collapsed="false">
      <c r="A3" s="1" t="s">
        <v>492</v>
      </c>
      <c r="C3" s="1" t="s">
        <v>493</v>
      </c>
      <c r="D3" s="1" t="s">
        <v>493</v>
      </c>
      <c r="E3" s="1" t="s">
        <v>493</v>
      </c>
      <c r="F3" s="1" t="s">
        <v>493</v>
      </c>
      <c r="G3" s="1" t="s">
        <v>494</v>
      </c>
      <c r="H3" s="1" t="s">
        <v>493</v>
      </c>
      <c r="I3" s="1" t="s">
        <v>493</v>
      </c>
      <c r="J3" s="1" t="s">
        <v>493</v>
      </c>
      <c r="K3" s="1" t="s">
        <v>493</v>
      </c>
      <c r="L3" s="1" t="s">
        <v>494</v>
      </c>
      <c r="M3" s="1" t="s">
        <v>494</v>
      </c>
      <c r="N3" s="1" t="s">
        <v>493</v>
      </c>
      <c r="O3" s="1" t="s">
        <v>495</v>
      </c>
      <c r="P3" s="1" t="s">
        <v>494</v>
      </c>
    </row>
    <row r="4" customFormat="false" ht="12.75" hidden="false" customHeight="true" outlineLevel="0" collapsed="false">
      <c r="A4" s="1" t="s">
        <v>496</v>
      </c>
      <c r="C4" s="1" t="s">
        <v>497</v>
      </c>
      <c r="D4" s="1" t="s">
        <v>498</v>
      </c>
      <c r="E4" s="1" t="s">
        <v>499</v>
      </c>
      <c r="F4" s="1" t="s">
        <v>500</v>
      </c>
      <c r="G4" s="1" t="s">
        <v>501</v>
      </c>
      <c r="H4" s="1" t="s">
        <v>502</v>
      </c>
      <c r="I4" s="1" t="s">
        <v>503</v>
      </c>
      <c r="J4" s="1" t="s">
        <v>504</v>
      </c>
      <c r="K4" s="1" t="s">
        <v>505</v>
      </c>
      <c r="L4" s="1" t="s">
        <v>506</v>
      </c>
      <c r="M4" s="1" t="s">
        <v>507</v>
      </c>
      <c r="N4" s="1" t="s">
        <v>508</v>
      </c>
      <c r="O4" s="1" t="s">
        <v>509</v>
      </c>
      <c r="P4" s="1" t="s">
        <v>510</v>
      </c>
    </row>
    <row r="5" customFormat="false" ht="12.75" hidden="false" customHeight="true" outlineLevel="0" collapsed="false">
      <c r="A5" s="1" t="s">
        <v>511</v>
      </c>
      <c r="C5" s="1" t="s">
        <v>512</v>
      </c>
      <c r="D5" s="1" t="s">
        <v>512</v>
      </c>
      <c r="E5" s="1" t="s">
        <v>512</v>
      </c>
      <c r="F5" s="1" t="s">
        <v>512</v>
      </c>
      <c r="G5" s="1" t="s">
        <v>512</v>
      </c>
      <c r="H5" s="1" t="s">
        <v>512</v>
      </c>
      <c r="I5" s="1" t="s">
        <v>512</v>
      </c>
      <c r="J5" s="1" t="s">
        <v>512</v>
      </c>
      <c r="K5" s="1" t="s">
        <v>512</v>
      </c>
      <c r="L5" s="1" t="s">
        <v>512</v>
      </c>
      <c r="M5" s="1" t="s">
        <v>512</v>
      </c>
      <c r="N5" s="1" t="s">
        <v>512</v>
      </c>
      <c r="O5" s="1" t="s">
        <v>512</v>
      </c>
      <c r="P5" s="1" t="s">
        <v>512</v>
      </c>
    </row>
    <row r="6" customFormat="false" ht="12.75" hidden="false" customHeight="true" outlineLevel="0" collapsed="false">
      <c r="A6" s="1" t="s">
        <v>513</v>
      </c>
      <c r="C6" s="1" t="s">
        <v>514</v>
      </c>
      <c r="D6" s="1" t="s">
        <v>515</v>
      </c>
      <c r="E6" s="1" t="s">
        <v>516</v>
      </c>
      <c r="F6" s="1" t="s">
        <v>517</v>
      </c>
      <c r="G6" s="1" t="s">
        <v>518</v>
      </c>
      <c r="H6" s="1" t="s">
        <v>519</v>
      </c>
      <c r="I6" s="1" t="s">
        <v>520</v>
      </c>
      <c r="J6" s="1" t="s">
        <v>521</v>
      </c>
      <c r="K6" s="1" t="s">
        <v>522</v>
      </c>
      <c r="L6" s="1" t="s">
        <v>523</v>
      </c>
      <c r="M6" s="1" t="s">
        <v>524</v>
      </c>
      <c r="N6" s="1" t="s">
        <v>525</v>
      </c>
      <c r="O6" s="1" t="s">
        <v>526</v>
      </c>
      <c r="P6" s="1" t="s">
        <v>527</v>
      </c>
    </row>
    <row r="7" customFormat="false" ht="12.75" hidden="false" customHeight="true" outlineLevel="0" collapsed="false">
      <c r="A7" s="1" t="s">
        <v>528</v>
      </c>
      <c r="C7" s="1" t="s">
        <v>529</v>
      </c>
      <c r="D7" s="1" t="s">
        <v>529</v>
      </c>
      <c r="E7" s="1" t="s">
        <v>529</v>
      </c>
      <c r="F7" s="1" t="s">
        <v>529</v>
      </c>
      <c r="G7" s="1" t="s">
        <v>529</v>
      </c>
      <c r="H7" s="1" t="s">
        <v>529</v>
      </c>
      <c r="I7" s="1" t="s">
        <v>529</v>
      </c>
      <c r="J7" s="1" t="s">
        <v>529</v>
      </c>
      <c r="K7" s="1" t="s">
        <v>529</v>
      </c>
      <c r="L7" s="1" t="s">
        <v>530</v>
      </c>
      <c r="M7" s="1" t="s">
        <v>529</v>
      </c>
      <c r="N7" s="1" t="s">
        <v>529</v>
      </c>
      <c r="O7" s="1" t="s">
        <v>529</v>
      </c>
      <c r="P7" s="1" t="s">
        <v>531</v>
      </c>
    </row>
    <row r="8" customFormat="false" ht="12.75" hidden="false" customHeight="true" outlineLevel="0" collapsed="false">
      <c r="A8" s="1" t="s">
        <v>532</v>
      </c>
      <c r="C8" s="1" t="s">
        <v>533</v>
      </c>
      <c r="D8" s="1" t="s">
        <v>534</v>
      </c>
      <c r="E8" s="1" t="s">
        <v>535</v>
      </c>
      <c r="F8" s="1" t="s">
        <v>536</v>
      </c>
      <c r="G8" s="1" t="s">
        <v>537</v>
      </c>
      <c r="H8" s="1" t="s">
        <v>538</v>
      </c>
      <c r="I8" s="1" t="s">
        <v>539</v>
      </c>
      <c r="J8" s="1" t="s">
        <v>540</v>
      </c>
      <c r="K8" s="1" t="s">
        <v>541</v>
      </c>
      <c r="L8" s="1" t="s">
        <v>542</v>
      </c>
      <c r="M8" s="1" t="s">
        <v>543</v>
      </c>
      <c r="N8" s="1" t="s">
        <v>544</v>
      </c>
      <c r="O8" s="1" t="s">
        <v>545</v>
      </c>
      <c r="P8" s="1" t="s">
        <v>546</v>
      </c>
    </row>
    <row r="9" customFormat="false" ht="12.75" hidden="false" customHeight="true" outlineLevel="0" collapsed="false">
      <c r="A9" s="1" t="s">
        <v>547</v>
      </c>
      <c r="C9" s="1" t="s">
        <v>548</v>
      </c>
      <c r="D9" s="1" t="s">
        <v>549</v>
      </c>
      <c r="E9" s="1" t="s">
        <v>550</v>
      </c>
      <c r="F9" s="1" t="s">
        <v>551</v>
      </c>
      <c r="G9" s="1" t="s">
        <v>552</v>
      </c>
      <c r="H9" s="1" t="s">
        <v>553</v>
      </c>
      <c r="I9" s="1" t="s">
        <v>554</v>
      </c>
      <c r="J9" s="1" t="s">
        <v>555</v>
      </c>
      <c r="K9" s="1" t="s">
        <v>556</v>
      </c>
      <c r="L9" s="1" t="s">
        <v>557</v>
      </c>
      <c r="M9" s="1" t="s">
        <v>558</v>
      </c>
      <c r="N9" s="1" t="s">
        <v>559</v>
      </c>
      <c r="O9" s="1" t="s">
        <v>560</v>
      </c>
      <c r="P9" s="1" t="s">
        <v>561</v>
      </c>
    </row>
    <row r="10" customFormat="false" ht="12.75" hidden="false" customHeight="true" outlineLevel="0" collapsed="false">
      <c r="A10" s="1" t="s">
        <v>562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563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564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565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566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567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568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569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570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463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</row>
    <row r="2" customFormat="false" ht="12.75" hidden="false" customHeight="true" outlineLevel="0" collapsed="false">
      <c r="A2" s="1" t="s">
        <v>478</v>
      </c>
      <c r="C2" s="1" t="s">
        <v>479</v>
      </c>
      <c r="D2" s="1" t="s">
        <v>480</v>
      </c>
      <c r="E2" s="1" t="s">
        <v>587</v>
      </c>
      <c r="F2" s="1" t="s">
        <v>481</v>
      </c>
      <c r="G2" s="1" t="s">
        <v>482</v>
      </c>
      <c r="H2" s="1" t="s">
        <v>588</v>
      </c>
      <c r="I2" s="1" t="s">
        <v>589</v>
      </c>
      <c r="J2" s="1" t="s">
        <v>484</v>
      </c>
      <c r="K2" s="1" t="s">
        <v>490</v>
      </c>
      <c r="L2" s="1" t="s">
        <v>479</v>
      </c>
      <c r="M2" s="1" t="s">
        <v>485</v>
      </c>
      <c r="N2" s="1" t="s">
        <v>486</v>
      </c>
      <c r="O2" s="1" t="s">
        <v>487</v>
      </c>
      <c r="P2" s="1" t="s">
        <v>590</v>
      </c>
      <c r="Q2" s="1" t="s">
        <v>591</v>
      </c>
      <c r="R2" s="1" t="s">
        <v>479</v>
      </c>
    </row>
    <row r="3" customFormat="false" ht="12.75" hidden="false" customHeight="true" outlineLevel="0" collapsed="false">
      <c r="A3" s="1" t="s">
        <v>492</v>
      </c>
      <c r="C3" s="1" t="s">
        <v>494</v>
      </c>
      <c r="D3" s="1" t="s">
        <v>493</v>
      </c>
      <c r="E3" s="1" t="s">
        <v>494</v>
      </c>
      <c r="F3" s="1" t="s">
        <v>493</v>
      </c>
      <c r="G3" s="1" t="s">
        <v>494</v>
      </c>
      <c r="H3" s="1" t="s">
        <v>494</v>
      </c>
      <c r="I3" s="1" t="s">
        <v>494</v>
      </c>
      <c r="J3" s="1" t="s">
        <v>493</v>
      </c>
      <c r="K3" s="1" t="s">
        <v>494</v>
      </c>
      <c r="L3" s="1" t="s">
        <v>493</v>
      </c>
      <c r="M3" s="1" t="s">
        <v>493</v>
      </c>
      <c r="N3" s="1" t="s">
        <v>493</v>
      </c>
      <c r="O3" s="1" t="s">
        <v>493</v>
      </c>
      <c r="P3" s="1" t="s">
        <v>494</v>
      </c>
      <c r="Q3" s="1" t="s">
        <v>493</v>
      </c>
      <c r="R3" s="1" t="s">
        <v>494</v>
      </c>
    </row>
    <row r="4" customFormat="false" ht="12.75" hidden="false" customHeight="true" outlineLevel="0" collapsed="false">
      <c r="A4" s="1" t="s">
        <v>496</v>
      </c>
      <c r="C4" s="1" t="s">
        <v>497</v>
      </c>
      <c r="D4" s="1" t="s">
        <v>498</v>
      </c>
      <c r="E4" s="1" t="s">
        <v>592</v>
      </c>
      <c r="F4" s="1" t="s">
        <v>499</v>
      </c>
      <c r="G4" s="1" t="s">
        <v>500</v>
      </c>
      <c r="H4" s="1" t="s">
        <v>501</v>
      </c>
      <c r="I4" s="1" t="s">
        <v>593</v>
      </c>
      <c r="J4" s="1" t="s">
        <v>502</v>
      </c>
      <c r="K4" s="1" t="s">
        <v>594</v>
      </c>
      <c r="L4" s="1" t="s">
        <v>595</v>
      </c>
      <c r="M4" s="1" t="s">
        <v>503</v>
      </c>
      <c r="N4" s="1" t="s">
        <v>504</v>
      </c>
      <c r="O4" s="1" t="s">
        <v>505</v>
      </c>
      <c r="P4" s="1" t="s">
        <v>506</v>
      </c>
      <c r="Q4" s="1" t="s">
        <v>508</v>
      </c>
      <c r="R4" s="1" t="s">
        <v>510</v>
      </c>
    </row>
    <row r="5" customFormat="false" ht="12.75" hidden="false" customHeight="true" outlineLevel="0" collapsed="false">
      <c r="A5" s="1" t="s">
        <v>511</v>
      </c>
      <c r="C5" s="1" t="s">
        <v>512</v>
      </c>
      <c r="D5" s="1" t="s">
        <v>512</v>
      </c>
      <c r="E5" s="1" t="s">
        <v>512</v>
      </c>
      <c r="F5" s="1" t="s">
        <v>512</v>
      </c>
      <c r="G5" s="1" t="s">
        <v>512</v>
      </c>
      <c r="H5" s="1" t="s">
        <v>512</v>
      </c>
      <c r="I5" s="1" t="s">
        <v>512</v>
      </c>
      <c r="J5" s="1" t="s">
        <v>512</v>
      </c>
      <c r="K5" s="1" t="s">
        <v>512</v>
      </c>
      <c r="L5" s="1" t="s">
        <v>512</v>
      </c>
      <c r="M5" s="1" t="s">
        <v>512</v>
      </c>
      <c r="N5" s="1" t="s">
        <v>512</v>
      </c>
      <c r="O5" s="1" t="s">
        <v>512</v>
      </c>
      <c r="P5" s="1" t="s">
        <v>512</v>
      </c>
      <c r="Q5" s="1" t="s">
        <v>512</v>
      </c>
      <c r="R5" s="1" t="s">
        <v>512</v>
      </c>
    </row>
    <row r="6" customFormat="false" ht="12.75" hidden="false" customHeight="true" outlineLevel="0" collapsed="false">
      <c r="A6" s="1" t="s">
        <v>513</v>
      </c>
      <c r="C6" s="1" t="s">
        <v>596</v>
      </c>
      <c r="D6" s="1" t="s">
        <v>515</v>
      </c>
      <c r="E6" s="1" t="s">
        <v>597</v>
      </c>
      <c r="F6" s="1" t="s">
        <v>516</v>
      </c>
      <c r="G6" s="1" t="s">
        <v>598</v>
      </c>
      <c r="H6" s="1" t="s">
        <v>599</v>
      </c>
      <c r="I6" s="1" t="s">
        <v>600</v>
      </c>
      <c r="J6" s="1" t="s">
        <v>519</v>
      </c>
      <c r="K6" s="1" t="s">
        <v>601</v>
      </c>
      <c r="L6" s="1" t="s">
        <v>602</v>
      </c>
      <c r="M6" s="1" t="s">
        <v>520</v>
      </c>
      <c r="N6" s="1" t="s">
        <v>521</v>
      </c>
      <c r="O6" s="1" t="s">
        <v>522</v>
      </c>
      <c r="P6" s="1" t="s">
        <v>523</v>
      </c>
      <c r="Q6" s="1" t="s">
        <v>525</v>
      </c>
      <c r="R6" s="1" t="s">
        <v>527</v>
      </c>
    </row>
    <row r="7" customFormat="false" ht="12.75" hidden="false" customHeight="true" outlineLevel="0" collapsed="false">
      <c r="A7" s="1" t="s">
        <v>528</v>
      </c>
      <c r="C7" s="1" t="s">
        <v>529</v>
      </c>
      <c r="D7" s="1" t="s">
        <v>529</v>
      </c>
      <c r="E7" s="1" t="s">
        <v>529</v>
      </c>
      <c r="F7" s="1" t="s">
        <v>529</v>
      </c>
      <c r="G7" s="1" t="s">
        <v>529</v>
      </c>
      <c r="H7" s="1" t="s">
        <v>529</v>
      </c>
      <c r="I7" s="1" t="s">
        <v>529</v>
      </c>
      <c r="J7" s="1" t="s">
        <v>529</v>
      </c>
      <c r="K7" s="1" t="s">
        <v>529</v>
      </c>
      <c r="L7" s="1" t="s">
        <v>529</v>
      </c>
      <c r="M7" s="1" t="s">
        <v>529</v>
      </c>
      <c r="N7" s="1" t="s">
        <v>529</v>
      </c>
      <c r="O7" s="1" t="s">
        <v>529</v>
      </c>
      <c r="P7" s="1" t="s">
        <v>530</v>
      </c>
      <c r="Q7" s="1" t="s">
        <v>529</v>
      </c>
      <c r="R7" s="1" t="s">
        <v>531</v>
      </c>
    </row>
    <row r="8" customFormat="false" ht="12.75" hidden="false" customHeight="true" outlineLevel="0" collapsed="false">
      <c r="A8" s="1" t="s">
        <v>532</v>
      </c>
      <c r="C8" s="1" t="s">
        <v>533</v>
      </c>
      <c r="D8" s="1" t="s">
        <v>534</v>
      </c>
      <c r="E8" s="1" t="s">
        <v>603</v>
      </c>
      <c r="F8" s="1" t="s">
        <v>535</v>
      </c>
      <c r="G8" s="1" t="s">
        <v>536</v>
      </c>
      <c r="H8" s="1" t="s">
        <v>604</v>
      </c>
      <c r="I8" s="1" t="s">
        <v>605</v>
      </c>
      <c r="J8" s="1" t="s">
        <v>538</v>
      </c>
      <c r="K8" s="1" t="s">
        <v>606</v>
      </c>
      <c r="L8" s="1" t="s">
        <v>607</v>
      </c>
      <c r="M8" s="1" t="s">
        <v>539</v>
      </c>
      <c r="N8" s="1" t="s">
        <v>540</v>
      </c>
      <c r="O8" s="1" t="s">
        <v>541</v>
      </c>
      <c r="P8" s="1" t="s">
        <v>542</v>
      </c>
      <c r="Q8" s="1" t="s">
        <v>544</v>
      </c>
      <c r="R8" s="1" t="s">
        <v>546</v>
      </c>
    </row>
    <row r="9" customFormat="false" ht="12.75" hidden="false" customHeight="true" outlineLevel="0" collapsed="false">
      <c r="A9" s="1" t="s">
        <v>547</v>
      </c>
      <c r="C9" s="1" t="s">
        <v>548</v>
      </c>
      <c r="D9" s="1" t="s">
        <v>549</v>
      </c>
      <c r="E9" s="1" t="s">
        <v>608</v>
      </c>
      <c r="F9" s="1" t="s">
        <v>550</v>
      </c>
      <c r="G9" s="1" t="s">
        <v>551</v>
      </c>
      <c r="H9" s="1" t="s">
        <v>552</v>
      </c>
      <c r="I9" s="1" t="s">
        <v>609</v>
      </c>
      <c r="J9" s="1" t="s">
        <v>553</v>
      </c>
      <c r="K9" s="1" t="s">
        <v>610</v>
      </c>
      <c r="L9" s="1" t="s">
        <v>611</v>
      </c>
      <c r="M9" s="1" t="s">
        <v>554</v>
      </c>
      <c r="N9" s="1" t="s">
        <v>555</v>
      </c>
      <c r="O9" s="1" t="s">
        <v>556</v>
      </c>
      <c r="P9" s="1" t="s">
        <v>557</v>
      </c>
      <c r="Q9" s="1" t="s">
        <v>559</v>
      </c>
      <c r="R9" s="1" t="s">
        <v>561</v>
      </c>
    </row>
    <row r="10" customFormat="false" ht="12.75" hidden="false" customHeight="true" outlineLevel="0" collapsed="false">
      <c r="A10" s="1" t="s">
        <v>562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563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564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565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566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567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568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569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570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463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</row>
    <row r="2" customFormat="false" ht="12.75" hidden="false" customHeight="true" outlineLevel="0" collapsed="false">
      <c r="A2" s="1" t="s">
        <v>478</v>
      </c>
      <c r="C2" s="1" t="s">
        <v>622</v>
      </c>
      <c r="D2" s="1" t="s">
        <v>588</v>
      </c>
      <c r="E2" s="1" t="s">
        <v>623</v>
      </c>
      <c r="F2" s="1" t="s">
        <v>485</v>
      </c>
      <c r="G2" s="1" t="s">
        <v>624</v>
      </c>
      <c r="H2" s="1" t="s">
        <v>588</v>
      </c>
      <c r="I2" s="1" t="s">
        <v>625</v>
      </c>
      <c r="J2" s="1" t="s">
        <v>590</v>
      </c>
      <c r="K2" s="1" t="s">
        <v>479</v>
      </c>
      <c r="L2" s="1" t="s">
        <v>626</v>
      </c>
    </row>
    <row r="3" customFormat="false" ht="12.75" hidden="false" customHeight="true" outlineLevel="0" collapsed="false">
      <c r="A3" s="1" t="s">
        <v>492</v>
      </c>
      <c r="C3" s="1" t="s">
        <v>494</v>
      </c>
      <c r="D3" s="1" t="s">
        <v>494</v>
      </c>
      <c r="E3" s="1" t="s">
        <v>494</v>
      </c>
      <c r="F3" s="1" t="s">
        <v>493</v>
      </c>
      <c r="G3" s="1" t="s">
        <v>493</v>
      </c>
      <c r="H3" s="1" t="s">
        <v>493</v>
      </c>
      <c r="I3" s="1" t="s">
        <v>493</v>
      </c>
      <c r="J3" s="1" t="s">
        <v>494</v>
      </c>
      <c r="K3" s="1" t="s">
        <v>494</v>
      </c>
      <c r="L3" s="1" t="s">
        <v>494</v>
      </c>
    </row>
    <row r="4" customFormat="false" ht="12.75" hidden="false" customHeight="true" outlineLevel="0" collapsed="false">
      <c r="A4" s="1" t="s">
        <v>496</v>
      </c>
      <c r="C4" s="1" t="s">
        <v>592</v>
      </c>
      <c r="D4" s="1" t="s">
        <v>501</v>
      </c>
      <c r="E4" s="1" t="s">
        <v>594</v>
      </c>
      <c r="F4" s="1" t="s">
        <v>503</v>
      </c>
      <c r="G4" s="1" t="s">
        <v>504</v>
      </c>
      <c r="H4" s="1" t="s">
        <v>627</v>
      </c>
      <c r="I4" s="1" t="s">
        <v>505</v>
      </c>
      <c r="J4" s="1" t="s">
        <v>506</v>
      </c>
      <c r="K4" s="1" t="s">
        <v>510</v>
      </c>
      <c r="L4" s="1" t="s">
        <v>628</v>
      </c>
    </row>
    <row r="5" customFormat="false" ht="12.75" hidden="false" customHeight="true" outlineLevel="0" collapsed="false">
      <c r="A5" s="1" t="s">
        <v>511</v>
      </c>
      <c r="C5" s="1" t="s">
        <v>512</v>
      </c>
      <c r="D5" s="1" t="s">
        <v>512</v>
      </c>
      <c r="E5" s="1" t="s">
        <v>512</v>
      </c>
      <c r="F5" s="1" t="s">
        <v>512</v>
      </c>
      <c r="G5" s="1" t="s">
        <v>512</v>
      </c>
      <c r="H5" s="1" t="s">
        <v>512</v>
      </c>
      <c r="I5" s="1" t="s">
        <v>512</v>
      </c>
      <c r="J5" s="1" t="s">
        <v>512</v>
      </c>
      <c r="K5" s="1" t="s">
        <v>512</v>
      </c>
      <c r="L5" s="1" t="s">
        <v>512</v>
      </c>
    </row>
    <row r="6" customFormat="false" ht="12.75" hidden="false" customHeight="true" outlineLevel="0" collapsed="false">
      <c r="A6" s="1" t="s">
        <v>513</v>
      </c>
      <c r="C6" s="1" t="s">
        <v>597</v>
      </c>
      <c r="D6" s="1" t="s">
        <v>629</v>
      </c>
      <c r="E6" s="1" t="s">
        <v>601</v>
      </c>
      <c r="F6" s="1" t="s">
        <v>520</v>
      </c>
      <c r="G6" s="1" t="s">
        <v>521</v>
      </c>
      <c r="H6" s="1" t="s">
        <v>630</v>
      </c>
      <c r="I6" s="1" t="s">
        <v>631</v>
      </c>
      <c r="J6" s="1" t="s">
        <v>523</v>
      </c>
      <c r="K6" s="1" t="s">
        <v>527</v>
      </c>
      <c r="L6" s="1" t="s">
        <v>632</v>
      </c>
    </row>
    <row r="7" customFormat="false" ht="12.75" hidden="false" customHeight="true" outlineLevel="0" collapsed="false">
      <c r="A7" s="1" t="s">
        <v>528</v>
      </c>
      <c r="C7" s="1" t="s">
        <v>529</v>
      </c>
      <c r="D7" s="1" t="s">
        <v>633</v>
      </c>
      <c r="E7" s="1" t="s">
        <v>633</v>
      </c>
      <c r="F7" s="1" t="s">
        <v>633</v>
      </c>
      <c r="G7" s="1" t="s">
        <v>633</v>
      </c>
      <c r="H7" s="1" t="s">
        <v>633</v>
      </c>
      <c r="I7" s="1" t="s">
        <v>531</v>
      </c>
      <c r="J7" s="1" t="s">
        <v>633</v>
      </c>
      <c r="K7" s="1" t="s">
        <v>633</v>
      </c>
      <c r="L7" s="1" t="s">
        <v>633</v>
      </c>
    </row>
    <row r="8" customFormat="false" ht="12.75" hidden="false" customHeight="true" outlineLevel="0" collapsed="false">
      <c r="A8" s="1" t="s">
        <v>532</v>
      </c>
      <c r="C8" s="1" t="s">
        <v>603</v>
      </c>
      <c r="D8" s="1" t="s">
        <v>604</v>
      </c>
      <c r="E8" s="1" t="s">
        <v>606</v>
      </c>
      <c r="F8" s="1" t="s">
        <v>539</v>
      </c>
      <c r="G8" s="1" t="s">
        <v>540</v>
      </c>
      <c r="H8" s="1" t="s">
        <v>634</v>
      </c>
      <c r="I8" s="1" t="s">
        <v>541</v>
      </c>
      <c r="J8" s="1" t="s">
        <v>542</v>
      </c>
      <c r="K8" s="1" t="s">
        <v>546</v>
      </c>
      <c r="L8" s="1" t="s">
        <v>635</v>
      </c>
    </row>
    <row r="9" customFormat="false" ht="12.75" hidden="false" customHeight="true" outlineLevel="0" collapsed="false">
      <c r="A9" s="1" t="s">
        <v>547</v>
      </c>
      <c r="C9" s="1" t="s">
        <v>608</v>
      </c>
      <c r="D9" s="1" t="s">
        <v>552</v>
      </c>
      <c r="E9" s="1" t="s">
        <v>610</v>
      </c>
      <c r="F9" s="1" t="s">
        <v>554</v>
      </c>
      <c r="G9" s="1" t="s">
        <v>555</v>
      </c>
      <c r="H9" s="1" t="s">
        <v>636</v>
      </c>
      <c r="I9" s="1" t="s">
        <v>556</v>
      </c>
      <c r="J9" s="1" t="s">
        <v>557</v>
      </c>
      <c r="K9" s="1" t="s">
        <v>561</v>
      </c>
      <c r="L9" s="1" t="s">
        <v>637</v>
      </c>
    </row>
    <row r="10" customFormat="false" ht="12.75" hidden="false" customHeight="true" outlineLevel="0" collapsed="false">
      <c r="A10" s="1" t="s">
        <v>562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563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564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565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566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567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568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569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570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2026-09-22T03:14:42Z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