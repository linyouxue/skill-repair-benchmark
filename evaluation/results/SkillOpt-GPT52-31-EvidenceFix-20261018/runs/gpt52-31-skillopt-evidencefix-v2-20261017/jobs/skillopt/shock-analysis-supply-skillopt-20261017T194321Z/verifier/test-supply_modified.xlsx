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<sst xmlns="http://schemas.openxmlformats.org/spreadsheetml/2006/main" count="1313" uniqueCount="50">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</sst>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e">
        <f aca="false">AVERAGE(E22:E29)</f>
        <v>#NAME?</v>
      </c>
      <c r="C3" s="8"/>
      <c r="D3" s="8"/>
      <c r="E3" s="8"/>
      <c r="F3" s="8"/>
      <c r="G3" s="8"/>
      <c r="H3" s="8"/>
      <c r="I3" s="9"/>
    </row>
    <row r="4" customFormat="false" ht="12" hidden="false" customHeight="true" outlineLevel="0" collapsed="false">
      <c r="K4" s="10" t="s">
        <v>3</v>
      </c>
      <c r="L4" s="11"/>
      <c r="M4" s="11"/>
      <c r="N4" s="12"/>
    </row>
    <row r="5" customFormat="false" ht="12" hidden="false" customHeight="true" outlineLevel="0" collapsed="false">
      <c r="D5" s="1" t="s">
        <v>4</v>
      </c>
      <c r="E5" s="1" t="s">
        <v>5</v>
      </c>
      <c r="F5" s="1" t="s">
        <v>6</v>
      </c>
      <c r="G5" s="1" t="s">
        <v>7</v>
      </c>
      <c r="K5" s="5" t="s">
        <v>8</v>
      </c>
      <c r="L5" s="1" t="s">
        <v>9</v>
      </c>
      <c r="M5" s="1" t="s">
        <v>10</v>
      </c>
      <c r="N5" s="6" t="s">
        <v>11</v>
      </c>
      <c r="O5" s="13" t="e">
        <f aca="false">SUMPRODUCT(M8:M25,M8:M25)+100*SUMPRODUCT(N6:N27,N6:N27)</f>
        <v>#NAME?</v>
      </c>
      <c r="P5" s="14"/>
    </row>
    <row r="6" customFormat="false" ht="12" hidden="false" customHeight="true" outlineLevel="0" collapsed="false">
      <c r="C6" s="1" t="n">
        <v>2002</v>
      </c>
      <c r="D6" s="15" t="e">
        <f aca="false">xlookup(C6,PWT!$A$2:$A$35,PWT!$B$2:$B$35,"")</f>
        <v>#NAME?</v>
      </c>
      <c r="E6" s="1" t="e">
        <f aca="false">xlookup(C6,WEO_Data!$B$8:$B$51,WEO_Data!$C$8:$C$51,"")</f>
        <v>#NAME?</v>
      </c>
      <c r="F6" s="1" t="e">
        <f aca="false">LN(D6)</f>
        <v>#NAME?</v>
      </c>
      <c r="G6" s="1" t="e">
        <f aca="false">LN(E6)</f>
        <v>#NAME?</v>
      </c>
      <c r="K6" s="5" t="e">
        <f aca="false">G6-(1-$B$2)*F6</f>
        <v>#NAME?</v>
      </c>
      <c r="L6" s="1" t="e">
        <f aca="false">K6</f>
        <v>#NAME?</v>
      </c>
      <c r="N6" s="6" t="e">
        <f aca="false">L6-K6</f>
        <v>#NAME?</v>
      </c>
    </row>
    <row r="7" customFormat="false" ht="12" hidden="false" customHeight="true" outlineLevel="0" collapsed="false">
      <c r="C7" s="1" t="n">
        <v>2003</v>
      </c>
      <c r="D7" s="15" t="e">
        <f aca="false">xlookup(C7,PWT!$A$2:$A$35,PWT!$B$2:$B$35,"")</f>
        <v>#NAME?</v>
      </c>
      <c r="E7" s="1" t="e">
        <f aca="false">xlookup(C7,WEO_Data!$B$8:$B$51,WEO_Data!$C$8:$C$51,"")</f>
        <v>#NAME?</v>
      </c>
      <c r="F7" s="1" t="e">
        <f aca="false">LN(D7)</f>
        <v>#NAME?</v>
      </c>
      <c r="G7" s="1" t="e">
        <f aca="false">LN(E7)</f>
        <v>#NAME?</v>
      </c>
      <c r="K7" s="5" t="e">
        <f aca="false">G7-(1-$B$2)*F7</f>
        <v>#NAME?</v>
      </c>
      <c r="L7" s="1" t="e">
        <f aca="false">K7</f>
        <v>#NAME?</v>
      </c>
      <c r="N7" s="6" t="e">
        <f aca="false">L7-K7</f>
        <v>#NAME?</v>
      </c>
    </row>
    <row r="8" customFormat="false" ht="12" hidden="false" customHeight="true" outlineLevel="0" collapsed="false">
      <c r="C8" s="1" t="n">
        <v>2004</v>
      </c>
      <c r="D8" s="15" t="e">
        <f aca="false">xlookup(C8,PWT!$A$2:$A$35,PWT!$B$2:$B$35,"")</f>
        <v>#NAME?</v>
      </c>
      <c r="E8" s="1" t="e">
        <f aca="false">xlookup(C8,WEO_Data!$B$8:$B$51,WEO_Data!$C$8:$C$51,"")</f>
        <v>#NAME?</v>
      </c>
      <c r="F8" s="1" t="e">
        <f aca="false">LN(D8)</f>
        <v>#NAME?</v>
      </c>
      <c r="G8" s="1" t="e">
        <f aca="false">LN(E8)</f>
        <v>#NAME?</v>
      </c>
      <c r="K8" s="5" t="e">
        <f aca="false">G8-(1-$B$2)*F8</f>
        <v>#NAME?</v>
      </c>
      <c r="L8" s="1" t="e">
        <f aca="false">K8</f>
        <v>#NAME?</v>
      </c>
      <c r="M8" s="1" t="e">
        <f aca="false">L9-2*L8+L7</f>
        <v>#NAME?</v>
      </c>
      <c r="N8" s="6" t="e">
        <f aca="false">L8-K8</f>
        <v>#NAME?</v>
      </c>
    </row>
    <row r="9" customFormat="false" ht="12" hidden="false" customHeight="true" outlineLevel="0" collapsed="false">
      <c r="C9" s="1" t="n">
        <v>2005</v>
      </c>
      <c r="D9" s="15" t="e">
        <f aca="false">xlookup(C9,PWT!$A$2:$A$35,PWT!$B$2:$B$35,"")</f>
        <v>#NAME?</v>
      </c>
      <c r="E9" s="1" t="e">
        <f aca="false">xlookup(C9,WEO_Data!$B$8:$B$51,WEO_Data!$C$8:$C$51,"")</f>
        <v>#NAME?</v>
      </c>
      <c r="F9" s="1" t="e">
        <f aca="false">LN(D9)</f>
        <v>#NAME?</v>
      </c>
      <c r="G9" s="1" t="e">
        <f aca="false">LN(E9)</f>
        <v>#NAME?</v>
      </c>
      <c r="K9" s="5" t="e">
        <f aca="false">G9-(1-$B$2)*F9</f>
        <v>#NAME?</v>
      </c>
      <c r="L9" s="1" t="e">
        <f aca="false">K9</f>
        <v>#NAME?</v>
      </c>
      <c r="M9" s="1" t="e">
        <f aca="false">L10-2*L9+L8</f>
        <v>#NAME?</v>
      </c>
      <c r="N9" s="6" t="e">
        <f aca="false">L9-K9</f>
        <v>#NAME?</v>
      </c>
    </row>
    <row r="10" customFormat="false" ht="12" hidden="false" customHeight="true" outlineLevel="0" collapsed="false">
      <c r="C10" s="1" t="n">
        <v>2006</v>
      </c>
      <c r="D10" s="15" t="e">
        <f aca="false">xlookup(C10,PWT!$A$2:$A$35,PWT!$B$2:$B$35,"")</f>
        <v>#NAME?</v>
      </c>
      <c r="E10" s="1" t="e">
        <f aca="false">xlookup(C10,WEO_Data!$B$8:$B$51,WEO_Data!$C$8:$C$51,"")</f>
        <v>#NAME?</v>
      </c>
      <c r="F10" s="1" t="e">
        <f aca="false">LN(D10)</f>
        <v>#NAME?</v>
      </c>
      <c r="G10" s="1" t="e">
        <f aca="false">LN(E10)</f>
        <v>#NAME?</v>
      </c>
      <c r="K10" s="5" t="e">
        <f aca="false">G10-(1-$B$2)*F10</f>
        <v>#NAME?</v>
      </c>
      <c r="L10" s="1" t="e">
        <f aca="false">K10</f>
        <v>#NAME?</v>
      </c>
      <c r="M10" s="1" t="e">
        <f aca="false">L11-2*L10+L9</f>
        <v>#NAME?</v>
      </c>
      <c r="N10" s="6" t="e">
        <f aca="false">L10-K10</f>
        <v>#NAME?</v>
      </c>
    </row>
    <row r="11" customFormat="false" ht="12" hidden="false" customHeight="true" outlineLevel="0" collapsed="false">
      <c r="C11" s="1" t="n">
        <v>2007</v>
      </c>
      <c r="D11" s="15" t="e">
        <f aca="false">xlookup(C11,PWT!$A$2:$A$35,PWT!$B$2:$B$35,"")</f>
        <v>#NAME?</v>
      </c>
      <c r="E11" s="1" t="e">
        <f aca="false">xlookup(C11,WEO_Data!$B$8:$B$51,WEO_Data!$C$8:$C$51,"")</f>
        <v>#NAME?</v>
      </c>
      <c r="F11" s="1" t="e">
        <f aca="false">LN(D11)</f>
        <v>#NAME?</v>
      </c>
      <c r="G11" s="1" t="e">
        <f aca="false">LN(E11)</f>
        <v>#NAME?</v>
      </c>
      <c r="K11" s="5" t="e">
        <f aca="false">G11-(1-$B$2)*F11</f>
        <v>#NAME?</v>
      </c>
      <c r="L11" s="1" t="e">
        <f aca="false">K11</f>
        <v>#NAME?</v>
      </c>
      <c r="M11" s="1" t="e">
        <f aca="false">L12-2*L11+L10</f>
        <v>#NAME?</v>
      </c>
      <c r="N11" s="6" t="e">
        <f aca="false">L11-K11</f>
        <v>#NAME?</v>
      </c>
    </row>
    <row r="12" customFormat="false" ht="12" hidden="false" customHeight="true" outlineLevel="0" collapsed="false">
      <c r="C12" s="1" t="n">
        <v>2008</v>
      </c>
      <c r="D12" s="15" t="e">
        <f aca="false">xlookup(C12,PWT!$A$2:$A$35,PWT!$B$2:$B$35,"")</f>
        <v>#NAME?</v>
      </c>
      <c r="E12" s="1" t="e">
        <f aca="false">xlookup(C12,WEO_Data!$B$8:$B$51,WEO_Data!$C$8:$C$51,"")</f>
        <v>#NAME?</v>
      </c>
      <c r="F12" s="1" t="e">
        <f aca="false">LN(D12)</f>
        <v>#NAME?</v>
      </c>
      <c r="G12" s="1" t="e">
        <f aca="false">LN(E12)</f>
        <v>#NAME?</v>
      </c>
      <c r="K12" s="5" t="e">
        <f aca="false">G12-(1-$B$2)*F12</f>
        <v>#NAME?</v>
      </c>
      <c r="L12" s="1" t="e">
        <f aca="false">K12</f>
        <v>#NAME?</v>
      </c>
      <c r="M12" s="1" t="e">
        <f aca="false">L13-2*L12+L11</f>
        <v>#NAME?</v>
      </c>
      <c r="N12" s="6" t="e">
        <f aca="false">L12-K12</f>
        <v>#NAME?</v>
      </c>
    </row>
    <row r="13" customFormat="false" ht="12" hidden="false" customHeight="true" outlineLevel="0" collapsed="false">
      <c r="C13" s="1" t="n">
        <v>2009</v>
      </c>
      <c r="D13" s="15" t="e">
        <f aca="false">xlookup(C13,PWT!$A$2:$A$35,PWT!$B$2:$B$35,"")</f>
        <v>#NAME?</v>
      </c>
      <c r="E13" s="1" t="e">
        <f aca="false">xlookup(C13,WEO_Data!$B$8:$B$51,WEO_Data!$C$8:$C$51,"")</f>
        <v>#NAME?</v>
      </c>
      <c r="F13" s="1" t="e">
        <f aca="false">LN(D13)</f>
        <v>#NAME?</v>
      </c>
      <c r="G13" s="1" t="e">
        <f aca="false">LN(E13)</f>
        <v>#NAME?</v>
      </c>
      <c r="K13" s="5" t="e">
        <f aca="false">G13-(1-$B$2)*F13</f>
        <v>#NAME?</v>
      </c>
      <c r="L13" s="1" t="e">
        <f aca="false">K13</f>
        <v>#NAME?</v>
      </c>
      <c r="M13" s="1" t="e">
        <f aca="false">L14-2*L13+L12</f>
        <v>#NAME?</v>
      </c>
      <c r="N13" s="6" t="e">
        <f aca="false">L13-K13</f>
        <v>#NAME?</v>
      </c>
    </row>
    <row r="14" customFormat="false" ht="12" hidden="false" customHeight="true" outlineLevel="0" collapsed="false">
      <c r="C14" s="1" t="n">
        <v>2010</v>
      </c>
      <c r="D14" s="15" t="e">
        <f aca="false">xlookup(C14,PWT!$A$2:$A$35,PWT!$B$2:$B$35,"")</f>
        <v>#NAME?</v>
      </c>
      <c r="E14" s="1" t="e">
        <f aca="false">xlookup(C14,WEO_Data!$B$8:$B$51,WEO_Data!$C$8:$C$51,"")</f>
        <v>#NAME?</v>
      </c>
      <c r="F14" s="1" t="e">
        <f aca="false">LN(D14)</f>
        <v>#NAME?</v>
      </c>
      <c r="G14" s="1" t="e">
        <f aca="false">LN(E14)</f>
        <v>#NAME?</v>
      </c>
      <c r="K14" s="5" t="e">
        <f aca="false">G14-(1-$B$2)*F14</f>
        <v>#NAME?</v>
      </c>
      <c r="L14" s="1" t="e">
        <f aca="false">K14</f>
        <v>#NAME?</v>
      </c>
      <c r="M14" s="1" t="e">
        <f aca="false">L15-2*L14+L13</f>
        <v>#NAME?</v>
      </c>
      <c r="N14" s="6" t="e">
        <f aca="false">L14-K14</f>
        <v>#NAME?</v>
      </c>
    </row>
    <row r="15" customFormat="false" ht="12" hidden="false" customHeight="true" outlineLevel="0" collapsed="false">
      <c r="C15" s="1" t="n">
        <v>2011</v>
      </c>
      <c r="D15" s="15" t="e">
        <f aca="false">xlookup(C15,PWT!$A$2:$A$35,PWT!$B$2:$B$35,"")</f>
        <v>#NAME?</v>
      </c>
      <c r="E15" s="1" t="e">
        <f aca="false">xlookup(C15,WEO_Data!$B$8:$B$51,WEO_Data!$C$8:$C$51,"")</f>
        <v>#NAME?</v>
      </c>
      <c r="F15" s="1" t="e">
        <f aca="false">LN(D15)</f>
        <v>#NAME?</v>
      </c>
      <c r="G15" s="1" t="e">
        <f aca="false">LN(E15)</f>
        <v>#NAME?</v>
      </c>
      <c r="K15" s="5" t="e">
        <f aca="false">G15-(1-$B$2)*F15</f>
        <v>#NAME?</v>
      </c>
      <c r="L15" s="1" t="e">
        <f aca="false">K15</f>
        <v>#NAME?</v>
      </c>
      <c r="M15" s="1" t="e">
        <f aca="false">L16-2*L15+L14</f>
        <v>#NAME?</v>
      </c>
      <c r="N15" s="6" t="e">
        <f aca="false">L15-K15</f>
        <v>#NAME?</v>
      </c>
    </row>
    <row r="16" customFormat="false" ht="12" hidden="false" customHeight="true" outlineLevel="0" collapsed="false">
      <c r="C16" s="1" t="n">
        <v>2012</v>
      </c>
      <c r="D16" s="15" t="e">
        <f aca="false">xlookup(C16,PWT!$A$2:$A$35,PWT!$B$2:$B$35,"")</f>
        <v>#NAME?</v>
      </c>
      <c r="E16" s="1" t="e">
        <f aca="false">xlookup(C16,WEO_Data!$B$8:$B$51,WEO_Data!$C$8:$C$51,"")</f>
        <v>#NAME?</v>
      </c>
      <c r="F16" s="1" t="e">
        <f aca="false">LN(D16)</f>
        <v>#NAME?</v>
      </c>
      <c r="G16" s="1" t="e">
        <f aca="false">LN(E16)</f>
        <v>#NAME?</v>
      </c>
      <c r="K16" s="5" t="e">
        <f aca="false">G16-(1-$B$2)*F16</f>
        <v>#NAME?</v>
      </c>
      <c r="L16" s="1" t="e">
        <f aca="false">K16</f>
        <v>#NAME?</v>
      </c>
      <c r="M16" s="1" t="e">
        <f aca="false">L17-2*L16+L15</f>
        <v>#NAME?</v>
      </c>
      <c r="N16" s="6" t="e">
        <f aca="false">L16-K16</f>
        <v>#NAME?</v>
      </c>
    </row>
    <row r="17" customFormat="false" ht="12" hidden="false" customHeight="true" outlineLevel="0" collapsed="false">
      <c r="C17" s="1" t="n">
        <v>2013</v>
      </c>
      <c r="D17" s="15" t="e">
        <f aca="false">xlookup(C17,PWT!$A$2:$A$35,PWT!$B$2:$B$35,"")</f>
        <v>#NAME?</v>
      </c>
      <c r="E17" s="1" t="e">
        <f aca="false">xlookup(C17,WEO_Data!$B$8:$B$51,WEO_Data!$C$8:$C$51,"")</f>
        <v>#NAME?</v>
      </c>
      <c r="F17" s="1" t="e">
        <f aca="false">LN(D17)</f>
        <v>#NAME?</v>
      </c>
      <c r="G17" s="1" t="e">
        <f aca="false">LN(E17)</f>
        <v>#NAME?</v>
      </c>
      <c r="K17" s="5" t="e">
        <f aca="false">G17-(1-$B$2)*F17</f>
        <v>#NAME?</v>
      </c>
      <c r="L17" s="1" t="e">
        <f aca="false">K17</f>
        <v>#NAME?</v>
      </c>
      <c r="M17" s="1" t="e">
        <f aca="false">L18-2*L17+L16</f>
        <v>#NAME?</v>
      </c>
      <c r="N17" s="6" t="e">
        <f aca="false">L17-K17</f>
        <v>#NAME?</v>
      </c>
    </row>
    <row r="18" customFormat="false" ht="12" hidden="false" customHeight="true" outlineLevel="0" collapsed="false">
      <c r="C18" s="1" t="n">
        <v>2014</v>
      </c>
      <c r="D18" s="15" t="e">
        <f aca="false">xlookup(C18,PWT!$A$2:$A$35,PWT!$B$2:$B$35,"")</f>
        <v>#NAME?</v>
      </c>
      <c r="E18" s="1" t="e">
        <f aca="false">xlookup(C18,WEO_Data!$B$8:$B$51,WEO_Data!$C$8:$C$51,"")</f>
        <v>#NAME?</v>
      </c>
      <c r="F18" s="1" t="e">
        <f aca="false">LN(D18)</f>
        <v>#NAME?</v>
      </c>
      <c r="G18" s="1" t="e">
        <f aca="false">LN(E18)</f>
        <v>#NAME?</v>
      </c>
      <c r="K18" s="5" t="e">
        <f aca="false">G18-(1-$B$2)*F18</f>
        <v>#NAME?</v>
      </c>
      <c r="L18" s="1" t="e">
        <f aca="false">K18</f>
        <v>#NAME?</v>
      </c>
      <c r="M18" s="1" t="e">
        <f aca="false">L19-2*L18+L17</f>
        <v>#NAME?</v>
      </c>
      <c r="N18" s="6" t="e">
        <f aca="false">L18-K18</f>
        <v>#NAME?</v>
      </c>
    </row>
    <row r="19" customFormat="false" ht="12" hidden="false" customHeight="true" outlineLevel="0" collapsed="false">
      <c r="C19" s="1" t="n">
        <v>2015</v>
      </c>
      <c r="D19" s="15" t="e">
        <f aca="false">xlookup(C19,PWT!$A$2:$A$35,PWT!$B$2:$B$35,"")</f>
        <v>#NAME?</v>
      </c>
      <c r="E19" s="1" t="e">
        <f aca="false">xlookup(C19,WEO_Data!$B$8:$B$51,WEO_Data!$C$8:$C$51,"")</f>
        <v>#NAME?</v>
      </c>
      <c r="F19" s="1" t="e">
        <f aca="false">LN(D19)</f>
        <v>#NAME?</v>
      </c>
      <c r="G19" s="1" t="e">
        <f aca="false">LN(E19)</f>
        <v>#NAME?</v>
      </c>
      <c r="K19" s="5" t="e">
        <f aca="false">G19-(1-$B$2)*F19</f>
        <v>#NAME?</v>
      </c>
      <c r="L19" s="1" t="e">
        <f aca="false">K19</f>
        <v>#NAME?</v>
      </c>
      <c r="M19" s="1" t="e">
        <f aca="false">L20-2*L19+L18</f>
        <v>#NAME?</v>
      </c>
      <c r="N19" s="6" t="e">
        <f aca="false">L19-K19</f>
        <v>#NAME?</v>
      </c>
    </row>
    <row r="20" customFormat="false" ht="12" hidden="false" customHeight="true" outlineLevel="0" collapsed="false">
      <c r="C20" s="1" t="n">
        <v>2016</v>
      </c>
      <c r="D20" s="15" t="e">
        <f aca="false">xlookup(C20,PWT!$A$2:$A$35,PWT!$B$2:$B$35,"")</f>
        <v>#NAME?</v>
      </c>
      <c r="E20" s="1" t="e">
        <f aca="false">xlookup(C20,WEO_Data!$B$8:$B$51,WEO_Data!$C$8:$C$51,"")</f>
        <v>#NAME?</v>
      </c>
      <c r="F20" s="1" t="e">
        <f aca="false">LN(D20)</f>
        <v>#NAME?</v>
      </c>
      <c r="G20" s="1" t="e">
        <f aca="false">LN(E20)</f>
        <v>#NAME?</v>
      </c>
      <c r="K20" s="5" t="e">
        <f aca="false">G20-(1-$B$2)*F20</f>
        <v>#NAME?</v>
      </c>
      <c r="L20" s="1" t="e">
        <f aca="false">K20</f>
        <v>#NAME?</v>
      </c>
      <c r="M20" s="1" t="e">
        <f aca="false">L21-2*L20+L19</f>
        <v>#NAME?</v>
      </c>
      <c r="N20" s="6" t="e">
        <f aca="false">L20-K20</f>
        <v>#NAME?</v>
      </c>
    </row>
    <row r="21" customFormat="false" ht="12" hidden="false" customHeight="true" outlineLevel="0" collapsed="false">
      <c r="C21" s="1" t="n">
        <v>2017</v>
      </c>
      <c r="D21" s="15" t="e">
        <f aca="false">xlookup(C21,PWT!$A$2:$A$35,PWT!$B$2:$B$35,"")</f>
        <v>#NAME?</v>
      </c>
      <c r="E21" s="1" t="e">
        <f aca="false">xlookup(C21,WEO_Data!$B$8:$B$51,WEO_Data!$C$8:$C$51,"")</f>
        <v>#NAME?</v>
      </c>
      <c r="F21" s="1" t="e">
        <f aca="false">LN(D21)</f>
        <v>#NAME?</v>
      </c>
      <c r="G21" s="1" t="e">
        <f aca="false">LN(E21)</f>
        <v>#NAME?</v>
      </c>
      <c r="K21" s="5" t="e">
        <f aca="false">G21-(1-$B$2)*F21</f>
        <v>#NAME?</v>
      </c>
      <c r="L21" s="1" t="e">
        <f aca="false">K21</f>
        <v>#NAME?</v>
      </c>
      <c r="M21" s="1" t="e">
        <f aca="false">L22-2*L21+L20</f>
        <v>#NAME?</v>
      </c>
      <c r="N21" s="6" t="e">
        <f aca="false">L21-K21</f>
        <v>#NAME?</v>
      </c>
    </row>
    <row r="22" customFormat="false" ht="12" hidden="false" customHeight="true" outlineLevel="0" collapsed="false">
      <c r="C22" s="1" t="n">
        <v>2018</v>
      </c>
      <c r="D22" s="15" t="e">
        <f aca="false">xlookup(C22,PWT!$A$2:$A$35,PWT!$B$2:$B$35,"")</f>
        <v>#NAME?</v>
      </c>
      <c r="E22" s="1" t="e">
        <f aca="false">xlookup(C22,WEO_Data!$B$8:$B$51,WEO_Data!$C$8:$C$51,"")</f>
        <v>#NAME?</v>
      </c>
      <c r="F22" s="1" t="e">
        <f aca="false">LN(D22)</f>
        <v>#NAME?</v>
      </c>
      <c r="G22" s="1" t="e">
        <f aca="false">LN(E22)</f>
        <v>#NAME?</v>
      </c>
      <c r="K22" s="5" t="e">
        <f aca="false">G22-(1-$B$2)*F22</f>
        <v>#NAME?</v>
      </c>
      <c r="L22" s="1" t="e">
        <f aca="false">K22</f>
        <v>#NAME?</v>
      </c>
      <c r="M22" s="1" t="e">
        <f aca="false">L23-2*L22+L21</f>
        <v>#NAME?</v>
      </c>
      <c r="N22" s="6" t="e">
        <f aca="false">L22-K22</f>
        <v>#NAME?</v>
      </c>
    </row>
    <row r="23" customFormat="false" ht="12" hidden="false" customHeight="true" outlineLevel="0" collapsed="false">
      <c r="C23" s="1" t="n">
        <v>2019</v>
      </c>
      <c r="D23" s="15" t="e">
        <f aca="false">xlookup(C23,PWT!$A$2:$A$35,PWT!$B$2:$B$35,"")</f>
        <v>#NAME?</v>
      </c>
      <c r="E23" s="1" t="e">
        <f aca="false">xlookup(C23,WEO_Data!$B$8:$B$51,WEO_Data!$C$8:$C$51,"")</f>
        <v>#NAME?</v>
      </c>
      <c r="F23" s="1" t="e">
        <f aca="false">LN(D23)</f>
        <v>#NAME?</v>
      </c>
      <c r="G23" s="1" t="e">
        <f aca="false">LN(E23)</f>
        <v>#NAME?</v>
      </c>
      <c r="K23" s="5" t="e">
        <f aca="false">G23-(1-$B$2)*F23</f>
        <v>#NAME?</v>
      </c>
      <c r="L23" s="1" t="e">
        <f aca="false">K23</f>
        <v>#NAME?</v>
      </c>
      <c r="M23" s="1" t="e">
        <f aca="false">L24-2*L23+L22</f>
        <v>#NAME?</v>
      </c>
      <c r="N23" s="6" t="e">
        <f aca="false">L23-K23</f>
        <v>#NAME?</v>
      </c>
    </row>
    <row r="24" customFormat="false" ht="12" hidden="false" customHeight="true" outlineLevel="0" collapsed="false">
      <c r="C24" s="1" t="n">
        <v>2020</v>
      </c>
      <c r="D24" s="15" t="e">
        <f aca="false">xlookup(C24,PWT!$A$2:$A$35,PWT!$B$2:$B$35,"")</f>
        <v>#NAME?</v>
      </c>
      <c r="E24" s="1" t="e">
        <f aca="false">xlookup(C24,WEO_Data!$B$8:$B$51,WEO_Data!$C$8:$C$51,"")</f>
        <v>#NAME?</v>
      </c>
      <c r="F24" s="1" t="e">
        <f aca="false">LN(D24)</f>
        <v>#NAME?</v>
      </c>
      <c r="G24" s="1" t="e">
        <f aca="false">LN(E24)</f>
        <v>#NAME?</v>
      </c>
      <c r="K24" s="5" t="e">
        <f aca="false">G24-(1-$B$2)*F24</f>
        <v>#NAME?</v>
      </c>
      <c r="L24" s="1" t="e">
        <f aca="false">K24</f>
        <v>#NAME?</v>
      </c>
      <c r="M24" s="1" t="e">
        <f aca="false">L25-2*L24+L23</f>
        <v>#NAME?</v>
      </c>
      <c r="N24" s="6" t="e">
        <f aca="false">L24-K24</f>
        <v>#NAME?</v>
      </c>
    </row>
    <row r="25" customFormat="false" ht="12" hidden="false" customHeight="true" outlineLevel="0" collapsed="false">
      <c r="C25" s="1" t="n">
        <v>2021</v>
      </c>
      <c r="D25" s="15" t="e">
        <f aca="false">xlookup(C25,PWT!$A$2:$A$35,PWT!$B$2:$B$35,"")</f>
        <v>#NAME?</v>
      </c>
      <c r="E25" s="1" t="e">
        <f aca="false">xlookup(C25,WEO_Data!$B$8:$B$51,WEO_Data!$C$8:$C$51,"")</f>
        <v>#NAME?</v>
      </c>
      <c r="F25" s="1" t="e">
        <f aca="false">LN(D25)</f>
        <v>#NAME?</v>
      </c>
      <c r="G25" s="1" t="e">
        <f aca="false">LN(E25)</f>
        <v>#NAME?</v>
      </c>
      <c r="K25" s="5" t="e">
        <f aca="false">G25-(1-$B$2)*F25</f>
        <v>#NAME?</v>
      </c>
      <c r="L25" s="1" t="e">
        <f aca="false">K25</f>
        <v>#NAME?</v>
      </c>
      <c r="M25" s="1" t="e">
        <f aca="false">L26-2*L25+L24</f>
        <v>#NAME?</v>
      </c>
      <c r="N25" s="6" t="e">
        <f aca="false">L25-K25</f>
        <v>#NAME?</v>
      </c>
    </row>
    <row r="26" customFormat="false" ht="12" hidden="false" customHeight="true" outlineLevel="0" collapsed="false">
      <c r="C26" s="1" t="n">
        <v>2022</v>
      </c>
      <c r="D26" s="15" t="e">
        <f aca="false">xlookup(C26,PWT!$A$2:$A$35,PWT!$B$2:$B$35,"")</f>
        <v>#NAME?</v>
      </c>
      <c r="E26" s="1" t="e">
        <f aca="false">xlookup(C26,WEO_Data!$B$8:$B$51,WEO_Data!$C$8:$C$51,"")</f>
        <v>#NAME?</v>
      </c>
      <c r="F26" s="1" t="e">
        <f aca="false">LN(D26)</f>
        <v>#NAME?</v>
      </c>
      <c r="G26" s="1" t="e">
        <f aca="false">LN(E26)</f>
        <v>#NAME?</v>
      </c>
      <c r="K26" s="5" t="e">
        <f aca="false">G26-(1-$B$2)*F26</f>
        <v>#NAME?</v>
      </c>
      <c r="L26" s="1" t="e">
        <f aca="false">K26</f>
        <v>#NAME?</v>
      </c>
      <c r="N26" s="6" t="e">
        <f aca="false">L26-K26</f>
        <v>#NAME?</v>
      </c>
    </row>
    <row r="27" customFormat="false" ht="12" hidden="false" customHeight="true" outlineLevel="0" collapsed="false">
      <c r="C27" s="1" t="n">
        <v>2023</v>
      </c>
      <c r="D27" s="15" t="e">
        <f aca="false">xlookup(C27,PWT!$A$2:$A$35,PWT!$B$2:$B$35,"")</f>
        <v>#NAME?</v>
      </c>
      <c r="E27" s="1" t="e">
        <f aca="false">xlookup(C27,WEO_Data!$B$8:$B$51,WEO_Data!$C$8:$C$51,"")</f>
        <v>#NAME?</v>
      </c>
      <c r="F27" s="1" t="e">
        <f aca="false">LN(D27)</f>
        <v>#NAME?</v>
      </c>
      <c r="G27" s="1" t="e">
        <f aca="false">LN(E27)</f>
        <v>#NAME?</v>
      </c>
      <c r="K27" s="7" t="e">
        <f aca="false">G27-(1-$B$2)*F27</f>
        <v>#NAME?</v>
      </c>
      <c r="L27" s="8" t="e">
        <f aca="false">K27</f>
        <v>#NAME?</v>
      </c>
      <c r="M27" s="8"/>
      <c r="N27" s="9" t="e">
        <f aca="false">L27-K27</f>
        <v>#NAME?</v>
      </c>
    </row>
    <row r="35" customFormat="false" ht="12" hidden="false" customHeight="true" outlineLevel="0" collapsed="false">
      <c r="D35" s="1" t="s">
        <v>12</v>
      </c>
      <c r="E35" s="1" t="s">
        <v>4</v>
      </c>
      <c r="F35" s="1" t="s">
        <v>13</v>
      </c>
      <c r="G35" s="1" t="s">
        <v>14</v>
      </c>
      <c r="H35" s="1" t="s">
        <v>15</v>
      </c>
      <c r="I35" s="1" t="s">
        <v>16</v>
      </c>
      <c r="J35" s="1" t="s">
        <v>17</v>
      </c>
      <c r="K35" s="1" t="s">
        <v>18</v>
      </c>
      <c r="L35" s="1" t="s">
        <v>19</v>
      </c>
      <c r="M35" s="1" t="s">
        <v>20</v>
      </c>
      <c r="N35" s="1" t="s">
        <v>21</v>
      </c>
      <c r="O35" s="1" t="s">
        <v>22</v>
      </c>
      <c r="P35" s="1" t="s">
        <v>23</v>
      </c>
    </row>
    <row r="36" customFormat="false" ht="12" hidden="false" customHeight="true" outlineLevel="0" collapsed="false">
      <c r="C36" s="1" t="n">
        <v>2002</v>
      </c>
      <c r="D36" s="1" t="str">
        <f aca="false">IFERROR(E36/F36,"")</f>
        <v/>
      </c>
      <c r="E36" s="15" t="e">
        <f aca="false">xlookup(C36,PWT!$A$2:$A$35,PWT!$B$2:$B$35,"")</f>
        <v>#NAME?</v>
      </c>
      <c r="F36" s="1" t="e">
        <f aca="false">xlookup(C36,WEO_Data!$B$8:$B$51,WEO_Data!$C$8:$C$51,"")</f>
        <v>#NAME?</v>
      </c>
      <c r="G36" s="1" t="e">
        <f aca="false">L6</f>
        <v>#NAME?</v>
      </c>
      <c r="H36" s="1" t="e">
        <f aca="false">EXP(G36)*(E36^$B$2)</f>
        <v>#NAME?</v>
      </c>
      <c r="I36" s="1" t="n">
        <v>0</v>
      </c>
      <c r="J36" s="1" t="n">
        <v>0</v>
      </c>
      <c r="K36" s="15" t="e">
        <f aca="false">E36+I36</f>
        <v>#NAME?</v>
      </c>
      <c r="L36" s="1" t="e">
        <f aca="false">EXP(G36)*(K36^$B$2)</f>
        <v>#NAME?</v>
      </c>
      <c r="M36" s="1" t="e">
        <f aca="false">L36-H36</f>
        <v>#NAME?</v>
      </c>
      <c r="N36" s="1" t="e">
        <f aca="false">F36+M36</f>
        <v>#NAME?</v>
      </c>
    </row>
    <row r="37" customFormat="false" ht="12" hidden="false" customHeight="true" outlineLevel="0" collapsed="false">
      <c r="C37" s="1" t="n">
        <v>2003</v>
      </c>
      <c r="D37" s="1" t="str">
        <f aca="false">IFERROR(E37/F37,"")</f>
        <v/>
      </c>
      <c r="E37" s="15" t="e">
        <f aca="false">xlookup(C37,PWT!$A$2:$A$35,PWT!$B$2:$B$35,"")</f>
        <v>#NAME?</v>
      </c>
      <c r="F37" s="1" t="e">
        <f aca="false">xlookup(C37,WEO_Data!$B$8:$B$51,WEO_Data!$C$8:$C$51,"")</f>
        <v>#NAME?</v>
      </c>
      <c r="G37" s="1" t="e">
        <f aca="false">L7</f>
        <v>#NAME?</v>
      </c>
      <c r="H37" s="1" t="e">
        <f aca="false">EXP(G37)*(E37^$B$2)</f>
        <v>#NAME?</v>
      </c>
      <c r="I37" s="1" t="n">
        <v>0</v>
      </c>
      <c r="J37" s="1" t="e">
        <f aca="false">I37-$B$3*K36</f>
        <v>#NAME?</v>
      </c>
      <c r="K37" s="15" t="e">
        <f aca="false">K36+J37</f>
        <v>#NAME?</v>
      </c>
      <c r="L37" s="1" t="e">
        <f aca="false">EXP(G37)*(K37^$B$2)</f>
        <v>#NAME?</v>
      </c>
      <c r="M37" s="1" t="e">
        <f aca="false">L37-H37</f>
        <v>#NAME?</v>
      </c>
      <c r="N37" s="1" t="e">
        <f aca="false">F37+M37</f>
        <v>#NAME?</v>
      </c>
      <c r="O37" s="1" t="e">
        <f aca="false">N37/N36-1</f>
        <v>#NAME?</v>
      </c>
      <c r="P37" s="1" t="e">
        <f aca="false">F37/F36-1</f>
        <v>#NAME?</v>
      </c>
    </row>
    <row r="38" customFormat="false" ht="12" hidden="false" customHeight="true" outlineLevel="0" collapsed="false">
      <c r="C38" s="1" t="n">
        <v>2004</v>
      </c>
      <c r="D38" s="1" t="str">
        <f aca="false">IFERROR(E38/F38,"")</f>
        <v/>
      </c>
      <c r="E38" s="15" t="e">
        <f aca="false">xlookup(C38,PWT!$A$2:$A$35,PWT!$B$2:$B$35,"")</f>
        <v>#NAME?</v>
      </c>
      <c r="F38" s="1" t="e">
        <f aca="false">xlookup(C38,WEO_Data!$B$8:$B$51,WEO_Data!$C$8:$C$51,"")</f>
        <v>#NAME?</v>
      </c>
      <c r="G38" s="1" t="e">
        <f aca="false">L8</f>
        <v>#NAME?</v>
      </c>
      <c r="H38" s="1" t="e">
        <f aca="false">EXP(G38)*(E38^$B$2)</f>
        <v>#NAME?</v>
      </c>
      <c r="I38" s="1" t="n">
        <v>0</v>
      </c>
      <c r="J38" s="1" t="e">
        <f aca="false">I38-$B$3*K37</f>
        <v>#NAME?</v>
      </c>
      <c r="K38" s="15" t="e">
        <f aca="false">K37+J38</f>
        <v>#NAME?</v>
      </c>
      <c r="L38" s="1" t="e">
        <f aca="false">EXP(G38)*(K38^$B$2)</f>
        <v>#NAME?</v>
      </c>
      <c r="M38" s="1" t="e">
        <f aca="false">L38-H38</f>
        <v>#NAME?</v>
      </c>
      <c r="N38" s="1" t="e">
        <f aca="false">F38+M38</f>
        <v>#NAME?</v>
      </c>
      <c r="O38" s="1" t="e">
        <f aca="false">N38/N37-1</f>
        <v>#NAME?</v>
      </c>
      <c r="P38" s="1" t="e">
        <f aca="false">F38/F37-1</f>
        <v>#NAME?</v>
      </c>
    </row>
    <row r="39" customFormat="false" ht="12" hidden="false" customHeight="true" outlineLevel="0" collapsed="false">
      <c r="C39" s="1" t="n">
        <v>2005</v>
      </c>
      <c r="D39" s="1" t="str">
        <f aca="false">IFERROR(E39/F39,"")</f>
        <v/>
      </c>
      <c r="E39" s="15" t="e">
        <f aca="false">xlookup(C39,PWT!$A$2:$A$35,PWT!$B$2:$B$35,"")</f>
        <v>#NAME?</v>
      </c>
      <c r="F39" s="1" t="e">
        <f aca="false">xlookup(C39,WEO_Data!$B$8:$B$51,WEO_Data!$C$8:$C$51,"")</f>
        <v>#NAME?</v>
      </c>
      <c r="G39" s="1" t="e">
        <f aca="false">L9</f>
        <v>#NAME?</v>
      </c>
      <c r="H39" s="1" t="e">
        <f aca="false">EXP(G39)*(E39^$B$2)</f>
        <v>#NAME?</v>
      </c>
      <c r="I39" s="1" t="n">
        <v>0</v>
      </c>
      <c r="J39" s="1" t="e">
        <f aca="false">I39-$B$3*K38</f>
        <v>#NAME?</v>
      </c>
      <c r="K39" s="15" t="e">
        <f aca="false">K38+J39</f>
        <v>#NAME?</v>
      </c>
      <c r="L39" s="1" t="e">
        <f aca="false">EXP(G39)*(K39^$B$2)</f>
        <v>#NAME?</v>
      </c>
      <c r="M39" s="1" t="e">
        <f aca="false">L39-H39</f>
        <v>#NAME?</v>
      </c>
      <c r="N39" s="1" t="e">
        <f aca="false">F39+M39</f>
        <v>#NAME?</v>
      </c>
      <c r="O39" s="1" t="e">
        <f aca="false">N39/N38-1</f>
        <v>#NAME?</v>
      </c>
      <c r="P39" s="1" t="e">
        <f aca="false">F39/F38-1</f>
        <v>#NAME?</v>
      </c>
    </row>
    <row r="40" customFormat="false" ht="12" hidden="false" customHeight="true" outlineLevel="0" collapsed="false">
      <c r="C40" s="1" t="n">
        <v>2006</v>
      </c>
      <c r="D40" s="1" t="str">
        <f aca="false">IFERROR(E40/F40,"")</f>
        <v/>
      </c>
      <c r="E40" s="15" t="e">
        <f aca="false">xlookup(C40,PWT!$A$2:$A$35,PWT!$B$2:$B$35,"")</f>
        <v>#NAME?</v>
      </c>
      <c r="F40" s="1" t="e">
        <f aca="false">xlookup(C40,WEO_Data!$B$8:$B$51,WEO_Data!$C$8:$C$51,"")</f>
        <v>#NAME?</v>
      </c>
      <c r="G40" s="1" t="e">
        <f aca="false">L10</f>
        <v>#NAME?</v>
      </c>
      <c r="H40" s="1" t="e">
        <f aca="false">EXP(G40)*(E40^$B$2)</f>
        <v>#NAME?</v>
      </c>
      <c r="I40" s="1" t="n">
        <v>0</v>
      </c>
      <c r="J40" s="1" t="e">
        <f aca="false">I40-$B$3*K39</f>
        <v>#NAME?</v>
      </c>
      <c r="K40" s="15" t="e">
        <f aca="false">K39+J40</f>
        <v>#NAME?</v>
      </c>
      <c r="L40" s="1" t="e">
        <f aca="false">EXP(G40)*(K40^$B$2)</f>
        <v>#NAME?</v>
      </c>
      <c r="M40" s="1" t="e">
        <f aca="false">L40-H40</f>
        <v>#NAME?</v>
      </c>
      <c r="N40" s="1" t="e">
        <f aca="false">F40+M40</f>
        <v>#NAME?</v>
      </c>
      <c r="O40" s="1" t="e">
        <f aca="false">N40/N39-1</f>
        <v>#NAME?</v>
      </c>
      <c r="P40" s="1" t="e">
        <f aca="false">F40/F39-1</f>
        <v>#NAME?</v>
      </c>
    </row>
    <row r="41" customFormat="false" ht="12" hidden="false" customHeight="true" outlineLevel="0" collapsed="false">
      <c r="C41" s="1" t="n">
        <v>2007</v>
      </c>
      <c r="D41" s="1" t="str">
        <f aca="false">IFERROR(E41/F41,"")</f>
        <v/>
      </c>
      <c r="E41" s="15" t="e">
        <f aca="false">xlookup(C41,PWT!$A$2:$A$35,PWT!$B$2:$B$35,"")</f>
        <v>#NAME?</v>
      </c>
      <c r="F41" s="1" t="e">
        <f aca="false">xlookup(C41,WEO_Data!$B$8:$B$51,WEO_Data!$C$8:$C$51,"")</f>
        <v>#NAME?</v>
      </c>
      <c r="G41" s="1" t="e">
        <f aca="false">L11</f>
        <v>#NAME?</v>
      </c>
      <c r="H41" s="1" t="e">
        <f aca="false">EXP(G41)*(E41^$B$2)</f>
        <v>#NAME?</v>
      </c>
      <c r="I41" s="1" t="n">
        <v>0</v>
      </c>
      <c r="J41" s="1" t="e">
        <f aca="false">I41-$B$3*K40</f>
        <v>#NAME?</v>
      </c>
      <c r="K41" s="15" t="e">
        <f aca="false">K40+J41</f>
        <v>#NAME?</v>
      </c>
      <c r="L41" s="1" t="e">
        <f aca="false">EXP(G41)*(K41^$B$2)</f>
        <v>#NAME?</v>
      </c>
      <c r="M41" s="1" t="e">
        <f aca="false">L41-H41</f>
        <v>#NAME?</v>
      </c>
      <c r="N41" s="1" t="e">
        <f aca="false">F41+M41</f>
        <v>#NAME?</v>
      </c>
      <c r="O41" s="1" t="e">
        <f aca="false">N41/N40-1</f>
        <v>#NAME?</v>
      </c>
      <c r="P41" s="1" t="e">
        <f aca="false">F41/F40-1</f>
        <v>#NAME?</v>
      </c>
    </row>
    <row r="42" customFormat="false" ht="12" hidden="false" customHeight="true" outlineLevel="0" collapsed="false">
      <c r="C42" s="1" t="n">
        <v>2008</v>
      </c>
      <c r="D42" s="1" t="str">
        <f aca="false">IFERROR(E42/F42,"")</f>
        <v/>
      </c>
      <c r="E42" s="15" t="e">
        <f aca="false">xlookup(C42,PWT!$A$2:$A$35,PWT!$B$2:$B$35,"")</f>
        <v>#NAME?</v>
      </c>
      <c r="F42" s="1" t="e">
        <f aca="false">xlookup(C42,WEO_Data!$B$8:$B$51,WEO_Data!$C$8:$C$51,"")</f>
        <v>#NAME?</v>
      </c>
      <c r="G42" s="1" t="e">
        <f aca="false">L12</f>
        <v>#NAME?</v>
      </c>
      <c r="H42" s="1" t="e">
        <f aca="false">EXP(G42)*(E42^$B$2)</f>
        <v>#NAME?</v>
      </c>
      <c r="I42" s="1" t="n">
        <v>0</v>
      </c>
      <c r="J42" s="1" t="e">
        <f aca="false">I42-$B$3*K41</f>
        <v>#NAME?</v>
      </c>
      <c r="K42" s="15" t="e">
        <f aca="false">K41+J42</f>
        <v>#NAME?</v>
      </c>
      <c r="L42" s="1" t="e">
        <f aca="false">EXP(G42)*(K42^$B$2)</f>
        <v>#NAME?</v>
      </c>
      <c r="M42" s="1" t="e">
        <f aca="false">L42-H42</f>
        <v>#NAME?</v>
      </c>
      <c r="N42" s="1" t="e">
        <f aca="false">F42+M42</f>
        <v>#NAME?</v>
      </c>
      <c r="O42" s="1" t="e">
        <f aca="false">N42/N41-1</f>
        <v>#NAME?</v>
      </c>
      <c r="P42" s="1" t="e">
        <f aca="false">F42/F41-1</f>
        <v>#NAME?</v>
      </c>
    </row>
    <row r="43" customFormat="false" ht="12" hidden="false" customHeight="true" outlineLevel="0" collapsed="false">
      <c r="C43" s="1" t="n">
        <v>2009</v>
      </c>
      <c r="D43" s="1" t="str">
        <f aca="false">IFERROR(E43/F43,"")</f>
        <v/>
      </c>
      <c r="E43" s="15" t="e">
        <f aca="false">xlookup(C43,PWT!$A$2:$A$35,PWT!$B$2:$B$35,"")</f>
        <v>#NAME?</v>
      </c>
      <c r="F43" s="1" t="e">
        <f aca="false">xlookup(C43,WEO_Data!$B$8:$B$51,WEO_Data!$C$8:$C$51,"")</f>
        <v>#NAME?</v>
      </c>
      <c r="G43" s="1" t="e">
        <f aca="false">L13</f>
        <v>#NAME?</v>
      </c>
      <c r="H43" s="1" t="e">
        <f aca="false">EXP(G43)*(E43^$B$2)</f>
        <v>#NAME?</v>
      </c>
      <c r="I43" s="1" t="n">
        <v>0</v>
      </c>
      <c r="J43" s="1" t="e">
        <f aca="false">I43-$B$3*K42</f>
        <v>#NAME?</v>
      </c>
      <c r="K43" s="15" t="e">
        <f aca="false">K42+J43</f>
        <v>#NAME?</v>
      </c>
      <c r="L43" s="1" t="e">
        <f aca="false">EXP(G43)*(K43^$B$2)</f>
        <v>#NAME?</v>
      </c>
      <c r="M43" s="1" t="e">
        <f aca="false">L43-H43</f>
        <v>#NAME?</v>
      </c>
      <c r="N43" s="1" t="e">
        <f aca="false">F43+M43</f>
        <v>#NAME?</v>
      </c>
      <c r="O43" s="1" t="e">
        <f aca="false">N43/N42-1</f>
        <v>#NAME?</v>
      </c>
      <c r="P43" s="1" t="e">
        <f aca="false">F43/F42-1</f>
        <v>#NAME?</v>
      </c>
    </row>
    <row r="44" customFormat="false" ht="12" hidden="false" customHeight="true" outlineLevel="0" collapsed="false">
      <c r="C44" s="1" t="n">
        <v>2010</v>
      </c>
      <c r="D44" s="1" t="str">
        <f aca="false">IFERROR(E44/F44,"")</f>
        <v/>
      </c>
      <c r="E44" s="15" t="e">
        <f aca="false">xlookup(C44,PWT!$A$2:$A$35,PWT!$B$2:$B$35,"")</f>
        <v>#NAME?</v>
      </c>
      <c r="F44" s="1" t="e">
        <f aca="false">xlookup(C44,WEO_Data!$B$8:$B$51,WEO_Data!$C$8:$C$51,"")</f>
        <v>#NAME?</v>
      </c>
      <c r="G44" s="1" t="e">
        <f aca="false">L14</f>
        <v>#NAME?</v>
      </c>
      <c r="H44" s="1" t="e">
        <f aca="false">EXP(G44)*(E44^$B$2)</f>
        <v>#NAME?</v>
      </c>
      <c r="I44" s="1" t="n">
        <v>0</v>
      </c>
      <c r="J44" s="1" t="e">
        <f aca="false">I44-$B$3*K43</f>
        <v>#NAME?</v>
      </c>
      <c r="K44" s="15" t="e">
        <f aca="false">K43+J44</f>
        <v>#NAME?</v>
      </c>
      <c r="L44" s="1" t="e">
        <f aca="false">EXP(G44)*(K44^$B$2)</f>
        <v>#NAME?</v>
      </c>
      <c r="M44" s="1" t="e">
        <f aca="false">L44-H44</f>
        <v>#NAME?</v>
      </c>
      <c r="N44" s="1" t="e">
        <f aca="false">F44+M44</f>
        <v>#NAME?</v>
      </c>
      <c r="O44" s="1" t="e">
        <f aca="false">N44/N43-1</f>
        <v>#NAME?</v>
      </c>
      <c r="P44" s="1" t="e">
        <f aca="false">F44/F43-1</f>
        <v>#NAME?</v>
      </c>
    </row>
    <row r="45" customFormat="false" ht="12" hidden="false" customHeight="true" outlineLevel="0" collapsed="false">
      <c r="C45" s="1" t="n">
        <v>2011</v>
      </c>
      <c r="D45" s="1" t="str">
        <f aca="false">IFERROR(E45/F45,"")</f>
        <v/>
      </c>
      <c r="E45" s="15" t="e">
        <f aca="false">xlookup(C45,PWT!$A$2:$A$35,PWT!$B$2:$B$35,"")</f>
        <v>#NAME?</v>
      </c>
      <c r="F45" s="1" t="e">
        <f aca="false">xlookup(C45,WEO_Data!$B$8:$B$51,WEO_Data!$C$8:$C$51,"")</f>
        <v>#NAME?</v>
      </c>
      <c r="G45" s="1" t="e">
        <f aca="false">L15</f>
        <v>#NAME?</v>
      </c>
      <c r="H45" s="1" t="e">
        <f aca="false">EXP(G45)*(E45^$B$2)</f>
        <v>#NAME?</v>
      </c>
      <c r="I45" s="1" t="n">
        <v>0</v>
      </c>
      <c r="J45" s="1" t="e">
        <f aca="false">I45-$B$3*K44</f>
        <v>#NAME?</v>
      </c>
      <c r="K45" s="15" t="e">
        <f aca="false">K44+J45</f>
        <v>#NAME?</v>
      </c>
      <c r="L45" s="1" t="e">
        <f aca="false">EXP(G45)*(K45^$B$2)</f>
        <v>#NAME?</v>
      </c>
      <c r="M45" s="1" t="e">
        <f aca="false">L45-H45</f>
        <v>#NAME?</v>
      </c>
      <c r="N45" s="1" t="e">
        <f aca="false">F45+M45</f>
        <v>#NAME?</v>
      </c>
      <c r="O45" s="1" t="e">
        <f aca="false">N45/N44-1</f>
        <v>#NAME?</v>
      </c>
      <c r="P45" s="1" t="e">
        <f aca="false">F45/F44-1</f>
        <v>#NAME?</v>
      </c>
    </row>
    <row r="46" customFormat="false" ht="12" hidden="false" customHeight="true" outlineLevel="0" collapsed="false">
      <c r="C46" s="1" t="n">
        <v>2012</v>
      </c>
      <c r="D46" s="1" t="str">
        <f aca="false">IFERROR(E46/F46,"")</f>
        <v/>
      </c>
      <c r="E46" s="15" t="e">
        <f aca="false">xlookup(C46,PWT!$A$2:$A$35,PWT!$B$2:$B$35,"")</f>
        <v>#NAME?</v>
      </c>
      <c r="F46" s="1" t="e">
        <f aca="false">xlookup(C46,WEO_Data!$B$8:$B$51,WEO_Data!$C$8:$C$51,"")</f>
        <v>#NAME?</v>
      </c>
      <c r="G46" s="1" t="e">
        <f aca="false">L16</f>
        <v>#NAME?</v>
      </c>
      <c r="H46" s="1" t="e">
        <f aca="false">EXP(G46)*(E46^$B$2)</f>
        <v>#NAME?</v>
      </c>
      <c r="I46" s="1" t="n">
        <v>0</v>
      </c>
      <c r="J46" s="1" t="e">
        <f aca="false">I46-$B$3*K45</f>
        <v>#NAME?</v>
      </c>
      <c r="K46" s="15" t="e">
        <f aca="false">K45+J46</f>
        <v>#NAME?</v>
      </c>
      <c r="L46" s="1" t="e">
        <f aca="false">EXP(G46)*(K46^$B$2)</f>
        <v>#NAME?</v>
      </c>
      <c r="M46" s="1" t="e">
        <f aca="false">L46-H46</f>
        <v>#NAME?</v>
      </c>
      <c r="N46" s="1" t="e">
        <f aca="false">F46+M46</f>
        <v>#NAME?</v>
      </c>
      <c r="O46" s="1" t="e">
        <f aca="false">N46/N45-1</f>
        <v>#NAME?</v>
      </c>
      <c r="P46" s="1" t="e">
        <f aca="false">F46/F45-1</f>
        <v>#NAME?</v>
      </c>
    </row>
    <row r="47" customFormat="false" ht="12" hidden="false" customHeight="true" outlineLevel="0" collapsed="false">
      <c r="C47" s="1" t="n">
        <v>2013</v>
      </c>
      <c r="D47" s="1" t="str">
        <f aca="false">IFERROR(E47/F47,"")</f>
        <v/>
      </c>
      <c r="E47" s="15" t="e">
        <f aca="false">xlookup(C47,PWT!$A$2:$A$35,PWT!$B$2:$B$35,"")</f>
        <v>#NAME?</v>
      </c>
      <c r="F47" s="1" t="e">
        <f aca="false">xlookup(C47,WEO_Data!$B$8:$B$51,WEO_Data!$C$8:$C$51,"")</f>
        <v>#NAME?</v>
      </c>
      <c r="G47" s="1" t="e">
        <f aca="false">L17</f>
        <v>#NAME?</v>
      </c>
      <c r="H47" s="1" t="e">
        <f aca="false">EXP(G47)*(E47^$B$2)</f>
        <v>#NAME?</v>
      </c>
      <c r="I47" s="1" t="n">
        <v>0</v>
      </c>
      <c r="J47" s="1" t="e">
        <f aca="false">I47-$B$3*K46</f>
        <v>#NAME?</v>
      </c>
      <c r="K47" s="15" t="e">
        <f aca="false">K46+J47</f>
        <v>#NAME?</v>
      </c>
      <c r="L47" s="1" t="e">
        <f aca="false">EXP(G47)*(K47^$B$2)</f>
        <v>#NAME?</v>
      </c>
      <c r="M47" s="1" t="e">
        <f aca="false">L47-H47</f>
        <v>#NAME?</v>
      </c>
      <c r="N47" s="1" t="e">
        <f aca="false">F47+M47</f>
        <v>#NAME?</v>
      </c>
      <c r="O47" s="1" t="e">
        <f aca="false">N47/N46-1</f>
        <v>#NAME?</v>
      </c>
      <c r="P47" s="1" t="e">
        <f aca="false">F47/F46-1</f>
        <v>#NAME?</v>
      </c>
    </row>
    <row r="48" customFormat="false" ht="12" hidden="false" customHeight="true" outlineLevel="0" collapsed="false">
      <c r="C48" s="1" t="n">
        <v>2014</v>
      </c>
      <c r="D48" s="1" t="str">
        <f aca="false">IFERROR(E48/F48,"")</f>
        <v/>
      </c>
      <c r="E48" s="15" t="e">
        <f aca="false">xlookup(C48,PWT!$A$2:$A$35,PWT!$B$2:$B$35,"")</f>
        <v>#NAME?</v>
      </c>
      <c r="F48" s="1" t="e">
        <f aca="false">xlookup(C48,WEO_Data!$B$8:$B$51,WEO_Data!$C$8:$C$51,"")</f>
        <v>#NAME?</v>
      </c>
      <c r="G48" s="1" t="e">
        <f aca="false">L18</f>
        <v>#NAME?</v>
      </c>
      <c r="H48" s="1" t="e">
        <f aca="false">EXP(G48)*(E48^$B$2)</f>
        <v>#NAME?</v>
      </c>
      <c r="I48" s="1" t="n">
        <v>0</v>
      </c>
      <c r="J48" s="1" t="e">
        <f aca="false">I48-$B$3*K47</f>
        <v>#NAME?</v>
      </c>
      <c r="K48" s="15" t="e">
        <f aca="false">K47+J48</f>
        <v>#NAME?</v>
      </c>
      <c r="L48" s="1" t="e">
        <f aca="false">EXP(G48)*(K48^$B$2)</f>
        <v>#NAME?</v>
      </c>
      <c r="M48" s="1" t="e">
        <f aca="false">L48-H48</f>
        <v>#NAME?</v>
      </c>
      <c r="N48" s="1" t="e">
        <f aca="false">F48+M48</f>
        <v>#NAME?</v>
      </c>
      <c r="O48" s="1" t="e">
        <f aca="false">N48/N47-1</f>
        <v>#NAME?</v>
      </c>
      <c r="P48" s="1" t="e">
        <f aca="false">F48/F47-1</f>
        <v>#NAME?</v>
      </c>
    </row>
    <row r="49" customFormat="false" ht="12" hidden="false" customHeight="true" outlineLevel="0" collapsed="false">
      <c r="C49" s="1" t="n">
        <v>2015</v>
      </c>
      <c r="D49" s="1" t="str">
        <f aca="false">IFERROR(E49/F49,"")</f>
        <v/>
      </c>
      <c r="E49" s="15" t="e">
        <f aca="false">xlookup(C49,PWT!$A$2:$A$35,PWT!$B$2:$B$35,"")</f>
        <v>#NAME?</v>
      </c>
      <c r="F49" s="1" t="e">
        <f aca="false">xlookup(C49,WEO_Data!$B$8:$B$51,WEO_Data!$C$8:$C$51,"")</f>
        <v>#NAME?</v>
      </c>
      <c r="G49" s="1" t="e">
        <f aca="false">L19</f>
        <v>#NAME?</v>
      </c>
      <c r="H49" s="1" t="e">
        <f aca="false">EXP(G49)*(E49^$B$2)</f>
        <v>#NAME?</v>
      </c>
      <c r="I49" s="1" t="n">
        <v>0</v>
      </c>
      <c r="J49" s="1" t="e">
        <f aca="false">I49-$B$3*K48</f>
        <v>#NAME?</v>
      </c>
      <c r="K49" s="15" t="e">
        <f aca="false">K48+J49</f>
        <v>#NAME?</v>
      </c>
      <c r="L49" s="1" t="e">
        <f aca="false">EXP(G49)*(K49^$B$2)</f>
        <v>#NAME?</v>
      </c>
      <c r="M49" s="1" t="e">
        <f aca="false">L49-H49</f>
        <v>#NAME?</v>
      </c>
      <c r="N49" s="1" t="e">
        <f aca="false">F49+M49</f>
        <v>#NAME?</v>
      </c>
      <c r="O49" s="1" t="e">
        <f aca="false">N49/N48-1</f>
        <v>#NAME?</v>
      </c>
      <c r="P49" s="1" t="e">
        <f aca="false">F49/F48-1</f>
        <v>#NAME?</v>
      </c>
    </row>
    <row r="50" customFormat="false" ht="12" hidden="false" customHeight="true" outlineLevel="0" collapsed="false">
      <c r="C50" s="1" t="n">
        <v>2016</v>
      </c>
      <c r="D50" s="1" t="str">
        <f aca="false">IFERROR(E50/F50,"")</f>
        <v/>
      </c>
      <c r="E50" s="15" t="e">
        <f aca="false">xlookup(C50,PWT!$A$2:$A$35,PWT!$B$2:$B$35,"")</f>
        <v>#NAME?</v>
      </c>
      <c r="F50" s="1" t="e">
        <f aca="false">xlookup(C50,WEO_Data!$B$8:$B$51,WEO_Data!$C$8:$C$51,"")</f>
        <v>#NAME?</v>
      </c>
      <c r="G50" s="1" t="e">
        <f aca="false">L20</f>
        <v>#NAME?</v>
      </c>
      <c r="H50" s="1" t="e">
        <f aca="false">EXP(G50)*(E50^$B$2)</f>
        <v>#NAME?</v>
      </c>
      <c r="I50" s="1" t="n">
        <v>0</v>
      </c>
      <c r="J50" s="1" t="e">
        <f aca="false">I50-$B$3*K49</f>
        <v>#NAME?</v>
      </c>
      <c r="K50" s="15" t="e">
        <f aca="false">K49+J50</f>
        <v>#NAME?</v>
      </c>
      <c r="L50" s="1" t="e">
        <f aca="false">EXP(G50)*(K50^$B$2)</f>
        <v>#NAME?</v>
      </c>
      <c r="M50" s="1" t="e">
        <f aca="false">L50-H50</f>
        <v>#NAME?</v>
      </c>
      <c r="N50" s="1" t="e">
        <f aca="false">F50+M50</f>
        <v>#NAME?</v>
      </c>
      <c r="O50" s="1" t="e">
        <f aca="false">N50/N49-1</f>
        <v>#NAME?</v>
      </c>
      <c r="P50" s="1" t="e">
        <f aca="false">F50/F49-1</f>
        <v>#NAME?</v>
      </c>
    </row>
    <row r="51" customFormat="false" ht="12" hidden="false" customHeight="true" outlineLevel="0" collapsed="false">
      <c r="C51" s="1" t="n">
        <v>2017</v>
      </c>
      <c r="D51" s="1" t="str">
        <f aca="false">IFERROR(E51/F51,"")</f>
        <v/>
      </c>
      <c r="E51" s="15" t="e">
        <f aca="false">xlookup(C51,PWT!$A$2:$A$35,PWT!$B$2:$B$35,"")</f>
        <v>#NAME?</v>
      </c>
      <c r="F51" s="1" t="e">
        <f aca="false">xlookup(C51,WEO_Data!$B$8:$B$51,WEO_Data!$C$8:$C$51,"")</f>
        <v>#NAME?</v>
      </c>
      <c r="G51" s="1" t="e">
        <f aca="false">L21</f>
        <v>#NAME?</v>
      </c>
      <c r="H51" s="1" t="e">
        <f aca="false">EXP(G51)*(E51^$B$2)</f>
        <v>#NAME?</v>
      </c>
      <c r="I51" s="1" t="n">
        <v>0</v>
      </c>
      <c r="J51" s="1" t="e">
        <f aca="false">I51-$B$3*K50</f>
        <v>#NAME?</v>
      </c>
      <c r="K51" s="15" t="e">
        <f aca="false">K50+J51</f>
        <v>#NAME?</v>
      </c>
      <c r="L51" s="1" t="e">
        <f aca="false">EXP(G51)*(K51^$B$2)</f>
        <v>#NAME?</v>
      </c>
      <c r="M51" s="1" t="e">
        <f aca="false">L51-H51</f>
        <v>#NAME?</v>
      </c>
      <c r="N51" s="1" t="e">
        <f aca="false">F51+M51</f>
        <v>#NAME?</v>
      </c>
      <c r="O51" s="1" t="e">
        <f aca="false">N51/N50-1</f>
        <v>#NAME?</v>
      </c>
      <c r="P51" s="1" t="e">
        <f aca="false">F51/F50-1</f>
        <v>#NAME?</v>
      </c>
    </row>
    <row r="52" customFormat="false" ht="12" hidden="false" customHeight="true" outlineLevel="0" collapsed="false">
      <c r="C52" s="1" t="n">
        <v>2018</v>
      </c>
      <c r="D52" s="1" t="str">
        <f aca="false">IFERROR(E52/F52,"")</f>
        <v/>
      </c>
      <c r="E52" s="15" t="e">
        <f aca="false">xlookup(C52,PWT!$A$2:$A$35,PWT!$B$2:$B$35,"")</f>
        <v>#NAME?</v>
      </c>
      <c r="F52" s="1" t="e">
        <f aca="false">xlookup(C52,WEO_Data!$B$8:$B$51,WEO_Data!$C$8:$C$51,"")</f>
        <v>#NAME?</v>
      </c>
      <c r="G52" s="1" t="e">
        <f aca="false">L22</f>
        <v>#NAME?</v>
      </c>
      <c r="H52" s="1" t="e">
        <f aca="false">EXP(G52)*(E52^$B$2)</f>
        <v>#NAME?</v>
      </c>
      <c r="I52" s="1" t="n">
        <v>0</v>
      </c>
      <c r="J52" s="1" t="e">
        <f aca="false">I52-$B$3*K51</f>
        <v>#NAME?</v>
      </c>
      <c r="K52" s="15" t="e">
        <f aca="false">K51+J52</f>
        <v>#NAME?</v>
      </c>
      <c r="L52" s="1" t="e">
        <f aca="false">EXP(G52)*(K52^$B$2)</f>
        <v>#NAME?</v>
      </c>
      <c r="M52" s="1" t="e">
        <f aca="false">L52-H52</f>
        <v>#NAME?</v>
      </c>
      <c r="N52" s="1" t="e">
        <f aca="false">F52+M52</f>
        <v>#NAME?</v>
      </c>
      <c r="O52" s="1" t="e">
        <f aca="false">N52/N51-1</f>
        <v>#NAME?</v>
      </c>
      <c r="P52" s="1" t="e">
        <f aca="false">F52/F51-1</f>
        <v>#NAME?</v>
      </c>
    </row>
    <row r="53" customFormat="false" ht="12" hidden="false" customHeight="true" outlineLevel="0" collapsed="false">
      <c r="C53" s="1" t="n">
        <v>2019</v>
      </c>
      <c r="D53" s="1" t="str">
        <f aca="false">IFERROR(E53/F53,"")</f>
        <v/>
      </c>
      <c r="E53" s="15" t="e">
        <f aca="false">xlookup(C53,PWT!$A$2:$A$35,PWT!$B$2:$B$35,"")</f>
        <v>#NAME?</v>
      </c>
      <c r="F53" s="1" t="e">
        <f aca="false">xlookup(C53,WEO_Data!$B$8:$B$51,WEO_Data!$C$8:$C$51,"")</f>
        <v>#NAME?</v>
      </c>
      <c r="G53" s="1" t="e">
        <f aca="false">L23</f>
        <v>#NAME?</v>
      </c>
      <c r="H53" s="1" t="e">
        <f aca="false">EXP(G53)*(E53^$B$2)</f>
        <v>#NAME?</v>
      </c>
      <c r="I53" s="1" t="n">
        <v>0</v>
      </c>
      <c r="J53" s="1" t="e">
        <f aca="false">I53-$B$3*K52</f>
        <v>#NAME?</v>
      </c>
      <c r="K53" s="15" t="e">
        <f aca="false">K52+J53</f>
        <v>#NAME?</v>
      </c>
      <c r="L53" s="1" t="e">
        <f aca="false">EXP(G53)*(K53^$B$2)</f>
        <v>#NAME?</v>
      </c>
      <c r="M53" s="1" t="e">
        <f aca="false">L53-H53</f>
        <v>#NAME?</v>
      </c>
      <c r="N53" s="1" t="e">
        <f aca="false">F53+M53</f>
        <v>#NAME?</v>
      </c>
      <c r="O53" s="1" t="e">
        <f aca="false">N53/N52-1</f>
        <v>#NAME?</v>
      </c>
      <c r="P53" s="1" t="e">
        <f aca="false">F53/F52-1</f>
        <v>#NAME?</v>
      </c>
    </row>
    <row r="54" customFormat="false" ht="12" hidden="false" customHeight="true" outlineLevel="0" collapsed="false">
      <c r="C54" s="1" t="n">
        <v>2020</v>
      </c>
      <c r="D54" s="1" t="str">
        <f aca="false">IFERROR(E54/F54,"")</f>
        <v/>
      </c>
      <c r="E54" s="15" t="e">
        <f aca="false">xlookup(C54,PWT!$A$2:$A$35,PWT!$B$2:$B$35,"")</f>
        <v>#NAME?</v>
      </c>
      <c r="F54" s="1" t="e">
        <f aca="false">xlookup(C54,WEO_Data!$B$8:$B$51,WEO_Data!$C$8:$C$51,"")</f>
        <v>#NAME?</v>
      </c>
      <c r="G54" s="1" t="e">
        <f aca="false">L24</f>
        <v>#NAME?</v>
      </c>
      <c r="H54" s="1" t="e">
        <f aca="false">EXP(G54)*(E54^$B$2)</f>
        <v>#NAME?</v>
      </c>
      <c r="I54" s="1" t="n">
        <v>0</v>
      </c>
      <c r="J54" s="1" t="e">
        <f aca="false">I54-$B$3*K53</f>
        <v>#NAME?</v>
      </c>
      <c r="K54" s="15" t="e">
        <f aca="false">K53+J54</f>
        <v>#NAME?</v>
      </c>
      <c r="L54" s="1" t="e">
        <f aca="false">EXP(G54)*(K54^$B$2)</f>
        <v>#NAME?</v>
      </c>
      <c r="M54" s="1" t="e">
        <f aca="false">L54-H54</f>
        <v>#NAME?</v>
      </c>
      <c r="N54" s="1" t="e">
        <f aca="false">F54+M54</f>
        <v>#NAME?</v>
      </c>
      <c r="O54" s="1" t="e">
        <f aca="false">N54/N53-1</f>
        <v>#NAME?</v>
      </c>
      <c r="P54" s="1" t="e">
        <f aca="false">F54/F53-1</f>
        <v>#NAME?</v>
      </c>
    </row>
    <row r="55" customFormat="false" ht="12" hidden="false" customHeight="true" outlineLevel="0" collapsed="false">
      <c r="C55" s="1" t="n">
        <v>2021</v>
      </c>
      <c r="D55" s="1" t="str">
        <f aca="false">IFERROR(E55/F55,"")</f>
        <v/>
      </c>
      <c r="E55" s="15" t="e">
        <f aca="false">xlookup(C55,PWT!$A$2:$A$35,PWT!$B$2:$B$35,"")</f>
        <v>#NAME?</v>
      </c>
      <c r="F55" s="1" t="e">
        <f aca="false">xlookup(C55,WEO_Data!$B$8:$B$51,WEO_Data!$C$8:$C$51,"")</f>
        <v>#NAME?</v>
      </c>
      <c r="G55" s="1" t="e">
        <f aca="false">L25</f>
        <v>#NAME?</v>
      </c>
      <c r="H55" s="1" t="e">
        <f aca="false">EXP(G55)*(E55^$B$2)</f>
        <v>#NAME?</v>
      </c>
      <c r="I55" s="1" t="n">
        <v>0</v>
      </c>
      <c r="J55" s="1" t="e">
        <f aca="false">I55-$B$3*K54</f>
        <v>#NAME?</v>
      </c>
      <c r="K55" s="15" t="e">
        <f aca="false">K54+J55</f>
        <v>#NAME?</v>
      </c>
      <c r="L55" s="1" t="e">
        <f aca="false">EXP(G55)*(K55^$B$2)</f>
        <v>#NAME?</v>
      </c>
      <c r="M55" s="1" t="e">
        <f aca="false">L55-H55</f>
        <v>#NAME?</v>
      </c>
      <c r="N55" s="1" t="e">
        <f aca="false">F55+M55</f>
        <v>#NAME?</v>
      </c>
      <c r="O55" s="1" t="e">
        <f aca="false">N55/N54-1</f>
        <v>#NAME?</v>
      </c>
      <c r="P55" s="1" t="e">
        <f aca="false">F55/F54-1</f>
        <v>#NAME?</v>
      </c>
    </row>
    <row r="56" customFormat="false" ht="12" hidden="false" customHeight="true" outlineLevel="0" collapsed="false">
      <c r="C56" s="1" t="n">
        <v>2022</v>
      </c>
      <c r="D56" s="1" t="str">
        <f aca="false">IFERROR(E56/F56,"")</f>
        <v/>
      </c>
      <c r="E56" s="15" t="e">
        <f aca="false">xlookup(C56,PWT!$A$2:$A$35,PWT!$B$2:$B$35,"")</f>
        <v>#NAME?</v>
      </c>
      <c r="F56" s="1" t="e">
        <f aca="false">xlookup(C56,WEO_Data!$B$8:$B$51,WEO_Data!$C$8:$C$51,"")</f>
        <v>#NAME?</v>
      </c>
      <c r="G56" s="1" t="e">
        <f aca="false">L26</f>
        <v>#NAME?</v>
      </c>
      <c r="H56" s="1" t="e">
        <f aca="false">EXP(G56)*(E56^$B$2)</f>
        <v>#NAME?</v>
      </c>
      <c r="I56" s="1" t="n">
        <v>0</v>
      </c>
      <c r="J56" s="1" t="e">
        <f aca="false">I56-$B$3*K55</f>
        <v>#NAME?</v>
      </c>
      <c r="K56" s="15" t="e">
        <f aca="false">K55+J56</f>
        <v>#NAME?</v>
      </c>
      <c r="L56" s="1" t="e">
        <f aca="false">EXP(G56)*(K56^$B$2)</f>
        <v>#NAME?</v>
      </c>
      <c r="M56" s="1" t="e">
        <f aca="false">L56-H56</f>
        <v>#NAME?</v>
      </c>
      <c r="N56" s="1" t="e">
        <f aca="false">F56+M56</f>
        <v>#NAME?</v>
      </c>
      <c r="O56" s="1" t="e">
        <f aca="false">N56/N55-1</f>
        <v>#NAME?</v>
      </c>
      <c r="P56" s="1" t="e">
        <f aca="false">F56/F55-1</f>
        <v>#NAME?</v>
      </c>
    </row>
    <row r="57" customFormat="false" ht="12" hidden="false" customHeight="true" outlineLevel="0" collapsed="false">
      <c r="C57" s="1" t="n">
        <v>2023</v>
      </c>
      <c r="D57" s="1" t="str">
        <f aca="false">IFERROR(E57/F57,"")</f>
        <v/>
      </c>
      <c r="E57" s="15" t="e">
        <f aca="false">xlookup(C57,PWT!$A$2:$A$35,PWT!$B$2:$B$35,"")</f>
        <v>#NAME?</v>
      </c>
      <c r="F57" s="1" t="e">
        <f aca="false">xlookup(C57,WEO_Data!$B$8:$B$51,WEO_Data!$C$8:$C$51,"")</f>
        <v>#NAME?</v>
      </c>
      <c r="G57" s="1" t="e">
        <f aca="false">L27</f>
        <v>#NAME?</v>
      </c>
      <c r="H57" s="1" t="e">
        <f aca="false">EXP(G57)*(E57^$B$2)</f>
        <v>#NAME?</v>
      </c>
      <c r="I57" s="1" t="n">
        <v>0</v>
      </c>
      <c r="J57" s="1" t="e">
        <f aca="false">I57-$B$3*K56</f>
        <v>#NAME?</v>
      </c>
      <c r="K57" s="15" t="e">
        <f aca="false">K56+J57</f>
        <v>#NAME?</v>
      </c>
      <c r="L57" s="1" t="e">
        <f aca="false">EXP(G57)*(K57^$B$2)</f>
        <v>#NAME?</v>
      </c>
      <c r="M57" s="1" t="e">
        <f aca="false">L57-H57</f>
        <v>#NAME?</v>
      </c>
      <c r="N57" s="1" t="e">
        <f aca="false">F57+M57</f>
        <v>#NAME?</v>
      </c>
      <c r="O57" s="1" t="e">
        <f aca="false">N57/N56-1</f>
        <v>#NAME?</v>
      </c>
      <c r="P57" s="1" t="e">
        <f aca="false">F57/F56-1</f>
        <v>#NAME?</v>
      </c>
    </row>
    <row r="58" customFormat="false" ht="12" hidden="false" customHeight="true" outlineLevel="0" collapsed="false">
      <c r="C58" s="1" t="n">
        <v>2024</v>
      </c>
      <c r="D58" s="1" t="e">
        <f aca="false">AVERAGE($D$49:$D$57)</f>
        <v>#DIV/0!</v>
      </c>
      <c r="E58" s="16" t="e">
        <f aca="false">D58*F58</f>
        <v>#NAME?</v>
      </c>
      <c r="F58" s="1" t="e">
        <f aca="false">xlookup(C58,WEO_Data!$B$8:$B$51,WEO_Data!$C$8:$C$51,"")</f>
        <v>#NAME?</v>
      </c>
      <c r="G58" s="17" t="e">
        <f aca="false">TREND($G$36:$G$57,$C$36:$C$57,C58)</f>
        <v>#NAME?</v>
      </c>
      <c r="H58" s="1" t="e">
        <f aca="false">EXP(G58)*(E58^$B$2)</f>
        <v>#NAME?</v>
      </c>
      <c r="I58" s="1" t="n">
        <v>0</v>
      </c>
      <c r="J58" s="1" t="e">
        <f aca="false">I58-$B$3*K57</f>
        <v>#NAME?</v>
      </c>
      <c r="K58" s="15" t="e">
        <f aca="false">K57+J58</f>
        <v>#NAME?</v>
      </c>
      <c r="L58" s="1" t="e">
        <f aca="false">EXP(G58)*(K58^$B$2)</f>
        <v>#NAME?</v>
      </c>
      <c r="M58" s="1" t="e">
        <f aca="false">L58-H58</f>
        <v>#NAME?</v>
      </c>
      <c r="N58" s="1" t="e">
        <f aca="false">F58+M58</f>
        <v>#NAME?</v>
      </c>
      <c r="O58" s="1" t="e">
        <f aca="false">N58/N57-1</f>
        <v>#NAME?</v>
      </c>
      <c r="P58" s="1" t="e">
        <f aca="false">F58/F57-1</f>
        <v>#NAME?</v>
      </c>
    </row>
    <row r="59" customFormat="false" ht="12" hidden="false" customHeight="true" outlineLevel="0" collapsed="false">
      <c r="C59" s="1" t="n">
        <v>2025</v>
      </c>
      <c r="D59" s="1" t="e">
        <f aca="false">AVERAGE($D$49:$D$57)</f>
        <v>#DIV/0!</v>
      </c>
      <c r="E59" s="16" t="e">
        <f aca="false">D59*F59</f>
        <v>#NAME?</v>
      </c>
      <c r="F59" s="1" t="e">
        <f aca="false">xlookup(C59,WEO_Data!$B$8:$B$51,WEO_Data!$C$8:$C$51,"")</f>
        <v>#NAME?</v>
      </c>
      <c r="G59" s="17" t="e">
        <f aca="false">TREND($G$36:$G$57,$C$36:$C$57,C59)</f>
        <v>#NAME?</v>
      </c>
      <c r="H59" s="1" t="e">
        <f aca="false">EXP(G59)*(E59^$B$2)</f>
        <v>#NAME?</v>
      </c>
      <c r="I59" s="1" t="n">
        <v>0</v>
      </c>
      <c r="J59" s="1" t="e">
        <f aca="false">I59-$B$3*K58</f>
        <v>#NAME?</v>
      </c>
      <c r="K59" s="15" t="e">
        <f aca="false">K58+J59</f>
        <v>#NAME?</v>
      </c>
      <c r="L59" s="1" t="e">
        <f aca="false">EXP(G59)*(K59^$B$2)</f>
        <v>#NAME?</v>
      </c>
      <c r="M59" s="1" t="e">
        <f aca="false">L59-H59</f>
        <v>#NAME?</v>
      </c>
      <c r="N59" s="1" t="e">
        <f aca="false">F59+M59</f>
        <v>#NAME?</v>
      </c>
      <c r="O59" s="1" t="e">
        <f aca="false">N59/N58-1</f>
        <v>#NAME?</v>
      </c>
      <c r="P59" s="1" t="e">
        <f aca="false">F59/F58-1</f>
        <v>#NAME?</v>
      </c>
    </row>
    <row r="60" customFormat="false" ht="12" hidden="false" customHeight="true" outlineLevel="0" collapsed="false">
      <c r="C60" s="1" t="n">
        <v>2026</v>
      </c>
      <c r="D60" s="1" t="e">
        <f aca="false">AVERAGE($D$49:$D$57)</f>
        <v>#DIV/0!</v>
      </c>
      <c r="E60" s="16" t="e">
        <f aca="false">D60*F60</f>
        <v>#NAME?</v>
      </c>
      <c r="F60" s="17" t="e">
        <f aca="false">xlookup(C60,WEO_Data!$B$8:$B$51,WEO_Data!$C$8:$C$51,"")</f>
        <v>#NAME?</v>
      </c>
      <c r="G60" s="17" t="e">
        <f aca="false">TREND($G$36:$G$57,$C$36:$C$57,C60)</f>
        <v>#NAME?</v>
      </c>
      <c r="H60" s="1" t="e">
        <f aca="false">EXP(G60)*(E60^$B$2)</f>
        <v>#NAME?</v>
      </c>
      <c r="I60" s="18" t="n">
        <f aca="false">Investment!C2</f>
        <v>648.589313756442</v>
      </c>
      <c r="J60" s="1" t="e">
        <f aca="false">I60-$B$3*K59</f>
        <v>#NAME?</v>
      </c>
      <c r="K60" s="15" t="e">
        <f aca="false">K59+J60</f>
        <v>#NAME?</v>
      </c>
      <c r="L60" s="1" t="e">
        <f aca="false">EXP(G60)*(K60^$B$2)</f>
        <v>#NAME?</v>
      </c>
      <c r="M60" s="1" t="e">
        <f aca="false">L60-H60</f>
        <v>#NAME?</v>
      </c>
      <c r="N60" s="1" t="e">
        <f aca="false">F60+M60</f>
        <v>#NAME?</v>
      </c>
      <c r="O60" s="1" t="e">
        <f aca="false">N60/N59-1</f>
        <v>#NAME?</v>
      </c>
      <c r="P60" s="1" t="e">
        <f aca="false">F60/F59-1</f>
        <v>#NAME?</v>
      </c>
    </row>
    <row r="61" customFormat="false" ht="12" hidden="false" customHeight="true" outlineLevel="0" collapsed="false">
      <c r="C61" s="1" t="n">
        <v>2027</v>
      </c>
      <c r="D61" s="1" t="e">
        <f aca="false">AVERAGE($D$49:$D$57)</f>
        <v>#DIV/0!</v>
      </c>
      <c r="E61" s="16" t="e">
        <f aca="false">D61*F61</f>
        <v>#NAME?</v>
      </c>
      <c r="F61" s="17" t="e">
        <f aca="false">xlookup(C61,WEO_Data!$B$8:$B$51,WEO_Data!$C$8:$C$51,"")</f>
        <v>#NAME?</v>
      </c>
      <c r="G61" s="17" t="e">
        <f aca="false">TREND($G$36:$G$57,$C$36:$C$57,C61)</f>
        <v>#NAME?</v>
      </c>
      <c r="H61" s="1" t="e">
        <f aca="false">EXP(G61)*(E61^$B$2)</f>
        <v>#NAME?</v>
      </c>
      <c r="I61" s="18" t="n">
        <f aca="false">Investment!C3</f>
        <v>1220.08019689654</v>
      </c>
      <c r="J61" s="1" t="e">
        <f aca="false">I61-$B$3*K60</f>
        <v>#NAME?</v>
      </c>
      <c r="K61" s="15" t="e">
        <f aca="false">K60+J61</f>
        <v>#NAME?</v>
      </c>
      <c r="L61" s="1" t="e">
        <f aca="false">EXP(G61)*(K61^$B$2)</f>
        <v>#NAME?</v>
      </c>
      <c r="M61" s="1" t="e">
        <f aca="false">L61-H61</f>
        <v>#NAME?</v>
      </c>
      <c r="N61" s="1" t="e">
        <f aca="false">F61+M61</f>
        <v>#NAME?</v>
      </c>
      <c r="O61" s="1" t="e">
        <f aca="false">N61/N60-1</f>
        <v>#NAME?</v>
      </c>
      <c r="P61" s="1" t="e">
        <f aca="false">F61/F60-1</f>
        <v>#NAME?</v>
      </c>
    </row>
    <row r="62" customFormat="false" ht="12" hidden="false" customHeight="true" outlineLevel="0" collapsed="false">
      <c r="C62" s="1" t="n">
        <v>2028</v>
      </c>
      <c r="D62" s="1" t="e">
        <f aca="false">AVERAGE($D$49:$D$57)</f>
        <v>#DIV/0!</v>
      </c>
      <c r="E62" s="16" t="e">
        <f aca="false">D62*F62</f>
        <v>#NAME?</v>
      </c>
      <c r="F62" s="17" t="e">
        <f aca="false">xlookup(C62,WEO_Data!$B$8:$B$51,WEO_Data!$C$8:$C$51,"")</f>
        <v>#NAME?</v>
      </c>
      <c r="G62" s="17" t="e">
        <f aca="false">TREND($G$36:$G$57,$C$36:$C$57,C62)</f>
        <v>#NAME?</v>
      </c>
      <c r="H62" s="1" t="e">
        <f aca="false">EXP(G62)*(E62^$B$2)</f>
        <v>#NAME?</v>
      </c>
      <c r="I62" s="18" t="n">
        <f aca="false">Investment!C4</f>
        <v>1756.17368014315</v>
      </c>
      <c r="J62" s="1" t="e">
        <f aca="false">I62-$B$3*K61</f>
        <v>#NAME?</v>
      </c>
      <c r="K62" s="15" t="e">
        <f aca="false">K61+J62</f>
        <v>#NAME?</v>
      </c>
      <c r="L62" s="1" t="e">
        <f aca="false">EXP(G62)*(K62^$B$2)</f>
        <v>#NAME?</v>
      </c>
      <c r="M62" s="1" t="e">
        <f aca="false">L62-H62</f>
        <v>#NAME?</v>
      </c>
      <c r="N62" s="1" t="e">
        <f aca="false">F62+M62</f>
        <v>#NAME?</v>
      </c>
      <c r="O62" s="1" t="e">
        <f aca="false">N62/N61-1</f>
        <v>#NAME?</v>
      </c>
      <c r="P62" s="1" t="e">
        <f aca="false">F62/F61-1</f>
        <v>#NAME?</v>
      </c>
    </row>
    <row r="63" customFormat="false" ht="12" hidden="false" customHeight="true" outlineLevel="0" collapsed="false">
      <c r="C63" s="1" t="n">
        <v>2029</v>
      </c>
      <c r="D63" s="1" t="e">
        <f aca="false">AVERAGE($D$49:$D$57)</f>
        <v>#DIV/0!</v>
      </c>
      <c r="E63" s="16" t="e">
        <f aca="false">D63*F63</f>
        <v>#NAME?</v>
      </c>
      <c r="F63" s="17" t="e">
        <f aca="false">xlookup(C63,WEO_Data!$B$8:$B$51,WEO_Data!$C$8:$C$51,"")</f>
        <v>#NAME?</v>
      </c>
      <c r="G63" s="17" t="e">
        <f aca="false">TREND($G$36:$G$57,$C$36:$C$57,C63)</f>
        <v>#NAME?</v>
      </c>
      <c r="H63" s="1" t="e">
        <f aca="false">EXP(G63)*(E63^$B$2)</f>
        <v>#NAME?</v>
      </c>
      <c r="I63" s="18" t="n">
        <f aca="false">Investment!C5</f>
        <v>2221.19470098522</v>
      </c>
      <c r="J63" s="1" t="e">
        <f aca="false">I63-$B$3*K62</f>
        <v>#NAME?</v>
      </c>
      <c r="K63" s="15" t="e">
        <f aca="false">K62+J63</f>
        <v>#NAME?</v>
      </c>
      <c r="L63" s="1" t="e">
        <f aca="false">EXP(G63)*(K63^$B$2)</f>
        <v>#NAME?</v>
      </c>
      <c r="M63" s="1" t="e">
        <f aca="false">L63-H63</f>
        <v>#NAME?</v>
      </c>
      <c r="N63" s="1" t="e">
        <f aca="false">F63+M63</f>
        <v>#NAME?</v>
      </c>
      <c r="O63" s="1" t="e">
        <f aca="false">N63/N62-1</f>
        <v>#NAME?</v>
      </c>
      <c r="P63" s="1" t="e">
        <f aca="false">F63/F62-1</f>
        <v>#NAME?</v>
      </c>
    </row>
    <row r="64" customFormat="false" ht="12" hidden="false" customHeight="true" outlineLevel="0" collapsed="false">
      <c r="C64" s="1" t="n">
        <v>2030</v>
      </c>
      <c r="D64" s="1" t="e">
        <f aca="false">AVERAGE($D$49:$D$57)</f>
        <v>#DIV/0!</v>
      </c>
      <c r="E64" s="16" t="e">
        <f aca="false">D64*F64</f>
        <v>#NAME?</v>
      </c>
      <c r="F64" s="17" t="e">
        <f aca="false">xlookup(C64,WEO_Data!$B$8:$B$51,WEO_Data!$C$8:$C$51,"")</f>
        <v>#NAME?</v>
      </c>
      <c r="G64" s="17" t="e">
        <f aca="false">TREND($G$36:$G$57,$C$36:$C$57,C64)</f>
        <v>#NAME?</v>
      </c>
      <c r="H64" s="1" t="e">
        <f aca="false">EXP(G64)*(E64^$B$2)</f>
        <v>#NAME?</v>
      </c>
      <c r="I64" s="18" t="n">
        <f aca="false">Investment!C6</f>
        <v>2122.46787645573</v>
      </c>
      <c r="J64" s="1" t="e">
        <f aca="false">I64-$B$3*K63</f>
        <v>#NAME?</v>
      </c>
      <c r="K64" s="15" t="e">
        <f aca="false">K63+J64</f>
        <v>#NAME?</v>
      </c>
      <c r="L64" s="1" t="e">
        <f aca="false">EXP(G64)*(K64^$B$2)</f>
        <v>#NAME?</v>
      </c>
      <c r="M64" s="1" t="e">
        <f aca="false">L64-H64</f>
        <v>#NAME?</v>
      </c>
      <c r="N64" s="1" t="e">
        <f aca="false">F64+M64</f>
        <v>#NAME?</v>
      </c>
      <c r="O64" s="1" t="e">
        <f aca="false">N64/N63-1</f>
        <v>#NAME?</v>
      </c>
      <c r="P64" s="1" t="e">
        <f aca="false">F64/F63-1</f>
        <v>#NAME?</v>
      </c>
    </row>
    <row r="65" customFormat="false" ht="12" hidden="false" customHeight="true" outlineLevel="0" collapsed="false">
      <c r="C65" s="1" t="n">
        <v>2031</v>
      </c>
      <c r="D65" s="1" t="e">
        <f aca="false">AVERAGE($D$49:$D$57)</f>
        <v>#DIV/0!</v>
      </c>
      <c r="E65" s="16" t="e">
        <f aca="false">D65*F65</f>
        <v>#NAME?</v>
      </c>
      <c r="F65" s="17" t="e">
        <f aca="false">xlookup(C65,WEO_Data!$B$8:$B$51,WEO_Data!$C$8:$C$51,"")</f>
        <v>#NAME?</v>
      </c>
      <c r="G65" s="17" t="e">
        <f aca="false">TREND($G$36:$G$57,$C$36:$C$57,C65)</f>
        <v>#NAME?</v>
      </c>
      <c r="H65" s="1" t="e">
        <f aca="false">EXP(G65)*(E65^$B$2)</f>
        <v>#NAME?</v>
      </c>
      <c r="I65" s="18" t="n">
        <f aca="false">Investment!C7</f>
        <v>1524.52458527675</v>
      </c>
      <c r="J65" s="1" t="e">
        <f aca="false">I65-$B$3*K64</f>
        <v>#NAME?</v>
      </c>
      <c r="K65" s="15" t="e">
        <f aca="false">K64+J65</f>
        <v>#NAME?</v>
      </c>
      <c r="L65" s="1" t="e">
        <f aca="false">EXP(G65)*(K65^$B$2)</f>
        <v>#NAME?</v>
      </c>
      <c r="M65" s="1" t="e">
        <f aca="false">L65-H65</f>
        <v>#NAME?</v>
      </c>
      <c r="N65" s="1" t="e">
        <f aca="false">F65+M65</f>
        <v>#NAME?</v>
      </c>
      <c r="O65" s="1" t="e">
        <f aca="false">N65/N64-1</f>
        <v>#NAME?</v>
      </c>
      <c r="P65" s="1" t="e">
        <f aca="false">F65/F64-1</f>
        <v>#NAME?</v>
      </c>
    </row>
    <row r="66" customFormat="false" ht="12" hidden="false" customHeight="true" outlineLevel="0" collapsed="false">
      <c r="C66" s="1" t="n">
        <v>2032</v>
      </c>
      <c r="D66" s="1" t="e">
        <f aca="false">AVERAGE($D$49:$D$57)</f>
        <v>#DIV/0!</v>
      </c>
      <c r="E66" s="16" t="e">
        <f aca="false">D66*F66</f>
        <v>#NAME?</v>
      </c>
      <c r="F66" s="17" t="e">
        <f aca="false">xlookup(C66,WEO_Data!$B$8:$B$51,WEO_Data!$C$8:$C$51,"")</f>
        <v>#NAME?</v>
      </c>
      <c r="G66" s="17" t="e">
        <f aca="false">TREND($G$36:$G$57,$C$36:$C$57,C66)</f>
        <v>#NAME?</v>
      </c>
      <c r="H66" s="1" t="e">
        <f aca="false">EXP(G66)*(E66^$B$2)</f>
        <v>#NAME?</v>
      </c>
      <c r="I66" s="18" t="n">
        <f aca="false">Investment!C8</f>
        <v>738.176310559893</v>
      </c>
      <c r="J66" s="1" t="e">
        <f aca="false">I66-$B$3*K65</f>
        <v>#NAME?</v>
      </c>
      <c r="K66" s="15" t="e">
        <f aca="false">K65+J66</f>
        <v>#NAME?</v>
      </c>
      <c r="L66" s="1" t="e">
        <f aca="false">EXP(G66)*(K66^$B$2)</f>
        <v>#NAME?</v>
      </c>
      <c r="M66" s="1" t="e">
        <f aca="false">L66-H66</f>
        <v>#NAME?</v>
      </c>
      <c r="N66" s="1" t="e">
        <f aca="false">F66+M66</f>
        <v>#NAME?</v>
      </c>
      <c r="O66" s="1" t="e">
        <f aca="false">N66/N65-1</f>
        <v>#NAME?</v>
      </c>
      <c r="P66" s="1" t="e">
        <f aca="false">F66/F65-1</f>
        <v>#NAME?</v>
      </c>
    </row>
    <row r="67" customFormat="false" ht="12" hidden="false" customHeight="true" outlineLevel="0" collapsed="false">
      <c r="C67" s="1" t="n">
        <v>2033</v>
      </c>
      <c r="D67" s="1" t="e">
        <f aca="false">AVERAGE($D$49:$D$57)</f>
        <v>#DIV/0!</v>
      </c>
      <c r="E67" s="16" t="e">
        <f aca="false">D67*F67</f>
        <v>#NAME?</v>
      </c>
      <c r="F67" s="17" t="e">
        <f aca="false">xlookup(C67,WEO_Data!$B$8:$B$51,WEO_Data!$C$8:$C$51,"")</f>
        <v>#NAME?</v>
      </c>
      <c r="G67" s="17" t="e">
        <f aca="false">TREND($G$36:$G$57,$C$36:$C$57,C67)</f>
        <v>#NAME?</v>
      </c>
      <c r="H67" s="1" t="e">
        <f aca="false">EXP(G67)*(E67^$B$2)</f>
        <v>#NAME?</v>
      </c>
      <c r="I67" s="18" t="n">
        <f aca="false">Investment!C9</f>
        <v>352.605976897002</v>
      </c>
      <c r="J67" s="1" t="e">
        <f aca="false">I67-$B$3*K66</f>
        <v>#NAME?</v>
      </c>
      <c r="K67" s="15" t="e">
        <f aca="false">K66+J67</f>
        <v>#NAME?</v>
      </c>
      <c r="L67" s="1" t="e">
        <f aca="false">EXP(G67)*(K67^$B$2)</f>
        <v>#NAME?</v>
      </c>
      <c r="M67" s="1" t="e">
        <f aca="false">L67-H67</f>
        <v>#NAME?</v>
      </c>
      <c r="N67" s="1" t="e">
        <f aca="false">F67+M67</f>
        <v>#NAME?</v>
      </c>
      <c r="O67" s="1" t="e">
        <f aca="false">N67/N66-1</f>
        <v>#NAME?</v>
      </c>
      <c r="P67" s="1" t="e">
        <f aca="false">F67/F66-1</f>
        <v>#NAME?</v>
      </c>
    </row>
    <row r="68" customFormat="false" ht="12" hidden="false" customHeight="true" outlineLevel="0" collapsed="false">
      <c r="C68" s="1" t="n">
        <v>2034</v>
      </c>
      <c r="D68" s="1" t="e">
        <f aca="false">AVERAGE($D$49:$D$57)</f>
        <v>#DIV/0!</v>
      </c>
      <c r="E68" s="16" t="e">
        <f aca="false">D68*F68</f>
        <v>#NAME?</v>
      </c>
      <c r="F68" s="17" t="e">
        <f aca="false">xlookup(C68,WEO_Data!$B$8:$B$51,WEO_Data!$C$8:$C$51,"")</f>
        <v>#NAME?</v>
      </c>
      <c r="G68" s="17" t="e">
        <f aca="false">TREND($G$36:$G$57,$C$36:$C$57,C68)</f>
        <v>#NAME?</v>
      </c>
      <c r="H68" s="1" t="e">
        <f aca="false">EXP(G68)*(E68^$B$2)</f>
        <v>#NAME?</v>
      </c>
      <c r="I68" s="1" t="n">
        <v>0</v>
      </c>
      <c r="J68" s="1" t="e">
        <f aca="false">I68-$B$3*K67</f>
        <v>#NAME?</v>
      </c>
      <c r="K68" s="15" t="e">
        <f aca="false">K67+J68</f>
        <v>#NAME?</v>
      </c>
      <c r="L68" s="1" t="e">
        <f aca="false">EXP(G68)*(K68^$B$2)</f>
        <v>#NAME?</v>
      </c>
      <c r="M68" s="1" t="e">
        <f aca="false">L68-H68</f>
        <v>#NAME?</v>
      </c>
      <c r="N68" s="1" t="e">
        <f aca="false">F68+M68</f>
        <v>#NAME?</v>
      </c>
      <c r="O68" s="1" t="e">
        <f aca="false">N68/N67-1</f>
        <v>#NAME?</v>
      </c>
      <c r="P68" s="1" t="e">
        <f aca="false">F68/F67-1</f>
        <v>#NAME?</v>
      </c>
    </row>
    <row r="69" customFormat="false" ht="12" hidden="false" customHeight="true" outlineLevel="0" collapsed="false">
      <c r="C69" s="1" t="n">
        <v>2035</v>
      </c>
      <c r="D69" s="1" t="e">
        <f aca="false">AVERAGE($D$49:$D$57)</f>
        <v>#DIV/0!</v>
      </c>
      <c r="E69" s="16" t="e">
        <f aca="false">D69*F69</f>
        <v>#NAME?</v>
      </c>
      <c r="F69" s="17" t="e">
        <f aca="false">xlookup(C69,WEO_Data!$B$8:$B$51,WEO_Data!$C$8:$C$51,"")</f>
        <v>#NAME?</v>
      </c>
      <c r="G69" s="17" t="e">
        <f aca="false">TREND($G$36:$G$57,$C$36:$C$57,C69)</f>
        <v>#NAME?</v>
      </c>
      <c r="H69" s="1" t="e">
        <f aca="false">EXP(G69)*(E69^$B$2)</f>
        <v>#NAME?</v>
      </c>
      <c r="I69" s="1" t="n">
        <v>0</v>
      </c>
      <c r="J69" s="1" t="e">
        <f aca="false">I69-$B$3*K68</f>
        <v>#NAME?</v>
      </c>
      <c r="K69" s="15" t="e">
        <f aca="false">K68+J69</f>
        <v>#NAME?</v>
      </c>
      <c r="L69" s="1" t="e">
        <f aca="false">EXP(G69)*(K69^$B$2)</f>
        <v>#NAME?</v>
      </c>
      <c r="M69" s="1" t="e">
        <f aca="false">L69-H69</f>
        <v>#NAME?</v>
      </c>
      <c r="N69" s="1" t="e">
        <f aca="false">F69+M69</f>
        <v>#NAME?</v>
      </c>
      <c r="O69" s="1" t="e">
        <f aca="false">N69/N68-1</f>
        <v>#NAME?</v>
      </c>
      <c r="P69" s="1" t="e">
        <f aca="false">F69/F68-1</f>
        <v>#NAME?</v>
      </c>
    </row>
    <row r="70" customFormat="false" ht="12" hidden="false" customHeight="true" outlineLevel="0" collapsed="false">
      <c r="C70" s="1" t="n">
        <v>2036</v>
      </c>
      <c r="D70" s="1" t="e">
        <f aca="false">AVERAGE($D$49:$D$57)</f>
        <v>#DIV/0!</v>
      </c>
      <c r="E70" s="16" t="e">
        <f aca="false">D70*F70</f>
        <v>#NAME?</v>
      </c>
      <c r="F70" s="17" t="e">
        <f aca="false">xlookup(C70,WEO_Data!$B$8:$B$51,WEO_Data!$C$8:$C$51,"")</f>
        <v>#NAME?</v>
      </c>
      <c r="G70" s="17" t="e">
        <f aca="false">TREND($G$36:$G$57,$C$36:$C$57,C70)</f>
        <v>#NAME?</v>
      </c>
      <c r="H70" s="1" t="e">
        <f aca="false">EXP(G70)*(E70^$B$2)</f>
        <v>#NAME?</v>
      </c>
      <c r="I70" s="1" t="n">
        <v>0</v>
      </c>
      <c r="J70" s="1" t="e">
        <f aca="false">I70-$B$3*K69</f>
        <v>#NAME?</v>
      </c>
      <c r="K70" s="15" t="e">
        <f aca="false">K69+J70</f>
        <v>#NAME?</v>
      </c>
      <c r="L70" s="1" t="e">
        <f aca="false">EXP(G70)*(K70^$B$2)</f>
        <v>#NAME?</v>
      </c>
      <c r="M70" s="1" t="e">
        <f aca="false">L70-H70</f>
        <v>#NAME?</v>
      </c>
      <c r="N70" s="1" t="e">
        <f aca="false">F70+M70</f>
        <v>#NAME?</v>
      </c>
      <c r="O70" s="1" t="e">
        <f aca="false">N70/N69-1</f>
        <v>#NAME?</v>
      </c>
      <c r="P70" s="1" t="e">
        <f aca="false">F70/F69-1</f>
        <v>#NAME?</v>
      </c>
    </row>
    <row r="71" customFormat="false" ht="12" hidden="false" customHeight="true" outlineLevel="0" collapsed="false">
      <c r="C71" s="1" t="n">
        <v>2037</v>
      </c>
      <c r="D71" s="1" t="e">
        <f aca="false">AVERAGE($D$49:$D$57)</f>
        <v>#DIV/0!</v>
      </c>
      <c r="E71" s="16" t="e">
        <f aca="false">D71*F71</f>
        <v>#NAME?</v>
      </c>
      <c r="F71" s="17" t="e">
        <f aca="false">xlookup(C71,WEO_Data!$B$8:$B$51,WEO_Data!$C$8:$C$51,"")</f>
        <v>#NAME?</v>
      </c>
      <c r="G71" s="17" t="e">
        <f aca="false">TREND($G$36:$G$57,$C$36:$C$57,C71)</f>
        <v>#NAME?</v>
      </c>
      <c r="H71" s="1" t="e">
        <f aca="false">EXP(G71)*(E71^$B$2)</f>
        <v>#NAME?</v>
      </c>
      <c r="I71" s="1" t="n">
        <v>0</v>
      </c>
      <c r="J71" s="1" t="e">
        <f aca="false">I71-$B$3*K70</f>
        <v>#NAME?</v>
      </c>
      <c r="K71" s="15" t="e">
        <f aca="false">K70+J71</f>
        <v>#NAME?</v>
      </c>
      <c r="L71" s="1" t="e">
        <f aca="false">EXP(G71)*(K71^$B$2)</f>
        <v>#NAME?</v>
      </c>
      <c r="M71" s="1" t="e">
        <f aca="false">L71-H71</f>
        <v>#NAME?</v>
      </c>
      <c r="N71" s="1" t="e">
        <f aca="false">F71+M71</f>
        <v>#NAME?</v>
      </c>
      <c r="O71" s="1" t="e">
        <f aca="false">N71/N70-1</f>
        <v>#NAME?</v>
      </c>
      <c r="P71" s="1" t="e">
        <f aca="false">F71/F70-1</f>
        <v>#NAME?</v>
      </c>
    </row>
    <row r="72" customFormat="false" ht="12" hidden="false" customHeight="true" outlineLevel="0" collapsed="false">
      <c r="C72" s="1" t="n">
        <v>2038</v>
      </c>
      <c r="D72" s="1" t="e">
        <f aca="false">AVERAGE($D$49:$D$57)</f>
        <v>#DIV/0!</v>
      </c>
      <c r="E72" s="16" t="e">
        <f aca="false">D72*F72</f>
        <v>#NAME?</v>
      </c>
      <c r="F72" s="17" t="e">
        <f aca="false">xlookup(C72,WEO_Data!$B$8:$B$51,WEO_Data!$C$8:$C$51,"")</f>
        <v>#NAME?</v>
      </c>
      <c r="G72" s="17" t="e">
        <f aca="false">TREND($G$36:$G$57,$C$36:$C$57,C72)</f>
        <v>#NAME?</v>
      </c>
      <c r="H72" s="1" t="e">
        <f aca="false">EXP(G72)*(E72^$B$2)</f>
        <v>#NAME?</v>
      </c>
      <c r="I72" s="1" t="n">
        <v>0</v>
      </c>
      <c r="J72" s="1" t="e">
        <f aca="false">I72-$B$3*K71</f>
        <v>#NAME?</v>
      </c>
      <c r="K72" s="15" t="e">
        <f aca="false">K71+J72</f>
        <v>#NAME?</v>
      </c>
      <c r="L72" s="1" t="e">
        <f aca="false">EXP(G72)*(K72^$B$2)</f>
        <v>#NAME?</v>
      </c>
      <c r="M72" s="1" t="e">
        <f aca="false">L72-H72</f>
        <v>#NAME?</v>
      </c>
      <c r="N72" s="1" t="e">
        <f aca="false">F72+M72</f>
        <v>#NAME?</v>
      </c>
      <c r="O72" s="1" t="e">
        <f aca="false">N72/N71-1</f>
        <v>#NAME?</v>
      </c>
      <c r="P72" s="1" t="e">
        <f aca="false">F72/F71-1</f>
        <v>#NAME?</v>
      </c>
    </row>
    <row r="73" customFormat="false" ht="12" hidden="false" customHeight="true" outlineLevel="0" collapsed="false">
      <c r="C73" s="1" t="n">
        <v>2039</v>
      </c>
      <c r="D73" s="1" t="e">
        <f aca="false">AVERAGE($D$49:$D$57)</f>
        <v>#DIV/0!</v>
      </c>
      <c r="E73" s="16" t="e">
        <f aca="false">D73*F73</f>
        <v>#NAME?</v>
      </c>
      <c r="F73" s="17" t="e">
        <f aca="false">xlookup(C73,WEO_Data!$B$8:$B$51,WEO_Data!$C$8:$C$51,"")</f>
        <v>#NAME?</v>
      </c>
      <c r="G73" s="17" t="e">
        <f aca="false">TREND($G$36:$G$57,$C$36:$C$57,C73)</f>
        <v>#NAME?</v>
      </c>
      <c r="H73" s="1" t="e">
        <f aca="false">EXP(G73)*(E73^$B$2)</f>
        <v>#NAME?</v>
      </c>
      <c r="I73" s="1" t="n">
        <v>0</v>
      </c>
      <c r="J73" s="1" t="e">
        <f aca="false">I73-$B$3*K72</f>
        <v>#NAME?</v>
      </c>
      <c r="K73" s="15" t="e">
        <f aca="false">K72+J73</f>
        <v>#NAME?</v>
      </c>
      <c r="L73" s="1" t="e">
        <f aca="false">EXP(G73)*(K73^$B$2)</f>
        <v>#NAME?</v>
      </c>
      <c r="M73" s="1" t="e">
        <f aca="false">L73-H73</f>
        <v>#NAME?</v>
      </c>
      <c r="N73" s="1" t="e">
        <f aca="false">F73+M73</f>
        <v>#NAME?</v>
      </c>
      <c r="O73" s="1" t="e">
        <f aca="false">N73/N72-1</f>
        <v>#NAME?</v>
      </c>
      <c r="P73" s="1" t="e">
        <f aca="false">F73/F72-1</f>
        <v>#NAME?</v>
      </c>
    </row>
    <row r="74" customFormat="false" ht="12" hidden="false" customHeight="true" outlineLevel="0" collapsed="false">
      <c r="C74" s="1" t="n">
        <v>2040</v>
      </c>
      <c r="D74" s="1" t="e">
        <f aca="false">AVERAGE($D$49:$D$57)</f>
        <v>#DIV/0!</v>
      </c>
      <c r="E74" s="16" t="e">
        <f aca="false">D74*F74</f>
        <v>#NAME?</v>
      </c>
      <c r="F74" s="17" t="e">
        <f aca="false">xlookup(C74,WEO_Data!$B$8:$B$51,WEO_Data!$C$8:$C$51,"")</f>
        <v>#NAME?</v>
      </c>
      <c r="G74" s="17" t="e">
        <f aca="false">TREND($G$36:$G$57,$C$36:$C$57,C74)</f>
        <v>#NAME?</v>
      </c>
      <c r="H74" s="1" t="e">
        <f aca="false">EXP(G74)*(E74^$B$2)</f>
        <v>#NAME?</v>
      </c>
      <c r="I74" s="1" t="n">
        <v>0</v>
      </c>
      <c r="J74" s="1" t="e">
        <f aca="false">I74-$B$3*K73</f>
        <v>#NAME?</v>
      </c>
      <c r="K74" s="15" t="e">
        <f aca="false">K73+J74</f>
        <v>#NAME?</v>
      </c>
      <c r="L74" s="1" t="e">
        <f aca="false">EXP(G74)*(K74^$B$2)</f>
        <v>#NAME?</v>
      </c>
      <c r="M74" s="1" t="e">
        <f aca="false">L74-H74</f>
        <v>#NAME?</v>
      </c>
      <c r="N74" s="1" t="e">
        <f aca="false">F74+M74</f>
        <v>#NAME?</v>
      </c>
      <c r="O74" s="1" t="e">
        <f aca="false">N74/N73-1</f>
        <v>#NAME?</v>
      </c>
      <c r="P74" s="1" t="e">
        <f aca="false">F74/F73-1</f>
        <v>#NAME?</v>
      </c>
    </row>
    <row r="75" customFormat="false" ht="12" hidden="false" customHeight="true" outlineLevel="0" collapsed="false">
      <c r="C75" s="1" t="n">
        <v>2041</v>
      </c>
      <c r="D75" s="1" t="e">
        <f aca="false">AVERAGE($D$49:$D$57)</f>
        <v>#DIV/0!</v>
      </c>
      <c r="E75" s="16" t="e">
        <f aca="false">D75*F75</f>
        <v>#NAME?</v>
      </c>
      <c r="F75" s="17" t="e">
        <f aca="false">xlookup(C75,WEO_Data!$B$8:$B$51,WEO_Data!$C$8:$C$51,"")</f>
        <v>#NAME?</v>
      </c>
      <c r="G75" s="17" t="e">
        <f aca="false">TREND($G$36:$G$57,$C$36:$C$57,C75)</f>
        <v>#NAME?</v>
      </c>
      <c r="H75" s="1" t="e">
        <f aca="false">EXP(G75)*(E75^$B$2)</f>
        <v>#NAME?</v>
      </c>
      <c r="I75" s="1" t="n">
        <v>0</v>
      </c>
      <c r="J75" s="1" t="e">
        <f aca="false">I75-$B$3*K74</f>
        <v>#NAME?</v>
      </c>
      <c r="K75" s="15" t="e">
        <f aca="false">K74+J75</f>
        <v>#NAME?</v>
      </c>
      <c r="L75" s="1" t="e">
        <f aca="false">EXP(G75)*(K75^$B$2)</f>
        <v>#NAME?</v>
      </c>
      <c r="M75" s="1" t="e">
        <f aca="false">L75-H75</f>
        <v>#NAME?</v>
      </c>
      <c r="N75" s="1" t="e">
        <f aca="false">F75+M75</f>
        <v>#NAME?</v>
      </c>
      <c r="O75" s="1" t="e">
        <f aca="false">N75/N74-1</f>
        <v>#NAME?</v>
      </c>
      <c r="P75" s="1" t="e">
        <f aca="false">F75/F74-1</f>
        <v>#NAME?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19" customFormat="true" ht="36.75" hidden="false" customHeight="true" outlineLevel="0" collapsed="false">
      <c r="B1" s="20" t="s">
        <v>24</v>
      </c>
      <c r="C1" s="20" t="s">
        <v>25</v>
      </c>
    </row>
    <row r="2" customFormat="false" ht="12" hidden="false" customHeight="true" outlineLevel="0" collapsed="false">
      <c r="B2" s="21" t="n">
        <v>2026</v>
      </c>
      <c r="C2" s="1" t="n">
        <v>648.589313756442</v>
      </c>
    </row>
    <row r="3" customFormat="false" ht="12" hidden="false" customHeight="true" outlineLevel="0" collapsed="false">
      <c r="B3" s="21" t="n">
        <v>2027</v>
      </c>
      <c r="C3" s="1" t="n">
        <v>1220.08019689654</v>
      </c>
    </row>
    <row r="4" customFormat="false" ht="12" hidden="false" customHeight="true" outlineLevel="0" collapsed="false">
      <c r="B4" s="21" t="n">
        <v>2028</v>
      </c>
      <c r="C4" s="1" t="n">
        <v>1756.17368014315</v>
      </c>
    </row>
    <row r="5" customFormat="false" ht="12" hidden="false" customHeight="true" outlineLevel="0" collapsed="false">
      <c r="B5" s="21" t="n">
        <v>2029</v>
      </c>
      <c r="C5" s="1" t="n">
        <v>2221.19470098522</v>
      </c>
    </row>
    <row r="6" customFormat="false" ht="12" hidden="false" customHeight="true" outlineLevel="0" collapsed="false">
      <c r="B6" s="21" t="n">
        <v>2030</v>
      </c>
      <c r="C6" s="1" t="n">
        <v>2122.46787645573</v>
      </c>
    </row>
    <row r="7" customFormat="false" ht="12" hidden="false" customHeight="true" outlineLevel="0" collapsed="false">
      <c r="B7" s="21" t="n">
        <v>2031</v>
      </c>
      <c r="C7" s="1" t="n">
        <v>1524.52458527675</v>
      </c>
    </row>
    <row r="8" customFormat="false" ht="12" hidden="false" customHeight="true" outlineLevel="0" collapsed="false">
      <c r="B8" s="21" t="n">
        <v>2032</v>
      </c>
      <c r="C8" s="1" t="n">
        <v>738.176310559893</v>
      </c>
    </row>
    <row r="9" customFormat="false" ht="12" hidden="false" customHeight="true" outlineLevel="0" collapsed="false">
      <c r="B9" s="2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customFormat="false" ht="12" hidden="false" customHeight="true" outlineLevel="0" collapsed="false">
      <c r="A2" s="22" t="n">
        <v>35430</v>
      </c>
      <c r="B2" s="1" t="n">
        <v>1996</v>
      </c>
      <c r="C2" s="1" t="n">
        <v>304515091.7602</v>
      </c>
      <c r="D2" s="15" t="e">
        <f aca="false">xlookup(B2,PWT!$A$2:$A$35,PWT!$B$2:$B$35,"")</f>
        <v>#NAME?</v>
      </c>
      <c r="E2" s="1" t="str">
        <f aca="false">IFERROR(C2/D2,"")</f>
        <v/>
      </c>
    </row>
    <row r="3" customFormat="false" ht="12" hidden="false" customHeight="true" outlineLevel="0" collapsed="false">
      <c r="A3" s="22" t="n">
        <v>35795</v>
      </c>
      <c r="B3" s="1" t="n">
        <v>1997</v>
      </c>
      <c r="C3" s="1" t="n">
        <v>383641663.608596</v>
      </c>
      <c r="D3" s="15" t="e">
        <f aca="false">xlookup(B3,PWT!$A$2:$A$35,PWT!$B$2:$B$35,"")</f>
        <v>#NAME?</v>
      </c>
      <c r="E3" s="1" t="str">
        <f aca="false">IFERROR(C3/D3,"")</f>
        <v/>
      </c>
    </row>
    <row r="4" customFormat="false" ht="12" hidden="false" customHeight="true" outlineLevel="0" collapsed="false">
      <c r="A4" s="22" t="n">
        <v>36160</v>
      </c>
      <c r="B4" s="1" t="n">
        <v>1998</v>
      </c>
      <c r="C4" s="1" t="n">
        <v>516397121.222809</v>
      </c>
      <c r="D4" s="15" t="e">
        <f aca="false">xlookup(B4,PWT!$A$2:$A$35,PWT!$B$2:$B$35,"")</f>
        <v>#NAME?</v>
      </c>
      <c r="E4" s="1" t="str">
        <f aca="false">IFERROR(C4/D4,"")</f>
        <v/>
      </c>
    </row>
    <row r="5" customFormat="false" ht="12" hidden="false" customHeight="true" outlineLevel="0" collapsed="false">
      <c r="A5" s="22" t="n">
        <v>36525</v>
      </c>
      <c r="B5" s="1" t="n">
        <v>1999</v>
      </c>
      <c r="C5" s="1" t="n">
        <v>661603834.429231</v>
      </c>
      <c r="D5" s="15" t="e">
        <f aca="false">xlookup(B5,PWT!$A$2:$A$35,PWT!$B$2:$B$35,"")</f>
        <v>#NAME?</v>
      </c>
      <c r="E5" s="1" t="str">
        <f aca="false">IFERROR(C5/D5,"")</f>
        <v/>
      </c>
    </row>
    <row r="6" customFormat="false" ht="12" hidden="false" customHeight="true" outlineLevel="0" collapsed="false">
      <c r="A6" s="22" t="n">
        <v>36891</v>
      </c>
      <c r="B6" s="1" t="n">
        <v>2000</v>
      </c>
      <c r="C6" s="1" t="n">
        <v>631701000.88782</v>
      </c>
      <c r="D6" s="15" t="e">
        <f aca="false">xlookup(B6,PWT!$A$2:$A$35,PWT!$B$2:$B$35,"")</f>
        <v>#NAME?</v>
      </c>
      <c r="E6" s="1" t="str">
        <f aca="false">IFERROR(C6/D6,"")</f>
        <v/>
      </c>
    </row>
    <row r="7" customFormat="false" ht="12" hidden="false" customHeight="true" outlineLevel="0" collapsed="false">
      <c r="A7" s="22" t="n">
        <v>37256</v>
      </c>
      <c r="B7" s="1" t="n">
        <v>2001</v>
      </c>
      <c r="C7" s="1" t="n">
        <v>706983726.789065</v>
      </c>
      <c r="D7" s="15" t="e">
        <f aca="false">xlookup(B7,PWT!$A$2:$A$35,PWT!$B$2:$B$35,"")</f>
        <v>#NAME?</v>
      </c>
      <c r="E7" s="1" t="str">
        <f aca="false">IFERROR(C7/D7,"")</f>
        <v/>
      </c>
    </row>
    <row r="8" customFormat="false" ht="12" hidden="false" customHeight="true" outlineLevel="0" collapsed="false">
      <c r="A8" s="22" t="n">
        <v>37621</v>
      </c>
      <c r="B8" s="1" t="n">
        <v>2002</v>
      </c>
      <c r="C8" s="1" t="n">
        <v>790112565.198609</v>
      </c>
      <c r="D8" s="15" t="e">
        <f aca="false">xlookup(B8,PWT!$A$2:$A$35,PWT!$B$2:$B$35,"")</f>
        <v>#NAME?</v>
      </c>
      <c r="E8" s="1" t="str">
        <f aca="false">IFERROR(C8/D8,"")</f>
        <v/>
      </c>
    </row>
    <row r="9" customFormat="false" ht="12" hidden="false" customHeight="true" outlineLevel="0" collapsed="false">
      <c r="A9" s="22" t="n">
        <v>37986</v>
      </c>
      <c r="B9" s="1" t="n">
        <v>2003</v>
      </c>
      <c r="C9" s="1" t="n">
        <v>932916219.671159</v>
      </c>
      <c r="D9" s="15" t="e">
        <f aca="false">xlookup(B9,PWT!$A$2:$A$35,PWT!$B$2:$B$35,"")</f>
        <v>#NAME?</v>
      </c>
      <c r="E9" s="1" t="str">
        <f aca="false">IFERROR(C9/D9,"")</f>
        <v/>
      </c>
    </row>
    <row r="10" customFormat="false" ht="12" hidden="false" customHeight="true" outlineLevel="0" collapsed="false">
      <c r="A10" s="22" t="n">
        <v>38352</v>
      </c>
      <c r="B10" s="1" t="n">
        <v>2004</v>
      </c>
      <c r="C10" s="1" t="n">
        <v>976818537.799271</v>
      </c>
      <c r="D10" s="15" t="e">
        <f aca="false">xlookup(B10,PWT!$A$2:$A$35,PWT!$B$2:$B$35,"")</f>
        <v>#NAME?</v>
      </c>
      <c r="E10" s="1" t="str">
        <f aca="false">IFERROR(C10/D10,"")</f>
        <v/>
      </c>
    </row>
    <row r="11" customFormat="false" ht="12" hidden="false" customHeight="true" outlineLevel="0" collapsed="false">
      <c r="A11" s="22" t="n">
        <v>38717</v>
      </c>
      <c r="B11" s="1" t="n">
        <v>2005</v>
      </c>
      <c r="C11" s="1" t="n">
        <v>1113450058.59263</v>
      </c>
      <c r="D11" s="15" t="e">
        <f aca="false">xlookup(B11,PWT!$A$2:$A$35,PWT!$B$2:$B$35,"")</f>
        <v>#NAME?</v>
      </c>
      <c r="E11" s="1" t="str">
        <f aca="false">IFERROR(C11/D11,"")</f>
        <v/>
      </c>
    </row>
    <row r="12" customFormat="false" ht="12" hidden="false" customHeight="true" outlineLevel="0" collapsed="false">
      <c r="A12" s="22" t="n">
        <v>39082</v>
      </c>
      <c r="B12" s="1" t="n">
        <v>2006</v>
      </c>
      <c r="C12" s="1" t="n">
        <v>1306373084.13224</v>
      </c>
      <c r="D12" s="15" t="e">
        <f aca="false">xlookup(B12,PWT!$A$2:$A$35,PWT!$B$2:$B$35,"")</f>
        <v>#NAME?</v>
      </c>
      <c r="E12" s="1" t="str">
        <f aca="false">IFERROR(C12/D12,"")</f>
        <v/>
      </c>
    </row>
    <row r="13" customFormat="false" ht="12" hidden="false" customHeight="true" outlineLevel="0" collapsed="false">
      <c r="A13" s="22" t="n">
        <v>39447</v>
      </c>
      <c r="B13" s="1" t="n">
        <v>2007</v>
      </c>
      <c r="C13" s="1" t="n">
        <v>1617029966.25711</v>
      </c>
      <c r="D13" s="15" t="e">
        <f aca="false">xlookup(B13,PWT!$A$2:$A$35,PWT!$B$2:$B$35,"")</f>
        <v>#NAME?</v>
      </c>
      <c r="E13" s="1" t="str">
        <f aca="false">IFERROR(C13/D13,"")</f>
        <v/>
      </c>
    </row>
    <row r="14" customFormat="false" ht="12" hidden="false" customHeight="true" outlineLevel="0" collapsed="false">
      <c r="A14" s="22" t="n">
        <v>39813</v>
      </c>
      <c r="B14" s="1" t="n">
        <v>2008</v>
      </c>
      <c r="C14" s="1" t="n">
        <v>1758049267.6717</v>
      </c>
      <c r="D14" s="15" t="e">
        <f aca="false">xlookup(B14,PWT!$A$2:$A$35,PWT!$B$2:$B$35,"")</f>
        <v>#NAME?</v>
      </c>
      <c r="E14" s="1" t="str">
        <f aca="false">IFERROR(C14/D14,"")</f>
        <v/>
      </c>
    </row>
    <row r="15" customFormat="false" ht="12" hidden="false" customHeight="true" outlineLevel="0" collapsed="false">
      <c r="A15" s="22" t="n">
        <v>40178</v>
      </c>
      <c r="B15" s="1" t="n">
        <v>2009</v>
      </c>
      <c r="C15" s="1" t="n">
        <v>1751366684.88131</v>
      </c>
      <c r="D15" s="15" t="e">
        <f aca="false">xlookup(B15,PWT!$A$2:$A$35,PWT!$B$2:$B$35,"")</f>
        <v>#NAME?</v>
      </c>
      <c r="E15" s="1" t="str">
        <f aca="false">IFERROR(C15/D15,"")</f>
        <v/>
      </c>
    </row>
    <row r="16" customFormat="false" ht="12" hidden="false" customHeight="true" outlineLevel="0" collapsed="false">
      <c r="A16" s="22" t="n">
        <v>40543</v>
      </c>
      <c r="B16" s="1" t="n">
        <v>2010</v>
      </c>
      <c r="C16" s="1" t="n">
        <v>2046413234.66733</v>
      </c>
      <c r="D16" s="15" t="e">
        <f aca="false">xlookup(B16,PWT!$A$2:$A$35,PWT!$B$2:$B$35,"")</f>
        <v>#NAME?</v>
      </c>
      <c r="E16" s="1" t="str">
        <f aca="false">IFERROR(C16/D16,"")</f>
        <v/>
      </c>
    </row>
    <row r="17" customFormat="false" ht="12" hidden="false" customHeight="true" outlineLevel="0" collapsed="false">
      <c r="A17" s="22" t="n">
        <v>40908</v>
      </c>
      <c r="B17" s="1" t="n">
        <v>2011</v>
      </c>
      <c r="C17" s="1" t="n">
        <v>2350512405.90543</v>
      </c>
      <c r="D17" s="15" t="e">
        <f aca="false">xlookup(B17,PWT!$A$2:$A$35,PWT!$B$2:$B$35,"")</f>
        <v>#NAME?</v>
      </c>
      <c r="E17" s="1" t="str">
        <f aca="false">IFERROR(C17/D17,"")</f>
        <v/>
      </c>
    </row>
    <row r="18" customFormat="false" ht="12" hidden="false" customHeight="true" outlineLevel="0" collapsed="false">
      <c r="A18" s="22" t="n">
        <v>41274</v>
      </c>
      <c r="B18" s="1" t="n">
        <v>2012</v>
      </c>
      <c r="C18" s="1" t="n">
        <v>2643602887.96874</v>
      </c>
      <c r="D18" s="15" t="e">
        <f aca="false">xlookup(B18,PWT!$A$2:$A$35,PWT!$B$2:$B$35,"")</f>
        <v>#NAME?</v>
      </c>
      <c r="E18" s="1" t="str">
        <f aca="false">IFERROR(C18/D18,"")</f>
        <v/>
      </c>
    </row>
    <row r="19" customFormat="false" ht="12" hidden="false" customHeight="true" outlineLevel="0" collapsed="false">
      <c r="A19" s="22" t="n">
        <v>41639</v>
      </c>
      <c r="B19" s="1" t="n">
        <v>2013</v>
      </c>
      <c r="C19" s="1" t="n">
        <v>1555932152.31816</v>
      </c>
      <c r="D19" s="15" t="e">
        <f aca="false">xlookup(B19,PWT!$A$2:$A$35,PWT!$B$2:$B$35,"")</f>
        <v>#NAME?</v>
      </c>
      <c r="E19" s="1" t="str">
        <f aca="false">IFERROR(C19/D19,"")</f>
        <v/>
      </c>
    </row>
    <row r="20" customFormat="false" ht="12" hidden="false" customHeight="true" outlineLevel="0" collapsed="false">
      <c r="A20" s="22" t="n">
        <v>42004</v>
      </c>
      <c r="B20" s="1" t="n">
        <v>2014</v>
      </c>
      <c r="C20" s="1" t="n">
        <v>2984890468.6878</v>
      </c>
      <c r="D20" s="15" t="e">
        <f aca="false">xlookup(B20,PWT!$A$2:$A$35,PWT!$B$2:$B$35,"")</f>
        <v>#NAME?</v>
      </c>
      <c r="E20" s="1" t="str">
        <f aca="false">IFERROR(C20/D20,"")</f>
        <v/>
      </c>
    </row>
    <row r="21" customFormat="false" ht="12" hidden="false" customHeight="true" outlineLevel="0" collapsed="false">
      <c r="A21" s="22" t="n">
        <v>42369</v>
      </c>
      <c r="B21" s="1" t="n">
        <v>2015</v>
      </c>
      <c r="C21" s="1" t="n">
        <v>3657280672.54249</v>
      </c>
      <c r="D21" s="15" t="e">
        <f aca="false">xlookup(B21,PWT!$A$2:$A$35,PWT!$B$2:$B$35,"")</f>
        <v>#NAME?</v>
      </c>
      <c r="E21" s="1" t="str">
        <f aca="false">IFERROR(C21/D21,"")</f>
        <v/>
      </c>
    </row>
    <row r="22" customFormat="false" ht="12" hidden="false" customHeight="true" outlineLevel="0" collapsed="false">
      <c r="A22" s="22" t="n">
        <v>42735</v>
      </c>
      <c r="B22" s="1" t="n">
        <v>2016</v>
      </c>
      <c r="C22" s="1" t="n">
        <v>4004828719.85304</v>
      </c>
      <c r="D22" s="15" t="e">
        <f aca="false">xlookup(B22,PWT!$A$2:$A$35,PWT!$B$2:$B$35,"")</f>
        <v>#NAME?</v>
      </c>
      <c r="E22" s="1" t="str">
        <f aca="false">IFERROR(C22/D22,"")</f>
        <v/>
      </c>
    </row>
    <row r="23" customFormat="false" ht="12" hidden="false" customHeight="true" outlineLevel="0" collapsed="false">
      <c r="A23" s="22" t="n">
        <v>43100</v>
      </c>
      <c r="B23" s="1" t="n">
        <v>2017</v>
      </c>
      <c r="C23" s="1" t="n">
        <v>4492921334.90825</v>
      </c>
      <c r="D23" s="15" t="e">
        <f aca="false">xlookup(B23,PWT!$A$2:$A$35,PWT!$B$2:$B$35,"")</f>
        <v>#NAME?</v>
      </c>
      <c r="E23" s="1" t="str">
        <f aca="false">IFERROR(C23/D23,"")</f>
        <v/>
      </c>
    </row>
    <row r="24" customFormat="false" ht="12" hidden="false" customHeight="true" outlineLevel="0" collapsed="false">
      <c r="A24" s="22" t="n">
        <v>43465</v>
      </c>
      <c r="B24" s="1" t="n">
        <v>2018</v>
      </c>
      <c r="C24" s="1" t="n">
        <v>4843616440.28627</v>
      </c>
      <c r="D24" s="15" t="e">
        <f aca="false">xlookup(B24,PWT!$A$2:$A$35,PWT!$B$2:$B$35,"")</f>
        <v>#NAME?</v>
      </c>
      <c r="E24" s="1" t="str">
        <f aca="false">IFERROR(C24/D24,"")</f>
        <v/>
      </c>
    </row>
    <row r="25" customFormat="false" ht="12" hidden="false" customHeight="true" outlineLevel="0" collapsed="false">
      <c r="A25" s="22" t="n">
        <v>43830</v>
      </c>
      <c r="B25" s="1" t="n">
        <v>2019</v>
      </c>
      <c r="C25" s="1" t="n">
        <v>5452957379.35004</v>
      </c>
      <c r="D25" s="15" t="e">
        <f aca="false">xlookup(B25,PWT!$A$2:$A$35,PWT!$B$2:$B$35,"")</f>
        <v>#NAME?</v>
      </c>
      <c r="E25" s="1" t="str">
        <f aca="false">IFERROR(C25/D25,"")</f>
        <v/>
      </c>
    </row>
    <row r="26" customFormat="false" ht="12" hidden="false" customHeight="true" outlineLevel="0" collapsed="false">
      <c r="A26" s="22" t="n">
        <v>44196</v>
      </c>
      <c r="B26" s="1" t="n">
        <v>2020</v>
      </c>
      <c r="C26" s="1" t="n">
        <v>6152769261.61805</v>
      </c>
      <c r="D26" s="15" t="e">
        <f aca="false">xlookup(B26,PWT!$A$2:$A$35,PWT!$B$2:$B$35,"")</f>
        <v>#NAME?</v>
      </c>
      <c r="E26" s="1" t="str">
        <f aca="false">IFERROR(C26/D26,"")</f>
        <v/>
      </c>
    </row>
    <row r="27" customFormat="false" ht="12" hidden="false" customHeight="true" outlineLevel="0" collapsed="false">
      <c r="A27" s="22" t="n">
        <v>44561</v>
      </c>
      <c r="B27" s="1" t="n">
        <v>2021</v>
      </c>
      <c r="C27" s="1" t="n">
        <v>7072625348.89823</v>
      </c>
      <c r="D27" s="15" t="e">
        <f aca="false">xlookup(B27,PWT!$A$2:$A$35,PWT!$B$2:$B$35,"")</f>
        <v>#NAME?</v>
      </c>
      <c r="E27" s="1" t="str">
        <f aca="false">IFERROR(C27/D27,"")</f>
        <v/>
      </c>
    </row>
    <row r="28" customFormat="false" ht="12" hidden="false" customHeight="true" outlineLevel="0" collapsed="false">
      <c r="A28" s="22" t="n">
        <v>44926</v>
      </c>
      <c r="B28" s="1" t="n">
        <v>2022</v>
      </c>
      <c r="C28" s="1" t="n">
        <v>7661448474.88107</v>
      </c>
      <c r="D28" s="15" t="e">
        <f aca="false">xlookup(B28,PWT!$A$2:$A$35,PWT!$B$2:$B$35,"")</f>
        <v>#NAME?</v>
      </c>
      <c r="E28" s="1" t="str">
        <f aca="false">IFERROR(C28/D28,"")</f>
        <v/>
      </c>
    </row>
    <row r="29" customFormat="false" ht="12" hidden="false" customHeight="true" outlineLevel="0" collapsed="false">
      <c r="A29" s="22" t="n">
        <v>45291</v>
      </c>
      <c r="B29" s="1" t="n">
        <v>2023</v>
      </c>
      <c r="C29" s="1" t="n">
        <v>9410657843.71035</v>
      </c>
      <c r="D29" s="15" t="e">
        <f aca="false">xlookup(B29,PWT!$A$2:$A$35,PWT!$B$2:$B$35,"")</f>
        <v>#NAME?</v>
      </c>
      <c r="E29" s="1" t="str">
        <f aca="false">IFERROR(C29/D29,"")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31</v>
      </c>
      <c r="B1" s="1" t="s">
        <v>32</v>
      </c>
    </row>
    <row r="2" customFormat="false" ht="12" hidden="false" customHeight="true" outlineLevel="0" collapsed="false">
      <c r="A2" s="15" t="n">
        <v>1990</v>
      </c>
      <c r="B2" s="15" t="n">
        <v>333953.90625</v>
      </c>
    </row>
    <row r="3" customFormat="false" ht="12" hidden="false" customHeight="true" outlineLevel="0" collapsed="false">
      <c r="A3" s="15" t="n">
        <v>1991</v>
      </c>
      <c r="B3" s="15" t="n">
        <v>336800.125</v>
      </c>
    </row>
    <row r="4" customFormat="false" ht="12" hidden="false" customHeight="true" outlineLevel="0" collapsed="false">
      <c r="A4" s="15" t="n">
        <v>1992</v>
      </c>
      <c r="B4" s="15" t="n">
        <v>331575.34375</v>
      </c>
    </row>
    <row r="5" customFormat="false" ht="12" hidden="false" customHeight="true" outlineLevel="0" collapsed="false">
      <c r="A5" s="15" t="n">
        <v>1993</v>
      </c>
      <c r="B5" s="15" t="n">
        <v>318977.5625</v>
      </c>
    </row>
    <row r="6" customFormat="false" ht="12" hidden="false" customHeight="true" outlineLevel="0" collapsed="false">
      <c r="A6" s="15" t="n">
        <v>1994</v>
      </c>
      <c r="B6" s="15" t="n">
        <v>310557.21875</v>
      </c>
    </row>
    <row r="7" customFormat="false" ht="12" hidden="false" customHeight="true" outlineLevel="0" collapsed="false">
      <c r="A7" s="15" t="n">
        <v>1995</v>
      </c>
      <c r="B7" s="15" t="n">
        <v>305633.28125</v>
      </c>
    </row>
    <row r="8" customFormat="false" ht="12" hidden="false" customHeight="true" outlineLevel="0" collapsed="false">
      <c r="A8" s="15" t="n">
        <v>1996</v>
      </c>
      <c r="B8" s="15" t="n">
        <v>301706.46875</v>
      </c>
    </row>
    <row r="9" customFormat="false" ht="12" hidden="false" customHeight="true" outlineLevel="0" collapsed="false">
      <c r="A9" s="15" t="n">
        <v>1997</v>
      </c>
      <c r="B9" s="15" t="n">
        <v>298764.625</v>
      </c>
    </row>
    <row r="10" customFormat="false" ht="12" hidden="false" customHeight="true" outlineLevel="0" collapsed="false">
      <c r="A10" s="15" t="n">
        <v>1998</v>
      </c>
      <c r="B10" s="15" t="n">
        <v>298990.5</v>
      </c>
    </row>
    <row r="11" customFormat="false" ht="12" hidden="false" customHeight="true" outlineLevel="0" collapsed="false">
      <c r="A11" s="15" t="n">
        <v>1999</v>
      </c>
      <c r="B11" s="15" t="n">
        <v>299754.78125</v>
      </c>
    </row>
    <row r="12" customFormat="false" ht="12" hidden="false" customHeight="true" outlineLevel="0" collapsed="false">
      <c r="A12" s="15" t="n">
        <v>2000</v>
      </c>
      <c r="B12" s="15" t="n">
        <v>300383.3125</v>
      </c>
    </row>
    <row r="13" customFormat="false" ht="12" hidden="false" customHeight="true" outlineLevel="0" collapsed="false">
      <c r="A13" s="15" t="n">
        <v>2001</v>
      </c>
      <c r="B13" s="15" t="n">
        <v>302284.0625</v>
      </c>
    </row>
    <row r="14" customFormat="false" ht="12" hidden="false" customHeight="true" outlineLevel="0" collapsed="false">
      <c r="A14" s="15" t="n">
        <v>2002</v>
      </c>
      <c r="B14" s="15" t="n">
        <v>303592.625</v>
      </c>
    </row>
    <row r="15" customFormat="false" ht="12" hidden="false" customHeight="true" outlineLevel="0" collapsed="false">
      <c r="A15" s="15" t="n">
        <v>2003</v>
      </c>
      <c r="B15" s="15" t="n">
        <v>307310.28125</v>
      </c>
    </row>
    <row r="16" customFormat="false" ht="12" hidden="false" customHeight="true" outlineLevel="0" collapsed="false">
      <c r="A16" s="15" t="n">
        <v>2004</v>
      </c>
      <c r="B16" s="15" t="n">
        <v>311984.28125</v>
      </c>
    </row>
    <row r="17" customFormat="false" ht="12" hidden="false" customHeight="true" outlineLevel="0" collapsed="false">
      <c r="A17" s="15" t="n">
        <v>2005</v>
      </c>
      <c r="B17" s="15" t="n">
        <v>317837.8125</v>
      </c>
    </row>
    <row r="18" customFormat="false" ht="12" hidden="false" customHeight="true" outlineLevel="0" collapsed="false">
      <c r="A18" s="15" t="n">
        <v>2006</v>
      </c>
      <c r="B18" s="15" t="n">
        <v>322943.65625</v>
      </c>
    </row>
    <row r="19" customFormat="false" ht="12" hidden="false" customHeight="true" outlineLevel="0" collapsed="false">
      <c r="A19" s="15" t="n">
        <v>2007</v>
      </c>
      <c r="B19" s="15" t="n">
        <v>329445.875</v>
      </c>
    </row>
    <row r="20" customFormat="false" ht="12" hidden="false" customHeight="true" outlineLevel="0" collapsed="false">
      <c r="A20" s="15" t="n">
        <v>2008</v>
      </c>
      <c r="B20" s="15" t="n">
        <v>332604.46875</v>
      </c>
    </row>
    <row r="21" customFormat="false" ht="12" hidden="false" customHeight="true" outlineLevel="0" collapsed="false">
      <c r="A21" s="15" t="n">
        <v>2009</v>
      </c>
      <c r="B21" s="15" t="n">
        <v>330608.28125</v>
      </c>
    </row>
    <row r="22" customFormat="false" ht="12" hidden="false" customHeight="true" outlineLevel="0" collapsed="false">
      <c r="A22" s="15" t="n">
        <v>2010</v>
      </c>
      <c r="B22" s="15" t="n">
        <v>332551.53125</v>
      </c>
    </row>
    <row r="23" customFormat="false" ht="12" hidden="false" customHeight="true" outlineLevel="0" collapsed="false">
      <c r="A23" s="15" t="n">
        <v>2011</v>
      </c>
      <c r="B23" s="15" t="n">
        <v>336560.28125</v>
      </c>
    </row>
    <row r="24" customFormat="false" ht="12" hidden="false" customHeight="true" outlineLevel="0" collapsed="false">
      <c r="A24" s="15" t="n">
        <v>2012</v>
      </c>
      <c r="B24" s="15" t="n">
        <v>341471.1875</v>
      </c>
    </row>
    <row r="25" customFormat="false" ht="12" hidden="false" customHeight="true" outlineLevel="0" collapsed="false">
      <c r="A25" s="15" t="n">
        <v>2013</v>
      </c>
      <c r="B25" s="15" t="n">
        <v>344239.03125</v>
      </c>
    </row>
    <row r="26" customFormat="false" ht="12" hidden="false" customHeight="true" outlineLevel="0" collapsed="false">
      <c r="A26" s="15" t="n">
        <v>2014</v>
      </c>
      <c r="B26" s="15" t="n">
        <v>350962.15625</v>
      </c>
    </row>
    <row r="27" customFormat="false" ht="12" hidden="false" customHeight="true" outlineLevel="0" collapsed="false">
      <c r="A27" s="15" t="n">
        <v>2015</v>
      </c>
      <c r="B27" s="15" t="n">
        <v>360259.8125</v>
      </c>
    </row>
    <row r="28" customFormat="false" ht="12" hidden="false" customHeight="true" outlineLevel="0" collapsed="false">
      <c r="A28" s="15" t="n">
        <v>2016</v>
      </c>
      <c r="B28" s="15" t="n">
        <v>370547.65625</v>
      </c>
    </row>
    <row r="29" customFormat="false" ht="12" hidden="false" customHeight="true" outlineLevel="0" collapsed="false">
      <c r="A29" s="15" t="n">
        <v>2017</v>
      </c>
      <c r="B29" s="15" t="n">
        <v>380655.78125</v>
      </c>
    </row>
    <row r="30" customFormat="false" ht="12" hidden="false" customHeight="true" outlineLevel="0" collapsed="false">
      <c r="A30" s="15" t="n">
        <v>2018</v>
      </c>
      <c r="B30" s="15" t="n">
        <v>390625.1875</v>
      </c>
    </row>
    <row r="31" customFormat="false" ht="12" hidden="false" customHeight="true" outlineLevel="0" collapsed="false">
      <c r="A31" s="15" t="n">
        <v>2019</v>
      </c>
      <c r="B31" s="15" t="n">
        <v>399934.28125</v>
      </c>
    </row>
    <row r="32" customFormat="false" ht="12" hidden="false" customHeight="true" outlineLevel="0" collapsed="false">
      <c r="A32" s="15" t="n">
        <v>2020</v>
      </c>
      <c r="B32" s="15" t="n">
        <v>405156.15625</v>
      </c>
    </row>
    <row r="33" customFormat="false" ht="12" hidden="false" customHeight="true" outlineLevel="0" collapsed="false">
      <c r="A33" s="15" t="n">
        <v>2021</v>
      </c>
      <c r="B33" s="15" t="n">
        <v>409189.75</v>
      </c>
    </row>
    <row r="34" customFormat="false" ht="12" hidden="false" customHeight="true" outlineLevel="0" collapsed="false">
      <c r="A34" s="15" t="n">
        <v>2022</v>
      </c>
      <c r="B34" s="15" t="n">
        <v>415085.84375</v>
      </c>
    </row>
    <row r="35" customFormat="false" ht="12" hidden="false" customHeight="true" outlineLevel="0" collapsed="false">
      <c r="A35" s="15" t="n">
        <v>2023</v>
      </c>
      <c r="B35" s="15" t="n">
        <v>426190.5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33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34</v>
      </c>
      <c r="C2" s="1" t="s">
        <v>35</v>
      </c>
      <c r="D2" s="1" t="s">
        <v>36</v>
      </c>
    </row>
    <row r="3" customFormat="false" ht="12" hidden="false" customHeight="true" outlineLevel="0" collapsed="false">
      <c r="B3" s="1" t="s">
        <v>37</v>
      </c>
      <c r="C3" s="1" t="s">
        <v>38</v>
      </c>
      <c r="D3" s="1" t="s">
        <v>38</v>
      </c>
    </row>
    <row r="4" customFormat="false" ht="12" hidden="false" customHeight="true" outlineLevel="0" collapsed="false">
      <c r="B4" s="1" t="s">
        <v>39</v>
      </c>
      <c r="C4" s="1" t="s">
        <v>40</v>
      </c>
      <c r="D4" s="1" t="s">
        <v>40</v>
      </c>
    </row>
    <row r="5" customFormat="false" ht="12" hidden="false" customHeight="true" outlineLevel="0" collapsed="false">
      <c r="B5" s="1" t="s">
        <v>41</v>
      </c>
      <c r="C5" s="1" t="s">
        <v>42</v>
      </c>
      <c r="D5" s="1" t="s">
        <v>43</v>
      </c>
    </row>
    <row r="6" customFormat="false" ht="12" hidden="false" customHeight="true" outlineLevel="0" collapsed="false">
      <c r="B6" s="1" t="s">
        <v>44</v>
      </c>
      <c r="C6" s="1" t="s">
        <v>45</v>
      </c>
      <c r="D6" s="1" t="s">
        <v>41</v>
      </c>
    </row>
    <row r="7" customFormat="false" ht="12" hidden="false" customHeight="true" outlineLevel="0" collapsed="false">
      <c r="B7" s="1" t="s">
        <v>46</v>
      </c>
      <c r="C7" s="1" t="s">
        <v>47</v>
      </c>
      <c r="D7" s="1" t="s">
        <v>48</v>
      </c>
    </row>
    <row r="8" customFormat="false" ht="12" hidden="false" customHeight="true" outlineLevel="0" collapsed="false">
      <c r="B8" s="1" t="n">
        <v>2000</v>
      </c>
      <c r="C8" s="1" t="n">
        <v>17.099</v>
      </c>
    </row>
    <row r="9" customFormat="false" ht="12" hidden="false" customHeight="true" outlineLevel="0" collapsed="false">
      <c r="B9" s="1" t="n">
        <v>2001</v>
      </c>
      <c r="C9" s="1" t="n">
        <v>17.921</v>
      </c>
      <c r="D9" s="1" t="n">
        <v>4.80729867243699</v>
      </c>
    </row>
    <row r="10" customFormat="false" ht="12" hidden="false" customHeight="true" outlineLevel="0" collapsed="false">
      <c r="B10" s="1" t="n">
        <v>2002</v>
      </c>
      <c r="C10" s="1" t="n">
        <v>18.902</v>
      </c>
      <c r="D10" s="1" t="n">
        <v>5.47402488700408</v>
      </c>
    </row>
    <row r="11" customFormat="false" ht="12" hidden="false" customHeight="true" outlineLevel="0" collapsed="false">
      <c r="B11" s="1" t="n">
        <v>2003</v>
      </c>
      <c r="C11" s="1" t="n">
        <v>20.992</v>
      </c>
      <c r="D11" s="1" t="n">
        <v>11.0570310020104</v>
      </c>
    </row>
    <row r="12" customFormat="false" ht="12" hidden="false" customHeight="true" outlineLevel="0" collapsed="false">
      <c r="B12" s="1" t="n">
        <v>2004</v>
      </c>
      <c r="C12" s="1" t="n">
        <v>22.208</v>
      </c>
      <c r="D12" s="1" t="n">
        <v>5.79268292682926</v>
      </c>
    </row>
    <row r="13" customFormat="false" ht="12" hidden="false" customHeight="true" outlineLevel="0" collapsed="false">
      <c r="B13" s="1" t="n">
        <v>2005</v>
      </c>
      <c r="C13" s="1" t="n">
        <v>24.338</v>
      </c>
      <c r="D13" s="1" t="n">
        <v>9.59113832853027</v>
      </c>
    </row>
    <row r="14" customFormat="false" ht="12" hidden="false" customHeight="true" outlineLevel="0" collapsed="false">
      <c r="B14" s="1" t="n">
        <v>2006</v>
      </c>
      <c r="C14" s="1" t="n">
        <v>26.631</v>
      </c>
      <c r="D14" s="1" t="n">
        <v>9.42148081189909</v>
      </c>
    </row>
    <row r="15" customFormat="false" ht="12" hidden="false" customHeight="true" outlineLevel="0" collapsed="false">
      <c r="B15" s="1" t="n">
        <v>2007</v>
      </c>
      <c r="C15" s="1" t="n">
        <v>29.98</v>
      </c>
      <c r="D15" s="1" t="n">
        <v>12.5755698246405</v>
      </c>
    </row>
    <row r="16" customFormat="false" ht="12" hidden="false" customHeight="true" outlineLevel="0" collapsed="false">
      <c r="B16" s="1" t="n">
        <v>2008</v>
      </c>
      <c r="C16" s="1" t="n">
        <v>30.706</v>
      </c>
      <c r="D16" s="1" t="n">
        <v>2.4216144096064</v>
      </c>
    </row>
    <row r="17" customFormat="false" ht="12" hidden="false" customHeight="true" outlineLevel="0" collapsed="false">
      <c r="B17" s="1" t="n">
        <v>2009</v>
      </c>
      <c r="C17" s="1" t="n">
        <v>29.585</v>
      </c>
      <c r="D17" s="1" t="n">
        <v>-3.65075229596821</v>
      </c>
    </row>
    <row r="18" customFormat="false" ht="12" hidden="false" customHeight="true" outlineLevel="0" collapsed="false">
      <c r="B18" s="1" t="n">
        <v>2010</v>
      </c>
      <c r="C18" s="1" t="n">
        <v>31.433</v>
      </c>
      <c r="D18" s="1" t="n">
        <v>6.24640865303363</v>
      </c>
    </row>
    <row r="19" customFormat="false" ht="12" hidden="false" customHeight="true" outlineLevel="0" collapsed="false">
      <c r="B19" s="1" t="n">
        <v>2011</v>
      </c>
      <c r="C19" s="1" t="n">
        <v>33.927</v>
      </c>
      <c r="D19" s="1" t="n">
        <v>7.9343365253078</v>
      </c>
    </row>
    <row r="20" customFormat="false" ht="12" hidden="false" customHeight="true" outlineLevel="0" collapsed="false">
      <c r="B20" s="1" t="n">
        <v>2012</v>
      </c>
      <c r="C20" s="1" t="n">
        <v>36.159</v>
      </c>
      <c r="D20" s="1" t="n">
        <v>6.57883101954195</v>
      </c>
    </row>
    <row r="21" customFormat="false" ht="12" hidden="false" customHeight="true" outlineLevel="0" collapsed="false">
      <c r="B21" s="1" t="n">
        <v>2013</v>
      </c>
      <c r="C21" s="1" t="n">
        <v>38.015</v>
      </c>
      <c r="D21" s="1" t="n">
        <v>5.13288531209382</v>
      </c>
    </row>
    <row r="22" customFormat="false" ht="12" hidden="false" customHeight="true" outlineLevel="0" collapsed="false">
      <c r="B22" s="1" t="n">
        <v>2014</v>
      </c>
      <c r="C22" s="1" t="n">
        <v>39.57</v>
      </c>
      <c r="D22" s="1" t="n">
        <v>4.09049059581743</v>
      </c>
    </row>
    <row r="23" customFormat="false" ht="12" hidden="false" customHeight="true" outlineLevel="0" collapsed="false">
      <c r="B23" s="1" t="n">
        <v>2015</v>
      </c>
      <c r="C23" s="1" t="n">
        <v>40.896</v>
      </c>
      <c r="D23" s="1" t="n">
        <v>3.35102350265353</v>
      </c>
    </row>
    <row r="24" customFormat="false" ht="12" hidden="false" customHeight="true" outlineLevel="0" collapsed="false">
      <c r="B24" s="1" t="n">
        <v>2016</v>
      </c>
      <c r="C24" s="1" t="n">
        <v>42.307</v>
      </c>
      <c r="D24" s="1" t="n">
        <v>3.45021517996871</v>
      </c>
    </row>
    <row r="25" customFormat="false" ht="12" hidden="false" customHeight="true" outlineLevel="0" collapsed="false">
      <c r="B25" s="1" t="n">
        <v>2017</v>
      </c>
      <c r="C25" s="1" t="n">
        <v>44.49</v>
      </c>
      <c r="D25" s="1" t="n">
        <v>5.15990261658827</v>
      </c>
    </row>
    <row r="26" customFormat="false" ht="12" hidden="false" customHeight="true" outlineLevel="0" collapsed="false">
      <c r="B26" s="1" t="n">
        <v>2018</v>
      </c>
      <c r="C26" s="1" t="n">
        <v>47.187</v>
      </c>
      <c r="D26" s="1" t="n">
        <v>6.062036412677</v>
      </c>
    </row>
    <row r="27" customFormat="false" ht="12" hidden="false" customHeight="true" outlineLevel="0" collapsed="false">
      <c r="B27" s="1" t="n">
        <v>2019</v>
      </c>
      <c r="C27" s="1" t="n">
        <v>49.726</v>
      </c>
      <c r="D27" s="1" t="n">
        <v>5.38071926589951</v>
      </c>
    </row>
    <row r="28" customFormat="false" ht="12" hidden="false" customHeight="true" outlineLevel="0" collapsed="false">
      <c r="B28" s="1" t="n">
        <v>2020</v>
      </c>
      <c r="C28" s="1" t="n">
        <v>46.598</v>
      </c>
      <c r="D28" s="1" t="n">
        <v>-6.2904717853839</v>
      </c>
    </row>
    <row r="29" customFormat="false" ht="12" hidden="false" customHeight="true" outlineLevel="0" collapsed="false">
      <c r="B29" s="1" t="n">
        <v>2021</v>
      </c>
      <c r="C29" s="1" t="n">
        <v>51.558</v>
      </c>
      <c r="D29" s="1" t="n">
        <v>10.6442336580969</v>
      </c>
    </row>
    <row r="30" customFormat="false" ht="12" hidden="false" customHeight="true" outlineLevel="0" collapsed="false">
      <c r="B30" s="1" t="n">
        <v>2022</v>
      </c>
      <c r="C30" s="1" t="n">
        <v>57.208</v>
      </c>
      <c r="D30" s="1" t="n">
        <v>10.9585321385624</v>
      </c>
    </row>
    <row r="31" customFormat="false" ht="12" hidden="false" customHeight="true" outlineLevel="0" collapsed="false">
      <c r="B31" s="1" t="n">
        <v>2023</v>
      </c>
      <c r="C31" s="1" t="n">
        <v>61.6886457</v>
      </c>
      <c r="D31" s="1" t="n">
        <v>7.83220126555728</v>
      </c>
    </row>
    <row r="32" customFormat="false" ht="12" hidden="false" customHeight="true" outlineLevel="0" collapsed="false">
      <c r="B32" s="1" t="n">
        <v>2024</v>
      </c>
      <c r="C32" s="1" t="n">
        <v>67.6599794</v>
      </c>
      <c r="D32" s="1" t="n">
        <v>9.67979379712658</v>
      </c>
    </row>
    <row r="33" customFormat="false" ht="12" hidden="false" customHeight="true" outlineLevel="0" collapsed="false">
      <c r="B33" s="1" t="n">
        <v>2025</v>
      </c>
      <c r="C33" s="1" t="n">
        <v>72.7085066</v>
      </c>
      <c r="D33" s="1" t="n">
        <v>7.46161504152041</v>
      </c>
    </row>
    <row r="34" customFormat="false" ht="12" hidden="false" customHeight="true" outlineLevel="0" collapsed="false">
      <c r="B34" s="1" t="n">
        <v>2026</v>
      </c>
      <c r="C34" s="1" t="n">
        <v>76.34393193</v>
      </c>
      <c r="D34" s="1" t="n">
        <v>5</v>
      </c>
    </row>
    <row r="35" customFormat="false" ht="12" hidden="false" customHeight="true" outlineLevel="0" collapsed="false">
      <c r="B35" s="1" t="n">
        <v>2027</v>
      </c>
      <c r="C35" s="1" t="n">
        <v>80.1611285265</v>
      </c>
      <c r="D35" s="1" t="n">
        <v>5</v>
      </c>
    </row>
    <row r="36" customFormat="false" ht="12" hidden="false" customHeight="true" outlineLevel="0" collapsed="false">
      <c r="B36" s="1" t="n">
        <v>2028</v>
      </c>
      <c r="C36" s="1" t="n">
        <f aca="false">C35*(1+D36/100)</f>
        <v>84.169184952825</v>
      </c>
      <c r="D36" s="1" t="n">
        <f aca="false">D35</f>
        <v>5</v>
      </c>
    </row>
    <row r="37" customFormat="false" ht="12" hidden="false" customHeight="true" outlineLevel="0" collapsed="false">
      <c r="B37" s="1" t="n">
        <v>2029</v>
      </c>
      <c r="C37" s="1" t="n">
        <f aca="false">C36*(1+D37/100)</f>
        <v>88.3776442004663</v>
      </c>
      <c r="D37" s="1" t="n">
        <f aca="false">D35</f>
        <v>5</v>
      </c>
    </row>
    <row r="38" customFormat="false" ht="12" hidden="false" customHeight="true" outlineLevel="0" collapsed="false">
      <c r="B38" s="1" t="n">
        <v>2030</v>
      </c>
      <c r="C38" s="1" t="n">
        <f aca="false">C37*(1+D38/100)</f>
        <v>92.7965264104896</v>
      </c>
      <c r="D38" s="1" t="n">
        <f aca="false">D35</f>
        <v>5</v>
      </c>
    </row>
    <row r="39" customFormat="false" ht="12" hidden="false" customHeight="true" outlineLevel="0" collapsed="false">
      <c r="B39" s="1" t="n">
        <v>2031</v>
      </c>
      <c r="C39" s="1" t="n">
        <f aca="false">C38*(1+D39/100)</f>
        <v>97.436352731014</v>
      </c>
      <c r="D39" s="1" t="n">
        <f aca="false">D35</f>
        <v>5</v>
      </c>
    </row>
    <row r="40" customFormat="false" ht="12" hidden="false" customHeight="true" outlineLevel="0" collapsed="false">
      <c r="B40" s="1" t="n">
        <v>2032</v>
      </c>
      <c r="C40" s="1" t="n">
        <f aca="false">C39*(1+D40/100)</f>
        <v>102.308170367565</v>
      </c>
      <c r="D40" s="1" t="n">
        <f aca="false">D35</f>
        <v>5</v>
      </c>
    </row>
    <row r="41" customFormat="false" ht="12" hidden="false" customHeight="true" outlineLevel="0" collapsed="false">
      <c r="B41" s="1" t="n">
        <v>2033</v>
      </c>
      <c r="C41" s="1" t="n">
        <f aca="false">C40*(1+D41/100)</f>
        <v>107.423578885943</v>
      </c>
      <c r="D41" s="1" t="n">
        <f aca="false">D35</f>
        <v>5</v>
      </c>
    </row>
    <row r="42" customFormat="false" ht="12" hidden="false" customHeight="true" outlineLevel="0" collapsed="false">
      <c r="B42" s="1" t="n">
        <v>2034</v>
      </c>
      <c r="C42" s="1" t="n">
        <f aca="false">C41*(1+D42/100)</f>
        <v>112.79475783024</v>
      </c>
      <c r="D42" s="1" t="n">
        <f aca="false">D35</f>
        <v>5</v>
      </c>
    </row>
    <row r="43" customFormat="false" ht="12" hidden="false" customHeight="true" outlineLevel="0" collapsed="false">
      <c r="B43" s="1" t="n">
        <v>2035</v>
      </c>
      <c r="C43" s="1" t="n">
        <f aca="false">C42*(1+D43/100)</f>
        <v>118.434495721752</v>
      </c>
      <c r="D43" s="1" t="n">
        <f aca="false">D35</f>
        <v>5</v>
      </c>
    </row>
    <row r="44" customFormat="false" ht="12" hidden="false" customHeight="true" outlineLevel="0" collapsed="false">
      <c r="B44" s="1" t="n">
        <v>2036</v>
      </c>
      <c r="C44" s="1" t="n">
        <f aca="false">C43*(1+D44/100)</f>
        <v>124.35622050784</v>
      </c>
      <c r="D44" s="1" t="n">
        <f aca="false">D35</f>
        <v>5</v>
      </c>
    </row>
    <row r="45" customFormat="false" ht="12" hidden="false" customHeight="true" outlineLevel="0" collapsed="false">
      <c r="B45" s="1" t="n">
        <v>2037</v>
      </c>
      <c r="C45" s="1" t="n">
        <f aca="false">C44*(1+D45/100)</f>
        <v>130.574031533232</v>
      </c>
      <c r="D45" s="1" t="n">
        <f aca="false">D35</f>
        <v>5</v>
      </c>
    </row>
    <row r="46" customFormat="false" ht="12" hidden="false" customHeight="true" outlineLevel="0" collapsed="false">
      <c r="B46" s="1" t="n">
        <v>2038</v>
      </c>
      <c r="C46" s="1" t="n">
        <f aca="false">C45*(1+D46/100)</f>
        <v>137.102733109893</v>
      </c>
      <c r="D46" s="1" t="n">
        <f aca="false">D35</f>
        <v>5</v>
      </c>
    </row>
    <row r="47" customFormat="false" ht="12" hidden="false" customHeight="true" outlineLevel="0" collapsed="false">
      <c r="B47" s="1" t="n">
        <v>2039</v>
      </c>
      <c r="C47" s="1" t="n">
        <f aca="false">C46*(1+D47/100)</f>
        <v>143.957869765388</v>
      </c>
      <c r="D47" s="1" t="n">
        <f aca="false">D35</f>
        <v>5</v>
      </c>
    </row>
    <row r="48" customFormat="false" ht="12" hidden="false" customHeight="true" outlineLevel="0" collapsed="false">
      <c r="B48" s="1" t="n">
        <v>2040</v>
      </c>
      <c r="C48" s="1" t="n">
        <f aca="false">C47*(1+D48/100)</f>
        <v>151.155763253657</v>
      </c>
      <c r="D48" s="1" t="n">
        <f aca="false">D35</f>
        <v>5</v>
      </c>
    </row>
    <row r="49" customFormat="false" ht="12" hidden="false" customHeight="true" outlineLevel="0" collapsed="false">
      <c r="B49" s="1" t="n">
        <v>2041</v>
      </c>
      <c r="C49" s="1" t="n">
        <f aca="false">C48*(1+D49/100)</f>
        <v>158.71355141634</v>
      </c>
      <c r="D49" s="1" t="n">
        <f aca="false">D35</f>
        <v>5</v>
      </c>
    </row>
    <row r="50" customFormat="false" ht="12" hidden="false" customHeight="true" outlineLevel="0" collapsed="false">
      <c r="B50" s="1" t="n">
        <v>2042</v>
      </c>
      <c r="C50" s="1" t="n">
        <f aca="false">C49*(1+D50/100)</f>
        <v>166.649228987157</v>
      </c>
      <c r="D50" s="1" t="n">
        <f aca="false">D35</f>
        <v>5</v>
      </c>
    </row>
    <row r="51" customFormat="false" ht="12" hidden="false" customHeight="true" outlineLevel="0" collapsed="false">
      <c r="B51" s="1" t="n">
        <v>2043</v>
      </c>
      <c r="C51" s="1" t="n">
        <f aca="false">C50*(1+D51/100)</f>
        <v>174.981690436515</v>
      </c>
      <c r="D51" s="1" t="n">
        <f aca="false">D35</f>
        <v>5</v>
      </c>
    </row>
    <row r="16385" customFormat="false" ht="12" hidden="false" customHeight="true" outlineLevel="0" collapsed="false">
      <c r="B16385" s="1" t="s">
        <v>33</v>
      </c>
      <c r="C16385" s="1" t="n">
        <v>915</v>
      </c>
      <c r="D16385" s="1" t="n">
        <v>915</v>
      </c>
    </row>
    <row r="16386" customFormat="false" ht="12" hidden="false" customHeight="true" outlineLevel="0" collapsed="false">
      <c r="B16386" s="1" t="s">
        <v>34</v>
      </c>
      <c r="C16386" s="1" t="s">
        <v>35</v>
      </c>
      <c r="D16386" s="1" t="s">
        <v>36</v>
      </c>
    </row>
    <row r="16387" customFormat="false" ht="12" hidden="false" customHeight="true" outlineLevel="0" collapsed="false">
      <c r="B16387" s="1" t="s">
        <v>37</v>
      </c>
      <c r="C16387" s="1" t="s">
        <v>38</v>
      </c>
      <c r="D16387" s="1" t="s">
        <v>38</v>
      </c>
    </row>
    <row r="16388" customFormat="false" ht="12" hidden="false" customHeight="true" outlineLevel="0" collapsed="false">
      <c r="B16388" s="1" t="s">
        <v>39</v>
      </c>
      <c r="C16388" s="1" t="s">
        <v>40</v>
      </c>
      <c r="D16388" s="1" t="s">
        <v>40</v>
      </c>
    </row>
    <row r="16389" customFormat="false" ht="12" hidden="false" customHeight="true" outlineLevel="0" collapsed="false">
      <c r="B16389" s="1" t="s">
        <v>41</v>
      </c>
      <c r="C16389" s="1" t="s">
        <v>42</v>
      </c>
      <c r="D16389" s="1" t="s">
        <v>43</v>
      </c>
    </row>
    <row r="16390" customFormat="false" ht="12" hidden="false" customHeight="true" outlineLevel="0" collapsed="false">
      <c r="B16390" s="1" t="s">
        <v>44</v>
      </c>
      <c r="C16390" s="1" t="s">
        <v>45</v>
      </c>
      <c r="D16390" s="1" t="s">
        <v>41</v>
      </c>
    </row>
    <row r="16391" customFormat="false" ht="12" hidden="false" customHeight="true" outlineLevel="0" collapsed="false">
      <c r="B16391" s="1" t="s">
        <v>46</v>
      </c>
      <c r="C16391" s="1" t="s">
        <v>47</v>
      </c>
      <c r="D16391" s="1" t="s">
        <v>48</v>
      </c>
    </row>
    <row r="16392" customFormat="false" ht="12" hidden="false" customHeight="tru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tru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tru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tru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tru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tru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tru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tru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tru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tru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tru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tru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tru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tru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tru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tru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tru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tru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tru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tru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tru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tru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tru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tru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tru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tru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tru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tru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true" outlineLevel="0" collapsed="false">
      <c r="B16420" s="1" t="s">
        <v>49</v>
      </c>
      <c r="C16420" s="1" t="n">
        <v>2024</v>
      </c>
      <c r="D16420" s="1" t="n">
        <v>2024</v>
      </c>
    </row>
    <row r="32769" customFormat="false" ht="12" hidden="false" customHeight="true" outlineLevel="0" collapsed="false">
      <c r="B32769" s="1" t="s">
        <v>33</v>
      </c>
      <c r="C32769" s="1" t="n">
        <v>915</v>
      </c>
      <c r="D32769" s="1" t="n">
        <v>915</v>
      </c>
    </row>
    <row r="32770" customFormat="false" ht="12" hidden="false" customHeight="true" outlineLevel="0" collapsed="false">
      <c r="B32770" s="1" t="s">
        <v>34</v>
      </c>
      <c r="C32770" s="1" t="s">
        <v>35</v>
      </c>
      <c r="D32770" s="1" t="s">
        <v>36</v>
      </c>
    </row>
    <row r="32771" customFormat="false" ht="12" hidden="false" customHeight="true" outlineLevel="0" collapsed="false">
      <c r="B32771" s="1" t="s">
        <v>37</v>
      </c>
      <c r="C32771" s="1" t="s">
        <v>38</v>
      </c>
      <c r="D32771" s="1" t="s">
        <v>38</v>
      </c>
    </row>
    <row r="32772" customFormat="false" ht="12" hidden="false" customHeight="true" outlineLevel="0" collapsed="false">
      <c r="B32772" s="1" t="s">
        <v>39</v>
      </c>
      <c r="C32772" s="1" t="s">
        <v>40</v>
      </c>
      <c r="D32772" s="1" t="s">
        <v>40</v>
      </c>
    </row>
    <row r="32773" customFormat="false" ht="12" hidden="false" customHeight="true" outlineLevel="0" collapsed="false">
      <c r="B32773" s="1" t="s">
        <v>41</v>
      </c>
      <c r="C32773" s="1" t="s">
        <v>42</v>
      </c>
      <c r="D32773" s="1" t="s">
        <v>43</v>
      </c>
    </row>
    <row r="32774" customFormat="false" ht="12" hidden="false" customHeight="true" outlineLevel="0" collapsed="false">
      <c r="B32774" s="1" t="s">
        <v>44</v>
      </c>
      <c r="C32774" s="1" t="s">
        <v>45</v>
      </c>
      <c r="D32774" s="1" t="s">
        <v>41</v>
      </c>
    </row>
    <row r="32775" customFormat="false" ht="12" hidden="false" customHeight="true" outlineLevel="0" collapsed="false">
      <c r="B32775" s="1" t="s">
        <v>46</v>
      </c>
      <c r="C32775" s="1" t="s">
        <v>47</v>
      </c>
      <c r="D32775" s="1" t="s">
        <v>48</v>
      </c>
    </row>
    <row r="32776" customFormat="false" ht="12" hidden="false" customHeight="tru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tru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tru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tru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tru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tru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tru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tru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tru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tru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tru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tru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tru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tru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tru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tru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tru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tru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tru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tru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tru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tru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tru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tru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tru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tru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tru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tru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true" outlineLevel="0" collapsed="false">
      <c r="B32804" s="1" t="s">
        <v>49</v>
      </c>
      <c r="C32804" s="1" t="n">
        <v>2024</v>
      </c>
      <c r="D32804" s="1" t="n">
        <v>2024</v>
      </c>
    </row>
    <row r="49153" customFormat="false" ht="12" hidden="false" customHeight="true" outlineLevel="0" collapsed="false">
      <c r="B49153" s="1" t="s">
        <v>33</v>
      </c>
      <c r="C49153" s="1" t="n">
        <v>915</v>
      </c>
      <c r="D49153" s="1" t="n">
        <v>915</v>
      </c>
    </row>
    <row r="49154" customFormat="false" ht="12" hidden="false" customHeight="true" outlineLevel="0" collapsed="false">
      <c r="B49154" s="1" t="s">
        <v>34</v>
      </c>
      <c r="C49154" s="1" t="s">
        <v>35</v>
      </c>
      <c r="D49154" s="1" t="s">
        <v>36</v>
      </c>
    </row>
    <row r="49155" customFormat="false" ht="12" hidden="false" customHeight="true" outlineLevel="0" collapsed="false">
      <c r="B49155" s="1" t="s">
        <v>37</v>
      </c>
      <c r="C49155" s="1" t="s">
        <v>38</v>
      </c>
      <c r="D49155" s="1" t="s">
        <v>38</v>
      </c>
    </row>
    <row r="49156" customFormat="false" ht="12" hidden="false" customHeight="true" outlineLevel="0" collapsed="false">
      <c r="B49156" s="1" t="s">
        <v>39</v>
      </c>
      <c r="C49156" s="1" t="s">
        <v>40</v>
      </c>
      <c r="D49156" s="1" t="s">
        <v>40</v>
      </c>
    </row>
    <row r="49157" customFormat="false" ht="12" hidden="false" customHeight="true" outlineLevel="0" collapsed="false">
      <c r="B49157" s="1" t="s">
        <v>41</v>
      </c>
      <c r="C49157" s="1" t="s">
        <v>42</v>
      </c>
      <c r="D49157" s="1" t="s">
        <v>43</v>
      </c>
    </row>
    <row r="49158" customFormat="false" ht="12" hidden="false" customHeight="true" outlineLevel="0" collapsed="false">
      <c r="B49158" s="1" t="s">
        <v>44</v>
      </c>
      <c r="C49158" s="1" t="s">
        <v>45</v>
      </c>
      <c r="D49158" s="1" t="s">
        <v>41</v>
      </c>
    </row>
    <row r="49159" customFormat="false" ht="12" hidden="false" customHeight="true" outlineLevel="0" collapsed="false">
      <c r="B49159" s="1" t="s">
        <v>46</v>
      </c>
      <c r="C49159" s="1" t="s">
        <v>47</v>
      </c>
      <c r="D49159" s="1" t="s">
        <v>48</v>
      </c>
    </row>
    <row r="49160" customFormat="false" ht="12" hidden="false" customHeight="tru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tru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tru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tru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tru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tru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tru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tru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tru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tru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tru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tru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tru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tru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tru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tru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tru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tru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tru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tru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tru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tru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tru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tru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tru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tru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tru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tru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true" outlineLevel="0" collapsed="false">
      <c r="B49188" s="1" t="s">
        <v>49</v>
      </c>
      <c r="C49188" s="1" t="n">
        <v>2024</v>
      </c>
      <c r="D49188" s="1" t="n">
        <v>2024</v>
      </c>
    </row>
    <row r="65537" customFormat="false" ht="12" hidden="false" customHeight="true" outlineLevel="0" collapsed="false">
      <c r="B65537" s="1" t="s">
        <v>33</v>
      </c>
      <c r="C65537" s="1" t="n">
        <v>915</v>
      </c>
      <c r="D65537" s="1" t="n">
        <v>915</v>
      </c>
    </row>
    <row r="65538" customFormat="false" ht="12" hidden="false" customHeight="true" outlineLevel="0" collapsed="false">
      <c r="B65538" s="1" t="s">
        <v>34</v>
      </c>
      <c r="C65538" s="1" t="s">
        <v>35</v>
      </c>
      <c r="D65538" s="1" t="s">
        <v>36</v>
      </c>
    </row>
    <row r="65539" customFormat="false" ht="12" hidden="false" customHeight="true" outlineLevel="0" collapsed="false">
      <c r="B65539" s="1" t="s">
        <v>37</v>
      </c>
      <c r="C65539" s="1" t="s">
        <v>38</v>
      </c>
      <c r="D65539" s="1" t="s">
        <v>38</v>
      </c>
    </row>
    <row r="65540" customFormat="false" ht="12" hidden="false" customHeight="true" outlineLevel="0" collapsed="false">
      <c r="B65540" s="1" t="s">
        <v>39</v>
      </c>
      <c r="C65540" s="1" t="s">
        <v>40</v>
      </c>
      <c r="D65540" s="1" t="s">
        <v>40</v>
      </c>
    </row>
    <row r="65541" customFormat="false" ht="12" hidden="false" customHeight="true" outlineLevel="0" collapsed="false">
      <c r="B65541" s="1" t="s">
        <v>41</v>
      </c>
      <c r="C65541" s="1" t="s">
        <v>42</v>
      </c>
      <c r="D65541" s="1" t="s">
        <v>43</v>
      </c>
    </row>
    <row r="65542" customFormat="false" ht="12" hidden="false" customHeight="true" outlineLevel="0" collapsed="false">
      <c r="B65542" s="1" t="s">
        <v>44</v>
      </c>
      <c r="C65542" s="1" t="s">
        <v>45</v>
      </c>
      <c r="D65542" s="1" t="s">
        <v>41</v>
      </c>
    </row>
    <row r="65543" customFormat="false" ht="12" hidden="false" customHeight="true" outlineLevel="0" collapsed="false">
      <c r="B65543" s="1" t="s">
        <v>46</v>
      </c>
      <c r="C65543" s="1" t="s">
        <v>47</v>
      </c>
      <c r="D65543" s="1" t="s">
        <v>48</v>
      </c>
    </row>
    <row r="65544" customFormat="false" ht="12" hidden="false" customHeight="tru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tru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tru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tru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tru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tru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tru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tru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tru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tru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tru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tru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tru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tru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tru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tru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tru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tru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tru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tru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tru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tru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tru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tru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tru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tru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tru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tru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true" outlineLevel="0" collapsed="false">
      <c r="B65572" s="1" t="s">
        <v>49</v>
      </c>
      <c r="C65572" s="1" t="n">
        <v>2024</v>
      </c>
      <c r="D65572" s="1" t="n">
        <v>2024</v>
      </c>
    </row>
    <row r="81921" customFormat="false" ht="12" hidden="false" customHeight="true" outlineLevel="0" collapsed="false">
      <c r="B81921" s="1" t="s">
        <v>33</v>
      </c>
      <c r="C81921" s="1" t="n">
        <v>915</v>
      </c>
      <c r="D81921" s="1" t="n">
        <v>915</v>
      </c>
    </row>
    <row r="81922" customFormat="false" ht="12" hidden="false" customHeight="true" outlineLevel="0" collapsed="false">
      <c r="B81922" s="1" t="s">
        <v>34</v>
      </c>
      <c r="C81922" s="1" t="s">
        <v>35</v>
      </c>
      <c r="D81922" s="1" t="s">
        <v>36</v>
      </c>
    </row>
    <row r="81923" customFormat="false" ht="12" hidden="false" customHeight="true" outlineLevel="0" collapsed="false">
      <c r="B81923" s="1" t="s">
        <v>37</v>
      </c>
      <c r="C81923" s="1" t="s">
        <v>38</v>
      </c>
      <c r="D81923" s="1" t="s">
        <v>38</v>
      </c>
    </row>
    <row r="81924" customFormat="false" ht="12" hidden="false" customHeight="true" outlineLevel="0" collapsed="false">
      <c r="B81924" s="1" t="s">
        <v>39</v>
      </c>
      <c r="C81924" s="1" t="s">
        <v>40</v>
      </c>
      <c r="D81924" s="1" t="s">
        <v>40</v>
      </c>
    </row>
    <row r="81925" customFormat="false" ht="12" hidden="false" customHeight="true" outlineLevel="0" collapsed="false">
      <c r="B81925" s="1" t="s">
        <v>41</v>
      </c>
      <c r="C81925" s="1" t="s">
        <v>42</v>
      </c>
      <c r="D81925" s="1" t="s">
        <v>43</v>
      </c>
    </row>
    <row r="81926" customFormat="false" ht="12" hidden="false" customHeight="true" outlineLevel="0" collapsed="false">
      <c r="B81926" s="1" t="s">
        <v>44</v>
      </c>
      <c r="C81926" s="1" t="s">
        <v>45</v>
      </c>
      <c r="D81926" s="1" t="s">
        <v>41</v>
      </c>
    </row>
    <row r="81927" customFormat="false" ht="12" hidden="false" customHeight="true" outlineLevel="0" collapsed="false">
      <c r="B81927" s="1" t="s">
        <v>46</v>
      </c>
      <c r="C81927" s="1" t="s">
        <v>47</v>
      </c>
      <c r="D81927" s="1" t="s">
        <v>48</v>
      </c>
    </row>
    <row r="81928" customFormat="false" ht="12" hidden="false" customHeight="tru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tru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tru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tru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tru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tru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tru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tru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tru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tru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tru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tru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tru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tru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tru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tru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tru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tru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tru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tru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tru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tru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tru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tru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tru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tru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tru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tru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true" outlineLevel="0" collapsed="false">
      <c r="B81956" s="1" t="s">
        <v>49</v>
      </c>
      <c r="C81956" s="1" t="n">
        <v>2024</v>
      </c>
      <c r="D81956" s="1" t="n">
        <v>2024</v>
      </c>
    </row>
    <row r="98305" customFormat="false" ht="12" hidden="false" customHeight="true" outlineLevel="0" collapsed="false">
      <c r="B98305" s="1" t="s">
        <v>33</v>
      </c>
      <c r="C98305" s="1" t="n">
        <v>915</v>
      </c>
      <c r="D98305" s="1" t="n">
        <v>915</v>
      </c>
    </row>
    <row r="98306" customFormat="false" ht="12" hidden="false" customHeight="true" outlineLevel="0" collapsed="false">
      <c r="B98306" s="1" t="s">
        <v>34</v>
      </c>
      <c r="C98306" s="1" t="s">
        <v>35</v>
      </c>
      <c r="D98306" s="1" t="s">
        <v>36</v>
      </c>
    </row>
    <row r="98307" customFormat="false" ht="12" hidden="false" customHeight="true" outlineLevel="0" collapsed="false">
      <c r="B98307" s="1" t="s">
        <v>37</v>
      </c>
      <c r="C98307" s="1" t="s">
        <v>38</v>
      </c>
      <c r="D98307" s="1" t="s">
        <v>38</v>
      </c>
    </row>
    <row r="98308" customFormat="false" ht="12" hidden="false" customHeight="true" outlineLevel="0" collapsed="false">
      <c r="B98308" s="1" t="s">
        <v>39</v>
      </c>
      <c r="C98308" s="1" t="s">
        <v>40</v>
      </c>
      <c r="D98308" s="1" t="s">
        <v>40</v>
      </c>
    </row>
    <row r="98309" customFormat="false" ht="12" hidden="false" customHeight="true" outlineLevel="0" collapsed="false">
      <c r="B98309" s="1" t="s">
        <v>41</v>
      </c>
      <c r="C98309" s="1" t="s">
        <v>42</v>
      </c>
      <c r="D98309" s="1" t="s">
        <v>43</v>
      </c>
    </row>
    <row r="98310" customFormat="false" ht="12" hidden="false" customHeight="true" outlineLevel="0" collapsed="false">
      <c r="B98310" s="1" t="s">
        <v>44</v>
      </c>
      <c r="C98310" s="1" t="s">
        <v>45</v>
      </c>
      <c r="D98310" s="1" t="s">
        <v>41</v>
      </c>
    </row>
    <row r="98311" customFormat="false" ht="12" hidden="false" customHeight="true" outlineLevel="0" collapsed="false">
      <c r="B98311" s="1" t="s">
        <v>46</v>
      </c>
      <c r="C98311" s="1" t="s">
        <v>47</v>
      </c>
      <c r="D98311" s="1" t="s">
        <v>48</v>
      </c>
    </row>
    <row r="98312" customFormat="false" ht="12" hidden="false" customHeight="tru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tru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tru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tru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tru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tru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tru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tru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tru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tru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tru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tru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tru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tru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tru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tru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tru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tru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tru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tru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tru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tru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tru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tru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tru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tru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tru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tru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true" outlineLevel="0" collapsed="false">
      <c r="B98340" s="1" t="s">
        <v>49</v>
      </c>
      <c r="C98340" s="1" t="n">
        <v>2024</v>
      </c>
      <c r="D98340" s="1" t="n">
        <v>2024</v>
      </c>
    </row>
    <row r="114689" customFormat="false" ht="12" hidden="false" customHeight="true" outlineLevel="0" collapsed="false">
      <c r="B114689" s="1" t="s">
        <v>33</v>
      </c>
      <c r="C114689" s="1" t="n">
        <v>915</v>
      </c>
      <c r="D114689" s="1" t="n">
        <v>915</v>
      </c>
    </row>
    <row r="114690" customFormat="false" ht="12" hidden="false" customHeight="true" outlineLevel="0" collapsed="false">
      <c r="B114690" s="1" t="s">
        <v>34</v>
      </c>
      <c r="C114690" s="1" t="s">
        <v>35</v>
      </c>
      <c r="D114690" s="1" t="s">
        <v>36</v>
      </c>
    </row>
    <row r="114691" customFormat="false" ht="12" hidden="false" customHeight="true" outlineLevel="0" collapsed="false">
      <c r="B114691" s="1" t="s">
        <v>37</v>
      </c>
      <c r="C114691" s="1" t="s">
        <v>38</v>
      </c>
      <c r="D114691" s="1" t="s">
        <v>38</v>
      </c>
    </row>
    <row r="114692" customFormat="false" ht="12" hidden="false" customHeight="true" outlineLevel="0" collapsed="false">
      <c r="B114692" s="1" t="s">
        <v>39</v>
      </c>
      <c r="C114692" s="1" t="s">
        <v>40</v>
      </c>
      <c r="D114692" s="1" t="s">
        <v>40</v>
      </c>
    </row>
    <row r="114693" customFormat="false" ht="12" hidden="false" customHeight="true" outlineLevel="0" collapsed="false">
      <c r="B114693" s="1" t="s">
        <v>41</v>
      </c>
      <c r="C114693" s="1" t="s">
        <v>42</v>
      </c>
      <c r="D114693" s="1" t="s">
        <v>43</v>
      </c>
    </row>
    <row r="114694" customFormat="false" ht="12" hidden="false" customHeight="true" outlineLevel="0" collapsed="false">
      <c r="B114694" s="1" t="s">
        <v>44</v>
      </c>
      <c r="C114694" s="1" t="s">
        <v>45</v>
      </c>
      <c r="D114694" s="1" t="s">
        <v>41</v>
      </c>
    </row>
    <row r="114695" customFormat="false" ht="12" hidden="false" customHeight="true" outlineLevel="0" collapsed="false">
      <c r="B114695" s="1" t="s">
        <v>46</v>
      </c>
      <c r="C114695" s="1" t="s">
        <v>47</v>
      </c>
      <c r="D114695" s="1" t="s">
        <v>48</v>
      </c>
    </row>
    <row r="114696" customFormat="false" ht="12" hidden="false" customHeight="tru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tru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tru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tru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tru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tru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tru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tru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tru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tru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tru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tru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tru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tru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tru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tru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tru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tru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tru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tru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tru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tru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tru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tru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tru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tru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tru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tru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true" outlineLevel="0" collapsed="false">
      <c r="B114724" s="1" t="s">
        <v>49</v>
      </c>
      <c r="C114724" s="1" t="n">
        <v>2024</v>
      </c>
      <c r="D114724" s="1" t="n">
        <v>2024</v>
      </c>
    </row>
    <row r="131073" customFormat="false" ht="12" hidden="false" customHeight="true" outlineLevel="0" collapsed="false">
      <c r="B131073" s="1" t="s">
        <v>33</v>
      </c>
      <c r="C131073" s="1" t="n">
        <v>915</v>
      </c>
      <c r="D131073" s="1" t="n">
        <v>915</v>
      </c>
    </row>
    <row r="131074" customFormat="false" ht="12" hidden="false" customHeight="true" outlineLevel="0" collapsed="false">
      <c r="B131074" s="1" t="s">
        <v>34</v>
      </c>
      <c r="C131074" s="1" t="s">
        <v>35</v>
      </c>
      <c r="D131074" s="1" t="s">
        <v>36</v>
      </c>
    </row>
    <row r="131075" customFormat="false" ht="12" hidden="false" customHeight="true" outlineLevel="0" collapsed="false">
      <c r="B131075" s="1" t="s">
        <v>37</v>
      </c>
      <c r="C131075" s="1" t="s">
        <v>38</v>
      </c>
      <c r="D131075" s="1" t="s">
        <v>38</v>
      </c>
    </row>
    <row r="131076" customFormat="false" ht="12" hidden="false" customHeight="true" outlineLevel="0" collapsed="false">
      <c r="B131076" s="1" t="s">
        <v>39</v>
      </c>
      <c r="C131076" s="1" t="s">
        <v>40</v>
      </c>
      <c r="D131076" s="1" t="s">
        <v>40</v>
      </c>
    </row>
    <row r="131077" customFormat="false" ht="12" hidden="false" customHeight="true" outlineLevel="0" collapsed="false">
      <c r="B131077" s="1" t="s">
        <v>41</v>
      </c>
      <c r="C131077" s="1" t="s">
        <v>42</v>
      </c>
      <c r="D131077" s="1" t="s">
        <v>43</v>
      </c>
    </row>
    <row r="131078" customFormat="false" ht="12" hidden="false" customHeight="true" outlineLevel="0" collapsed="false">
      <c r="B131078" s="1" t="s">
        <v>44</v>
      </c>
      <c r="C131078" s="1" t="s">
        <v>45</v>
      </c>
      <c r="D131078" s="1" t="s">
        <v>41</v>
      </c>
    </row>
    <row r="131079" customFormat="false" ht="12" hidden="false" customHeight="true" outlineLevel="0" collapsed="false">
      <c r="B131079" s="1" t="s">
        <v>46</v>
      </c>
      <c r="C131079" s="1" t="s">
        <v>47</v>
      </c>
      <c r="D131079" s="1" t="s">
        <v>48</v>
      </c>
    </row>
    <row r="131080" customFormat="false" ht="12" hidden="false" customHeight="tru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tru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tru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tru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tru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tru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tru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tru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tru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tru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tru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tru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tru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tru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tru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tru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tru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tru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tru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tru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tru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tru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tru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tru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tru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tru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tru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tru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true" outlineLevel="0" collapsed="false">
      <c r="B131108" s="1" t="s">
        <v>49</v>
      </c>
      <c r="C131108" s="1" t="n">
        <v>2024</v>
      </c>
      <c r="D131108" s="1" t="n">
        <v>2024</v>
      </c>
    </row>
    <row r="147457" customFormat="false" ht="12" hidden="false" customHeight="true" outlineLevel="0" collapsed="false">
      <c r="B147457" s="1" t="s">
        <v>33</v>
      </c>
      <c r="C147457" s="1" t="n">
        <v>915</v>
      </c>
      <c r="D147457" s="1" t="n">
        <v>915</v>
      </c>
    </row>
    <row r="147458" customFormat="false" ht="12" hidden="false" customHeight="true" outlineLevel="0" collapsed="false">
      <c r="B147458" s="1" t="s">
        <v>34</v>
      </c>
      <c r="C147458" s="1" t="s">
        <v>35</v>
      </c>
      <c r="D147458" s="1" t="s">
        <v>36</v>
      </c>
    </row>
    <row r="147459" customFormat="false" ht="12" hidden="false" customHeight="true" outlineLevel="0" collapsed="false">
      <c r="B147459" s="1" t="s">
        <v>37</v>
      </c>
      <c r="C147459" s="1" t="s">
        <v>38</v>
      </c>
      <c r="D147459" s="1" t="s">
        <v>38</v>
      </c>
    </row>
    <row r="147460" customFormat="false" ht="12" hidden="false" customHeight="true" outlineLevel="0" collapsed="false">
      <c r="B147460" s="1" t="s">
        <v>39</v>
      </c>
      <c r="C147460" s="1" t="s">
        <v>40</v>
      </c>
      <c r="D147460" s="1" t="s">
        <v>40</v>
      </c>
    </row>
    <row r="147461" customFormat="false" ht="12" hidden="false" customHeight="true" outlineLevel="0" collapsed="false">
      <c r="B147461" s="1" t="s">
        <v>41</v>
      </c>
      <c r="C147461" s="1" t="s">
        <v>42</v>
      </c>
      <c r="D147461" s="1" t="s">
        <v>43</v>
      </c>
    </row>
    <row r="147462" customFormat="false" ht="12" hidden="false" customHeight="true" outlineLevel="0" collapsed="false">
      <c r="B147462" s="1" t="s">
        <v>44</v>
      </c>
      <c r="C147462" s="1" t="s">
        <v>45</v>
      </c>
      <c r="D147462" s="1" t="s">
        <v>41</v>
      </c>
    </row>
    <row r="147463" customFormat="false" ht="12" hidden="false" customHeight="true" outlineLevel="0" collapsed="false">
      <c r="B147463" s="1" t="s">
        <v>46</v>
      </c>
      <c r="C147463" s="1" t="s">
        <v>47</v>
      </c>
      <c r="D147463" s="1" t="s">
        <v>48</v>
      </c>
    </row>
    <row r="147464" customFormat="false" ht="12" hidden="false" customHeight="tru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tru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tru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tru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tru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tru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tru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tru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tru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tru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tru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tru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tru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tru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tru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tru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tru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tru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tru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tru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tru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tru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tru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tru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tru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tru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tru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tru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true" outlineLevel="0" collapsed="false">
      <c r="B147492" s="1" t="s">
        <v>49</v>
      </c>
      <c r="C147492" s="1" t="n">
        <v>2024</v>
      </c>
      <c r="D147492" s="1" t="n">
        <v>2024</v>
      </c>
    </row>
    <row r="163841" customFormat="false" ht="12" hidden="false" customHeight="true" outlineLevel="0" collapsed="false">
      <c r="B163841" s="1" t="s">
        <v>33</v>
      </c>
      <c r="C163841" s="1" t="n">
        <v>915</v>
      </c>
      <c r="D163841" s="1" t="n">
        <v>915</v>
      </c>
    </row>
    <row r="163842" customFormat="false" ht="12" hidden="false" customHeight="true" outlineLevel="0" collapsed="false">
      <c r="B163842" s="1" t="s">
        <v>34</v>
      </c>
      <c r="C163842" s="1" t="s">
        <v>35</v>
      </c>
      <c r="D163842" s="1" t="s">
        <v>36</v>
      </c>
    </row>
    <row r="163843" customFormat="false" ht="12" hidden="false" customHeight="true" outlineLevel="0" collapsed="false">
      <c r="B163843" s="1" t="s">
        <v>37</v>
      </c>
      <c r="C163843" s="1" t="s">
        <v>38</v>
      </c>
      <c r="D163843" s="1" t="s">
        <v>38</v>
      </c>
    </row>
    <row r="163844" customFormat="false" ht="12" hidden="false" customHeight="true" outlineLevel="0" collapsed="false">
      <c r="B163844" s="1" t="s">
        <v>39</v>
      </c>
      <c r="C163844" s="1" t="s">
        <v>40</v>
      </c>
      <c r="D163844" s="1" t="s">
        <v>40</v>
      </c>
    </row>
    <row r="163845" customFormat="false" ht="12" hidden="false" customHeight="true" outlineLevel="0" collapsed="false">
      <c r="B163845" s="1" t="s">
        <v>41</v>
      </c>
      <c r="C163845" s="1" t="s">
        <v>42</v>
      </c>
      <c r="D163845" s="1" t="s">
        <v>43</v>
      </c>
    </row>
    <row r="163846" customFormat="false" ht="12" hidden="false" customHeight="true" outlineLevel="0" collapsed="false">
      <c r="B163846" s="1" t="s">
        <v>44</v>
      </c>
      <c r="C163846" s="1" t="s">
        <v>45</v>
      </c>
      <c r="D163846" s="1" t="s">
        <v>41</v>
      </c>
    </row>
    <row r="163847" customFormat="false" ht="12" hidden="false" customHeight="true" outlineLevel="0" collapsed="false">
      <c r="B163847" s="1" t="s">
        <v>46</v>
      </c>
      <c r="C163847" s="1" t="s">
        <v>47</v>
      </c>
      <c r="D163847" s="1" t="s">
        <v>48</v>
      </c>
    </row>
    <row r="163848" customFormat="false" ht="12" hidden="false" customHeight="tru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tru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tru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tru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tru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tru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tru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tru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tru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tru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tru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tru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tru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tru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tru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tru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tru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tru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tru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tru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tru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tru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tru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tru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tru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tru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tru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tru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true" outlineLevel="0" collapsed="false">
      <c r="B163876" s="1" t="s">
        <v>49</v>
      </c>
      <c r="C163876" s="1" t="n">
        <v>2024</v>
      </c>
      <c r="D163876" s="1" t="n">
        <v>2024</v>
      </c>
    </row>
    <row r="180225" customFormat="false" ht="12" hidden="false" customHeight="true" outlineLevel="0" collapsed="false">
      <c r="B180225" s="1" t="s">
        <v>33</v>
      </c>
      <c r="C180225" s="1" t="n">
        <v>915</v>
      </c>
      <c r="D180225" s="1" t="n">
        <v>915</v>
      </c>
    </row>
    <row r="180226" customFormat="false" ht="12" hidden="false" customHeight="true" outlineLevel="0" collapsed="false">
      <c r="B180226" s="1" t="s">
        <v>34</v>
      </c>
      <c r="C180226" s="1" t="s">
        <v>35</v>
      </c>
      <c r="D180226" s="1" t="s">
        <v>36</v>
      </c>
    </row>
    <row r="180227" customFormat="false" ht="12" hidden="false" customHeight="true" outlineLevel="0" collapsed="false">
      <c r="B180227" s="1" t="s">
        <v>37</v>
      </c>
      <c r="C180227" s="1" t="s">
        <v>38</v>
      </c>
      <c r="D180227" s="1" t="s">
        <v>38</v>
      </c>
    </row>
    <row r="180228" customFormat="false" ht="12" hidden="false" customHeight="true" outlineLevel="0" collapsed="false">
      <c r="B180228" s="1" t="s">
        <v>39</v>
      </c>
      <c r="C180228" s="1" t="s">
        <v>40</v>
      </c>
      <c r="D180228" s="1" t="s">
        <v>40</v>
      </c>
    </row>
    <row r="180229" customFormat="false" ht="12" hidden="false" customHeight="true" outlineLevel="0" collapsed="false">
      <c r="B180229" s="1" t="s">
        <v>41</v>
      </c>
      <c r="C180229" s="1" t="s">
        <v>42</v>
      </c>
      <c r="D180229" s="1" t="s">
        <v>43</v>
      </c>
    </row>
    <row r="180230" customFormat="false" ht="12" hidden="false" customHeight="true" outlineLevel="0" collapsed="false">
      <c r="B180230" s="1" t="s">
        <v>44</v>
      </c>
      <c r="C180230" s="1" t="s">
        <v>45</v>
      </c>
      <c r="D180230" s="1" t="s">
        <v>41</v>
      </c>
    </row>
    <row r="180231" customFormat="false" ht="12" hidden="false" customHeight="true" outlineLevel="0" collapsed="false">
      <c r="B180231" s="1" t="s">
        <v>46</v>
      </c>
      <c r="C180231" s="1" t="s">
        <v>47</v>
      </c>
      <c r="D180231" s="1" t="s">
        <v>48</v>
      </c>
    </row>
    <row r="180232" customFormat="false" ht="12" hidden="false" customHeight="tru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tru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tru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tru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tru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tru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tru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tru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tru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tru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tru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tru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tru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tru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tru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tru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tru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tru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tru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tru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tru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tru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tru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tru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tru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tru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tru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tru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true" outlineLevel="0" collapsed="false">
      <c r="B180260" s="1" t="s">
        <v>49</v>
      </c>
      <c r="C180260" s="1" t="n">
        <v>2024</v>
      </c>
      <c r="D180260" s="1" t="n">
        <v>2024</v>
      </c>
    </row>
    <row r="196609" customFormat="false" ht="12" hidden="false" customHeight="true" outlineLevel="0" collapsed="false">
      <c r="B196609" s="1" t="s">
        <v>33</v>
      </c>
      <c r="C196609" s="1" t="n">
        <v>915</v>
      </c>
      <c r="D196609" s="1" t="n">
        <v>915</v>
      </c>
    </row>
    <row r="196610" customFormat="false" ht="12" hidden="false" customHeight="true" outlineLevel="0" collapsed="false">
      <c r="B196610" s="1" t="s">
        <v>34</v>
      </c>
      <c r="C196610" s="1" t="s">
        <v>35</v>
      </c>
      <c r="D196610" s="1" t="s">
        <v>36</v>
      </c>
    </row>
    <row r="196611" customFormat="false" ht="12" hidden="false" customHeight="true" outlineLevel="0" collapsed="false">
      <c r="B196611" s="1" t="s">
        <v>37</v>
      </c>
      <c r="C196611" s="1" t="s">
        <v>38</v>
      </c>
      <c r="D196611" s="1" t="s">
        <v>38</v>
      </c>
    </row>
    <row r="196612" customFormat="false" ht="12" hidden="false" customHeight="true" outlineLevel="0" collapsed="false">
      <c r="B196612" s="1" t="s">
        <v>39</v>
      </c>
      <c r="C196612" s="1" t="s">
        <v>40</v>
      </c>
      <c r="D196612" s="1" t="s">
        <v>40</v>
      </c>
    </row>
    <row r="196613" customFormat="false" ht="12" hidden="false" customHeight="true" outlineLevel="0" collapsed="false">
      <c r="B196613" s="1" t="s">
        <v>41</v>
      </c>
      <c r="C196613" s="1" t="s">
        <v>42</v>
      </c>
      <c r="D196613" s="1" t="s">
        <v>43</v>
      </c>
    </row>
    <row r="196614" customFormat="false" ht="12" hidden="false" customHeight="true" outlineLevel="0" collapsed="false">
      <c r="B196614" s="1" t="s">
        <v>44</v>
      </c>
      <c r="C196614" s="1" t="s">
        <v>45</v>
      </c>
      <c r="D196614" s="1" t="s">
        <v>41</v>
      </c>
    </row>
    <row r="196615" customFormat="false" ht="12" hidden="false" customHeight="true" outlineLevel="0" collapsed="false">
      <c r="B196615" s="1" t="s">
        <v>46</v>
      </c>
      <c r="C196615" s="1" t="s">
        <v>47</v>
      </c>
      <c r="D196615" s="1" t="s">
        <v>48</v>
      </c>
    </row>
    <row r="196616" customFormat="false" ht="12" hidden="false" customHeight="tru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tru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tru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tru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tru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tru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tru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tru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tru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tru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tru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tru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tru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tru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tru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tru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tru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tru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tru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tru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tru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tru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tru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tru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tru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tru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tru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tru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true" outlineLevel="0" collapsed="false">
      <c r="B196644" s="1" t="s">
        <v>49</v>
      </c>
      <c r="C196644" s="1" t="n">
        <v>2024</v>
      </c>
      <c r="D196644" s="1" t="n">
        <v>2024</v>
      </c>
    </row>
    <row r="212993" customFormat="false" ht="12" hidden="false" customHeight="true" outlineLevel="0" collapsed="false">
      <c r="B212993" s="1" t="s">
        <v>33</v>
      </c>
      <c r="C212993" s="1" t="n">
        <v>915</v>
      </c>
      <c r="D212993" s="1" t="n">
        <v>915</v>
      </c>
    </row>
    <row r="212994" customFormat="false" ht="12" hidden="false" customHeight="true" outlineLevel="0" collapsed="false">
      <c r="B212994" s="1" t="s">
        <v>34</v>
      </c>
      <c r="C212994" s="1" t="s">
        <v>35</v>
      </c>
      <c r="D212994" s="1" t="s">
        <v>36</v>
      </c>
    </row>
    <row r="212995" customFormat="false" ht="12" hidden="false" customHeight="true" outlineLevel="0" collapsed="false">
      <c r="B212995" s="1" t="s">
        <v>37</v>
      </c>
      <c r="C212995" s="1" t="s">
        <v>38</v>
      </c>
      <c r="D212995" s="1" t="s">
        <v>38</v>
      </c>
    </row>
    <row r="212996" customFormat="false" ht="12" hidden="false" customHeight="true" outlineLevel="0" collapsed="false">
      <c r="B212996" s="1" t="s">
        <v>39</v>
      </c>
      <c r="C212996" s="1" t="s">
        <v>40</v>
      </c>
      <c r="D212996" s="1" t="s">
        <v>40</v>
      </c>
    </row>
    <row r="212997" customFormat="false" ht="12" hidden="false" customHeight="true" outlineLevel="0" collapsed="false">
      <c r="B212997" s="1" t="s">
        <v>41</v>
      </c>
      <c r="C212997" s="1" t="s">
        <v>42</v>
      </c>
      <c r="D212997" s="1" t="s">
        <v>43</v>
      </c>
    </row>
    <row r="212998" customFormat="false" ht="12" hidden="false" customHeight="true" outlineLevel="0" collapsed="false">
      <c r="B212998" s="1" t="s">
        <v>44</v>
      </c>
      <c r="C212998" s="1" t="s">
        <v>45</v>
      </c>
      <c r="D212998" s="1" t="s">
        <v>41</v>
      </c>
    </row>
    <row r="212999" customFormat="false" ht="12" hidden="false" customHeight="true" outlineLevel="0" collapsed="false">
      <c r="B212999" s="1" t="s">
        <v>46</v>
      </c>
      <c r="C212999" s="1" t="s">
        <v>47</v>
      </c>
      <c r="D212999" s="1" t="s">
        <v>48</v>
      </c>
    </row>
    <row r="213000" customFormat="false" ht="12" hidden="false" customHeight="tru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tru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tru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tru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tru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tru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tru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tru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tru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tru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tru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tru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tru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tru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tru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tru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tru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tru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tru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tru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tru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tru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tru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tru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tru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tru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tru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tru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true" outlineLevel="0" collapsed="false">
      <c r="B213028" s="1" t="s">
        <v>49</v>
      </c>
      <c r="C213028" s="1" t="n">
        <v>2024</v>
      </c>
      <c r="D213028" s="1" t="n">
        <v>2024</v>
      </c>
    </row>
    <row r="229377" customFormat="false" ht="12" hidden="false" customHeight="true" outlineLevel="0" collapsed="false">
      <c r="B229377" s="1" t="s">
        <v>33</v>
      </c>
      <c r="C229377" s="1" t="n">
        <v>915</v>
      </c>
      <c r="D229377" s="1" t="n">
        <v>915</v>
      </c>
    </row>
    <row r="229378" customFormat="false" ht="12" hidden="false" customHeight="true" outlineLevel="0" collapsed="false">
      <c r="B229378" s="1" t="s">
        <v>34</v>
      </c>
      <c r="C229378" s="1" t="s">
        <v>35</v>
      </c>
      <c r="D229378" s="1" t="s">
        <v>36</v>
      </c>
    </row>
    <row r="229379" customFormat="false" ht="12" hidden="false" customHeight="true" outlineLevel="0" collapsed="false">
      <c r="B229379" s="1" t="s">
        <v>37</v>
      </c>
      <c r="C229379" s="1" t="s">
        <v>38</v>
      </c>
      <c r="D229379" s="1" t="s">
        <v>38</v>
      </c>
    </row>
    <row r="229380" customFormat="false" ht="12" hidden="false" customHeight="true" outlineLevel="0" collapsed="false">
      <c r="B229380" s="1" t="s">
        <v>39</v>
      </c>
      <c r="C229380" s="1" t="s">
        <v>40</v>
      </c>
      <c r="D229380" s="1" t="s">
        <v>40</v>
      </c>
    </row>
    <row r="229381" customFormat="false" ht="12" hidden="false" customHeight="true" outlineLevel="0" collapsed="false">
      <c r="B229381" s="1" t="s">
        <v>41</v>
      </c>
      <c r="C229381" s="1" t="s">
        <v>42</v>
      </c>
      <c r="D229381" s="1" t="s">
        <v>43</v>
      </c>
    </row>
    <row r="229382" customFormat="false" ht="12" hidden="false" customHeight="true" outlineLevel="0" collapsed="false">
      <c r="B229382" s="1" t="s">
        <v>44</v>
      </c>
      <c r="C229382" s="1" t="s">
        <v>45</v>
      </c>
      <c r="D229382" s="1" t="s">
        <v>41</v>
      </c>
    </row>
    <row r="229383" customFormat="false" ht="12" hidden="false" customHeight="true" outlineLevel="0" collapsed="false">
      <c r="B229383" s="1" t="s">
        <v>46</v>
      </c>
      <c r="C229383" s="1" t="s">
        <v>47</v>
      </c>
      <c r="D229383" s="1" t="s">
        <v>48</v>
      </c>
    </row>
    <row r="229384" customFormat="false" ht="12" hidden="false" customHeight="tru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tru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tru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tru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tru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tru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tru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tru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tru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tru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tru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tru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tru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tru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tru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tru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tru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tru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tru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tru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tru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tru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tru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tru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tru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tru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tru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tru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true" outlineLevel="0" collapsed="false">
      <c r="B229412" s="1" t="s">
        <v>49</v>
      </c>
      <c r="C229412" s="1" t="n">
        <v>2024</v>
      </c>
      <c r="D229412" s="1" t="n">
        <v>2024</v>
      </c>
    </row>
    <row r="245761" customFormat="false" ht="12" hidden="false" customHeight="true" outlineLevel="0" collapsed="false">
      <c r="B245761" s="1" t="s">
        <v>33</v>
      </c>
      <c r="C245761" s="1" t="n">
        <v>915</v>
      </c>
      <c r="D245761" s="1" t="n">
        <v>915</v>
      </c>
    </row>
    <row r="245762" customFormat="false" ht="12" hidden="false" customHeight="true" outlineLevel="0" collapsed="false">
      <c r="B245762" s="1" t="s">
        <v>34</v>
      </c>
      <c r="C245762" s="1" t="s">
        <v>35</v>
      </c>
      <c r="D245762" s="1" t="s">
        <v>36</v>
      </c>
    </row>
    <row r="245763" customFormat="false" ht="12" hidden="false" customHeight="true" outlineLevel="0" collapsed="false">
      <c r="B245763" s="1" t="s">
        <v>37</v>
      </c>
      <c r="C245763" s="1" t="s">
        <v>38</v>
      </c>
      <c r="D245763" s="1" t="s">
        <v>38</v>
      </c>
    </row>
    <row r="245764" customFormat="false" ht="12" hidden="false" customHeight="true" outlineLevel="0" collapsed="false">
      <c r="B245764" s="1" t="s">
        <v>39</v>
      </c>
      <c r="C245764" s="1" t="s">
        <v>40</v>
      </c>
      <c r="D245764" s="1" t="s">
        <v>40</v>
      </c>
    </row>
    <row r="245765" customFormat="false" ht="12" hidden="false" customHeight="true" outlineLevel="0" collapsed="false">
      <c r="B245765" s="1" t="s">
        <v>41</v>
      </c>
      <c r="C245765" s="1" t="s">
        <v>42</v>
      </c>
      <c r="D245765" s="1" t="s">
        <v>43</v>
      </c>
    </row>
    <row r="245766" customFormat="false" ht="12" hidden="false" customHeight="true" outlineLevel="0" collapsed="false">
      <c r="B245766" s="1" t="s">
        <v>44</v>
      </c>
      <c r="C245766" s="1" t="s">
        <v>45</v>
      </c>
      <c r="D245766" s="1" t="s">
        <v>41</v>
      </c>
    </row>
    <row r="245767" customFormat="false" ht="12" hidden="false" customHeight="true" outlineLevel="0" collapsed="false">
      <c r="B245767" s="1" t="s">
        <v>46</v>
      </c>
      <c r="C245767" s="1" t="s">
        <v>47</v>
      </c>
      <c r="D245767" s="1" t="s">
        <v>48</v>
      </c>
    </row>
    <row r="245768" customFormat="false" ht="12" hidden="false" customHeight="tru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tru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tru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tru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tru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tru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tru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tru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tru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tru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tru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tru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tru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tru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tru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tru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tru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tru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tru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tru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tru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tru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tru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tru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tru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tru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tru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tru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true" outlineLevel="0" collapsed="false">
      <c r="B245796" s="1" t="s">
        <v>49</v>
      </c>
      <c r="C245796" s="1" t="n">
        <v>2024</v>
      </c>
      <c r="D245796" s="1" t="n">
        <v>2024</v>
      </c>
    </row>
    <row r="262145" customFormat="false" ht="12" hidden="false" customHeight="true" outlineLevel="0" collapsed="false">
      <c r="B262145" s="1" t="s">
        <v>33</v>
      </c>
      <c r="C262145" s="1" t="n">
        <v>915</v>
      </c>
      <c r="D262145" s="1" t="n">
        <v>915</v>
      </c>
    </row>
    <row r="262146" customFormat="false" ht="12" hidden="false" customHeight="true" outlineLevel="0" collapsed="false">
      <c r="B262146" s="1" t="s">
        <v>34</v>
      </c>
      <c r="C262146" s="1" t="s">
        <v>35</v>
      </c>
      <c r="D262146" s="1" t="s">
        <v>36</v>
      </c>
    </row>
    <row r="262147" customFormat="false" ht="12" hidden="false" customHeight="true" outlineLevel="0" collapsed="false">
      <c r="B262147" s="1" t="s">
        <v>37</v>
      </c>
      <c r="C262147" s="1" t="s">
        <v>38</v>
      </c>
      <c r="D262147" s="1" t="s">
        <v>38</v>
      </c>
    </row>
    <row r="262148" customFormat="false" ht="12" hidden="false" customHeight="true" outlineLevel="0" collapsed="false">
      <c r="B262148" s="1" t="s">
        <v>39</v>
      </c>
      <c r="C262148" s="1" t="s">
        <v>40</v>
      </c>
      <c r="D262148" s="1" t="s">
        <v>40</v>
      </c>
    </row>
    <row r="262149" customFormat="false" ht="12" hidden="false" customHeight="true" outlineLevel="0" collapsed="false">
      <c r="B262149" s="1" t="s">
        <v>41</v>
      </c>
      <c r="C262149" s="1" t="s">
        <v>42</v>
      </c>
      <c r="D262149" s="1" t="s">
        <v>43</v>
      </c>
    </row>
    <row r="262150" customFormat="false" ht="12" hidden="false" customHeight="true" outlineLevel="0" collapsed="false">
      <c r="B262150" s="1" t="s">
        <v>44</v>
      </c>
      <c r="C262150" s="1" t="s">
        <v>45</v>
      </c>
      <c r="D262150" s="1" t="s">
        <v>41</v>
      </c>
    </row>
    <row r="262151" customFormat="false" ht="12" hidden="false" customHeight="true" outlineLevel="0" collapsed="false">
      <c r="B262151" s="1" t="s">
        <v>46</v>
      </c>
      <c r="C262151" s="1" t="s">
        <v>47</v>
      </c>
      <c r="D262151" s="1" t="s">
        <v>48</v>
      </c>
    </row>
    <row r="262152" customFormat="false" ht="12" hidden="false" customHeight="tru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tru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tru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tru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tru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tru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tru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tru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tru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tru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tru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tru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tru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tru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tru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tru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tru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tru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tru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tru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tru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tru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tru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tru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tru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tru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tru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tru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true" outlineLevel="0" collapsed="false">
      <c r="B262180" s="1" t="s">
        <v>49</v>
      </c>
      <c r="C262180" s="1" t="n">
        <v>2024</v>
      </c>
      <c r="D262180" s="1" t="n">
        <v>2024</v>
      </c>
    </row>
    <row r="278529" customFormat="false" ht="12" hidden="false" customHeight="true" outlineLevel="0" collapsed="false">
      <c r="B278529" s="1" t="s">
        <v>33</v>
      </c>
      <c r="C278529" s="1" t="n">
        <v>915</v>
      </c>
      <c r="D278529" s="1" t="n">
        <v>915</v>
      </c>
    </row>
    <row r="278530" customFormat="false" ht="12" hidden="false" customHeight="true" outlineLevel="0" collapsed="false">
      <c r="B278530" s="1" t="s">
        <v>34</v>
      </c>
      <c r="C278530" s="1" t="s">
        <v>35</v>
      </c>
      <c r="D278530" s="1" t="s">
        <v>36</v>
      </c>
    </row>
    <row r="278531" customFormat="false" ht="12" hidden="false" customHeight="true" outlineLevel="0" collapsed="false">
      <c r="B278531" s="1" t="s">
        <v>37</v>
      </c>
      <c r="C278531" s="1" t="s">
        <v>38</v>
      </c>
      <c r="D278531" s="1" t="s">
        <v>38</v>
      </c>
    </row>
    <row r="278532" customFormat="false" ht="12" hidden="false" customHeight="true" outlineLevel="0" collapsed="false">
      <c r="B278532" s="1" t="s">
        <v>39</v>
      </c>
      <c r="C278532" s="1" t="s">
        <v>40</v>
      </c>
      <c r="D278532" s="1" t="s">
        <v>40</v>
      </c>
    </row>
    <row r="278533" customFormat="false" ht="12" hidden="false" customHeight="true" outlineLevel="0" collapsed="false">
      <c r="B278533" s="1" t="s">
        <v>41</v>
      </c>
      <c r="C278533" s="1" t="s">
        <v>42</v>
      </c>
      <c r="D278533" s="1" t="s">
        <v>43</v>
      </c>
    </row>
    <row r="278534" customFormat="false" ht="12" hidden="false" customHeight="true" outlineLevel="0" collapsed="false">
      <c r="B278534" s="1" t="s">
        <v>44</v>
      </c>
      <c r="C278534" s="1" t="s">
        <v>45</v>
      </c>
      <c r="D278534" s="1" t="s">
        <v>41</v>
      </c>
    </row>
    <row r="278535" customFormat="false" ht="12" hidden="false" customHeight="true" outlineLevel="0" collapsed="false">
      <c r="B278535" s="1" t="s">
        <v>46</v>
      </c>
      <c r="C278535" s="1" t="s">
        <v>47</v>
      </c>
      <c r="D278535" s="1" t="s">
        <v>48</v>
      </c>
    </row>
    <row r="278536" customFormat="false" ht="12" hidden="false" customHeight="tru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tru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tru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tru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tru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tru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tru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tru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tru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tru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tru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tru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tru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tru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tru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tru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tru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tru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tru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tru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tru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tru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tru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tru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tru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tru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tru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tru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true" outlineLevel="0" collapsed="false">
      <c r="B278564" s="1" t="s">
        <v>49</v>
      </c>
      <c r="C278564" s="1" t="n">
        <v>2024</v>
      </c>
      <c r="D278564" s="1" t="n">
        <v>2024</v>
      </c>
    </row>
    <row r="294913" customFormat="false" ht="12" hidden="false" customHeight="true" outlineLevel="0" collapsed="false">
      <c r="B294913" s="1" t="s">
        <v>33</v>
      </c>
      <c r="C294913" s="1" t="n">
        <v>915</v>
      </c>
      <c r="D294913" s="1" t="n">
        <v>915</v>
      </c>
    </row>
    <row r="294914" customFormat="false" ht="12" hidden="false" customHeight="true" outlineLevel="0" collapsed="false">
      <c r="B294914" s="1" t="s">
        <v>34</v>
      </c>
      <c r="C294914" s="1" t="s">
        <v>35</v>
      </c>
      <c r="D294914" s="1" t="s">
        <v>36</v>
      </c>
    </row>
    <row r="294915" customFormat="false" ht="12" hidden="false" customHeight="true" outlineLevel="0" collapsed="false">
      <c r="B294915" s="1" t="s">
        <v>37</v>
      </c>
      <c r="C294915" s="1" t="s">
        <v>38</v>
      </c>
      <c r="D294915" s="1" t="s">
        <v>38</v>
      </c>
    </row>
    <row r="294916" customFormat="false" ht="12" hidden="false" customHeight="true" outlineLevel="0" collapsed="false">
      <c r="B294916" s="1" t="s">
        <v>39</v>
      </c>
      <c r="C294916" s="1" t="s">
        <v>40</v>
      </c>
      <c r="D294916" s="1" t="s">
        <v>40</v>
      </c>
    </row>
    <row r="294917" customFormat="false" ht="12" hidden="false" customHeight="true" outlineLevel="0" collapsed="false">
      <c r="B294917" s="1" t="s">
        <v>41</v>
      </c>
      <c r="C294917" s="1" t="s">
        <v>42</v>
      </c>
      <c r="D294917" s="1" t="s">
        <v>43</v>
      </c>
    </row>
    <row r="294918" customFormat="false" ht="12" hidden="false" customHeight="true" outlineLevel="0" collapsed="false">
      <c r="B294918" s="1" t="s">
        <v>44</v>
      </c>
      <c r="C294918" s="1" t="s">
        <v>45</v>
      </c>
      <c r="D294918" s="1" t="s">
        <v>41</v>
      </c>
    </row>
    <row r="294919" customFormat="false" ht="12" hidden="false" customHeight="true" outlineLevel="0" collapsed="false">
      <c r="B294919" s="1" t="s">
        <v>46</v>
      </c>
      <c r="C294919" s="1" t="s">
        <v>47</v>
      </c>
      <c r="D294919" s="1" t="s">
        <v>48</v>
      </c>
    </row>
    <row r="294920" customFormat="false" ht="12" hidden="false" customHeight="tru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tru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tru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tru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tru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tru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tru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tru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tru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tru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tru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tru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tru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tru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tru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tru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tru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tru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tru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tru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tru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tru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tru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tru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tru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tru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tru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tru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true" outlineLevel="0" collapsed="false">
      <c r="B294948" s="1" t="s">
        <v>49</v>
      </c>
      <c r="C294948" s="1" t="n">
        <v>2024</v>
      </c>
      <c r="D294948" s="1" t="n">
        <v>2024</v>
      </c>
    </row>
    <row r="311297" customFormat="false" ht="12" hidden="false" customHeight="true" outlineLevel="0" collapsed="false">
      <c r="B311297" s="1" t="s">
        <v>33</v>
      </c>
      <c r="C311297" s="1" t="n">
        <v>915</v>
      </c>
      <c r="D311297" s="1" t="n">
        <v>915</v>
      </c>
    </row>
    <row r="311298" customFormat="false" ht="12" hidden="false" customHeight="true" outlineLevel="0" collapsed="false">
      <c r="B311298" s="1" t="s">
        <v>34</v>
      </c>
      <c r="C311298" s="1" t="s">
        <v>35</v>
      </c>
      <c r="D311298" s="1" t="s">
        <v>36</v>
      </c>
    </row>
    <row r="311299" customFormat="false" ht="12" hidden="false" customHeight="true" outlineLevel="0" collapsed="false">
      <c r="B311299" s="1" t="s">
        <v>37</v>
      </c>
      <c r="C311299" s="1" t="s">
        <v>38</v>
      </c>
      <c r="D311299" s="1" t="s">
        <v>38</v>
      </c>
    </row>
    <row r="311300" customFormat="false" ht="12" hidden="false" customHeight="true" outlineLevel="0" collapsed="false">
      <c r="B311300" s="1" t="s">
        <v>39</v>
      </c>
      <c r="C311300" s="1" t="s">
        <v>40</v>
      </c>
      <c r="D311300" s="1" t="s">
        <v>40</v>
      </c>
    </row>
    <row r="311301" customFormat="false" ht="12" hidden="false" customHeight="true" outlineLevel="0" collapsed="false">
      <c r="B311301" s="1" t="s">
        <v>41</v>
      </c>
      <c r="C311301" s="1" t="s">
        <v>42</v>
      </c>
      <c r="D311301" s="1" t="s">
        <v>43</v>
      </c>
    </row>
    <row r="311302" customFormat="false" ht="12" hidden="false" customHeight="true" outlineLevel="0" collapsed="false">
      <c r="B311302" s="1" t="s">
        <v>44</v>
      </c>
      <c r="C311302" s="1" t="s">
        <v>45</v>
      </c>
      <c r="D311302" s="1" t="s">
        <v>41</v>
      </c>
    </row>
    <row r="311303" customFormat="false" ht="12" hidden="false" customHeight="true" outlineLevel="0" collapsed="false">
      <c r="B311303" s="1" t="s">
        <v>46</v>
      </c>
      <c r="C311303" s="1" t="s">
        <v>47</v>
      </c>
      <c r="D311303" s="1" t="s">
        <v>48</v>
      </c>
    </row>
    <row r="311304" customFormat="false" ht="12" hidden="false" customHeight="tru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tru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tru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tru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tru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tru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tru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tru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tru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tru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tru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tru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tru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tru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tru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tru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tru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tru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tru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tru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tru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tru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tru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tru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tru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tru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tru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tru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true" outlineLevel="0" collapsed="false">
      <c r="B311332" s="1" t="s">
        <v>49</v>
      </c>
      <c r="C311332" s="1" t="n">
        <v>2024</v>
      </c>
      <c r="D311332" s="1" t="n">
        <v>2024</v>
      </c>
    </row>
    <row r="327681" customFormat="false" ht="12" hidden="false" customHeight="true" outlineLevel="0" collapsed="false">
      <c r="B327681" s="1" t="s">
        <v>33</v>
      </c>
      <c r="C327681" s="1" t="n">
        <v>915</v>
      </c>
      <c r="D327681" s="1" t="n">
        <v>915</v>
      </c>
    </row>
    <row r="327682" customFormat="false" ht="12" hidden="false" customHeight="true" outlineLevel="0" collapsed="false">
      <c r="B327682" s="1" t="s">
        <v>34</v>
      </c>
      <c r="C327682" s="1" t="s">
        <v>35</v>
      </c>
      <c r="D327682" s="1" t="s">
        <v>36</v>
      </c>
    </row>
    <row r="327683" customFormat="false" ht="12" hidden="false" customHeight="true" outlineLevel="0" collapsed="false">
      <c r="B327683" s="1" t="s">
        <v>37</v>
      </c>
      <c r="C327683" s="1" t="s">
        <v>38</v>
      </c>
      <c r="D327683" s="1" t="s">
        <v>38</v>
      </c>
    </row>
    <row r="327684" customFormat="false" ht="12" hidden="false" customHeight="true" outlineLevel="0" collapsed="false">
      <c r="B327684" s="1" t="s">
        <v>39</v>
      </c>
      <c r="C327684" s="1" t="s">
        <v>40</v>
      </c>
      <c r="D327684" s="1" t="s">
        <v>40</v>
      </c>
    </row>
    <row r="327685" customFormat="false" ht="12" hidden="false" customHeight="true" outlineLevel="0" collapsed="false">
      <c r="B327685" s="1" t="s">
        <v>41</v>
      </c>
      <c r="C327685" s="1" t="s">
        <v>42</v>
      </c>
      <c r="D327685" s="1" t="s">
        <v>43</v>
      </c>
    </row>
    <row r="327686" customFormat="false" ht="12" hidden="false" customHeight="true" outlineLevel="0" collapsed="false">
      <c r="B327686" s="1" t="s">
        <v>44</v>
      </c>
      <c r="C327686" s="1" t="s">
        <v>45</v>
      </c>
      <c r="D327686" s="1" t="s">
        <v>41</v>
      </c>
    </row>
    <row r="327687" customFormat="false" ht="12" hidden="false" customHeight="true" outlineLevel="0" collapsed="false">
      <c r="B327687" s="1" t="s">
        <v>46</v>
      </c>
      <c r="C327687" s="1" t="s">
        <v>47</v>
      </c>
      <c r="D327687" s="1" t="s">
        <v>48</v>
      </c>
    </row>
    <row r="327688" customFormat="false" ht="12" hidden="false" customHeight="tru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tru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tru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tru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tru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tru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tru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tru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tru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tru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tru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tru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tru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tru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tru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tru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tru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tru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tru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tru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tru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tru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tru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tru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tru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tru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tru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tru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true" outlineLevel="0" collapsed="false">
      <c r="B327716" s="1" t="s">
        <v>49</v>
      </c>
      <c r="C327716" s="1" t="n">
        <v>2024</v>
      </c>
      <c r="D327716" s="1" t="n">
        <v>2024</v>
      </c>
    </row>
    <row r="344065" customFormat="false" ht="12" hidden="false" customHeight="true" outlineLevel="0" collapsed="false">
      <c r="B344065" s="1" t="s">
        <v>33</v>
      </c>
      <c r="C344065" s="1" t="n">
        <v>915</v>
      </c>
      <c r="D344065" s="1" t="n">
        <v>915</v>
      </c>
    </row>
    <row r="344066" customFormat="false" ht="12" hidden="false" customHeight="true" outlineLevel="0" collapsed="false">
      <c r="B344066" s="1" t="s">
        <v>34</v>
      </c>
      <c r="C344066" s="1" t="s">
        <v>35</v>
      </c>
      <c r="D344066" s="1" t="s">
        <v>36</v>
      </c>
    </row>
    <row r="344067" customFormat="false" ht="12" hidden="false" customHeight="true" outlineLevel="0" collapsed="false">
      <c r="B344067" s="1" t="s">
        <v>37</v>
      </c>
      <c r="C344067" s="1" t="s">
        <v>38</v>
      </c>
      <c r="D344067" s="1" t="s">
        <v>38</v>
      </c>
    </row>
    <row r="344068" customFormat="false" ht="12" hidden="false" customHeight="true" outlineLevel="0" collapsed="false">
      <c r="B344068" s="1" t="s">
        <v>39</v>
      </c>
      <c r="C344068" s="1" t="s">
        <v>40</v>
      </c>
      <c r="D344068" s="1" t="s">
        <v>40</v>
      </c>
    </row>
    <row r="344069" customFormat="false" ht="12" hidden="false" customHeight="true" outlineLevel="0" collapsed="false">
      <c r="B344069" s="1" t="s">
        <v>41</v>
      </c>
      <c r="C344069" s="1" t="s">
        <v>42</v>
      </c>
      <c r="D344069" s="1" t="s">
        <v>43</v>
      </c>
    </row>
    <row r="344070" customFormat="false" ht="12" hidden="false" customHeight="true" outlineLevel="0" collapsed="false">
      <c r="B344070" s="1" t="s">
        <v>44</v>
      </c>
      <c r="C344070" s="1" t="s">
        <v>45</v>
      </c>
      <c r="D344070" s="1" t="s">
        <v>41</v>
      </c>
    </row>
    <row r="344071" customFormat="false" ht="12" hidden="false" customHeight="true" outlineLevel="0" collapsed="false">
      <c r="B344071" s="1" t="s">
        <v>46</v>
      </c>
      <c r="C344071" s="1" t="s">
        <v>47</v>
      </c>
      <c r="D344071" s="1" t="s">
        <v>48</v>
      </c>
    </row>
    <row r="344072" customFormat="false" ht="12" hidden="false" customHeight="tru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tru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tru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tru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tru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tru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tru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tru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tru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tru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tru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tru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tru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tru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tru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tru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tru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tru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tru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tru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tru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tru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tru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tru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tru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tru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tru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tru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true" outlineLevel="0" collapsed="false">
      <c r="B344100" s="1" t="s">
        <v>49</v>
      </c>
      <c r="C344100" s="1" t="n">
        <v>2024</v>
      </c>
      <c r="D344100" s="1" t="n">
        <v>2024</v>
      </c>
    </row>
    <row r="360449" customFormat="false" ht="12" hidden="false" customHeight="true" outlineLevel="0" collapsed="false">
      <c r="B360449" s="1" t="s">
        <v>33</v>
      </c>
      <c r="C360449" s="1" t="n">
        <v>915</v>
      </c>
      <c r="D360449" s="1" t="n">
        <v>915</v>
      </c>
    </row>
    <row r="360450" customFormat="false" ht="12" hidden="false" customHeight="true" outlineLevel="0" collapsed="false">
      <c r="B360450" s="1" t="s">
        <v>34</v>
      </c>
      <c r="C360450" s="1" t="s">
        <v>35</v>
      </c>
      <c r="D360450" s="1" t="s">
        <v>36</v>
      </c>
    </row>
    <row r="360451" customFormat="false" ht="12" hidden="false" customHeight="true" outlineLevel="0" collapsed="false">
      <c r="B360451" s="1" t="s">
        <v>37</v>
      </c>
      <c r="C360451" s="1" t="s">
        <v>38</v>
      </c>
      <c r="D360451" s="1" t="s">
        <v>38</v>
      </c>
    </row>
    <row r="360452" customFormat="false" ht="12" hidden="false" customHeight="true" outlineLevel="0" collapsed="false">
      <c r="B360452" s="1" t="s">
        <v>39</v>
      </c>
      <c r="C360452" s="1" t="s">
        <v>40</v>
      </c>
      <c r="D360452" s="1" t="s">
        <v>40</v>
      </c>
    </row>
    <row r="360453" customFormat="false" ht="12" hidden="false" customHeight="true" outlineLevel="0" collapsed="false">
      <c r="B360453" s="1" t="s">
        <v>41</v>
      </c>
      <c r="C360453" s="1" t="s">
        <v>42</v>
      </c>
      <c r="D360453" s="1" t="s">
        <v>43</v>
      </c>
    </row>
    <row r="360454" customFormat="false" ht="12" hidden="false" customHeight="true" outlineLevel="0" collapsed="false">
      <c r="B360454" s="1" t="s">
        <v>44</v>
      </c>
      <c r="C360454" s="1" t="s">
        <v>45</v>
      </c>
      <c r="D360454" s="1" t="s">
        <v>41</v>
      </c>
    </row>
    <row r="360455" customFormat="false" ht="12" hidden="false" customHeight="true" outlineLevel="0" collapsed="false">
      <c r="B360455" s="1" t="s">
        <v>46</v>
      </c>
      <c r="C360455" s="1" t="s">
        <v>47</v>
      </c>
      <c r="D360455" s="1" t="s">
        <v>48</v>
      </c>
    </row>
    <row r="360456" customFormat="false" ht="12" hidden="false" customHeight="tru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tru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tru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tru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tru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tru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tru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tru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tru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tru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tru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tru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tru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tru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tru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tru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tru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tru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tru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tru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tru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tru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tru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tru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tru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tru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tru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tru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true" outlineLevel="0" collapsed="false">
      <c r="B360484" s="1" t="s">
        <v>49</v>
      </c>
      <c r="C360484" s="1" t="n">
        <v>2024</v>
      </c>
      <c r="D360484" s="1" t="n">
        <v>2024</v>
      </c>
    </row>
    <row r="376833" customFormat="false" ht="12" hidden="false" customHeight="true" outlineLevel="0" collapsed="false">
      <c r="B376833" s="1" t="s">
        <v>33</v>
      </c>
      <c r="C376833" s="1" t="n">
        <v>915</v>
      </c>
      <c r="D376833" s="1" t="n">
        <v>915</v>
      </c>
    </row>
    <row r="376834" customFormat="false" ht="12" hidden="false" customHeight="true" outlineLevel="0" collapsed="false">
      <c r="B376834" s="1" t="s">
        <v>34</v>
      </c>
      <c r="C376834" s="1" t="s">
        <v>35</v>
      </c>
      <c r="D376834" s="1" t="s">
        <v>36</v>
      </c>
    </row>
    <row r="376835" customFormat="false" ht="12" hidden="false" customHeight="true" outlineLevel="0" collapsed="false">
      <c r="B376835" s="1" t="s">
        <v>37</v>
      </c>
      <c r="C376835" s="1" t="s">
        <v>38</v>
      </c>
      <c r="D376835" s="1" t="s">
        <v>38</v>
      </c>
    </row>
    <row r="376836" customFormat="false" ht="12" hidden="false" customHeight="true" outlineLevel="0" collapsed="false">
      <c r="B376836" s="1" t="s">
        <v>39</v>
      </c>
      <c r="C376836" s="1" t="s">
        <v>40</v>
      </c>
      <c r="D376836" s="1" t="s">
        <v>40</v>
      </c>
    </row>
    <row r="376837" customFormat="false" ht="12" hidden="false" customHeight="true" outlineLevel="0" collapsed="false">
      <c r="B376837" s="1" t="s">
        <v>41</v>
      </c>
      <c r="C376837" s="1" t="s">
        <v>42</v>
      </c>
      <c r="D376837" s="1" t="s">
        <v>43</v>
      </c>
    </row>
    <row r="376838" customFormat="false" ht="12" hidden="false" customHeight="true" outlineLevel="0" collapsed="false">
      <c r="B376838" s="1" t="s">
        <v>44</v>
      </c>
      <c r="C376838" s="1" t="s">
        <v>45</v>
      </c>
      <c r="D376838" s="1" t="s">
        <v>41</v>
      </c>
    </row>
    <row r="376839" customFormat="false" ht="12" hidden="false" customHeight="true" outlineLevel="0" collapsed="false">
      <c r="B376839" s="1" t="s">
        <v>46</v>
      </c>
      <c r="C376839" s="1" t="s">
        <v>47</v>
      </c>
      <c r="D376839" s="1" t="s">
        <v>48</v>
      </c>
    </row>
    <row r="376840" customFormat="false" ht="12" hidden="false" customHeight="tru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tru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tru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tru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tru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tru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tru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tru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tru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tru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tru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tru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tru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tru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tru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tru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tru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tru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tru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tru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tru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tru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tru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tru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tru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tru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tru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tru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true" outlineLevel="0" collapsed="false">
      <c r="B376868" s="1" t="s">
        <v>49</v>
      </c>
      <c r="C376868" s="1" t="n">
        <v>2024</v>
      </c>
      <c r="D376868" s="1" t="n">
        <v>2024</v>
      </c>
    </row>
    <row r="393217" customFormat="false" ht="12" hidden="false" customHeight="true" outlineLevel="0" collapsed="false">
      <c r="B393217" s="1" t="s">
        <v>33</v>
      </c>
      <c r="C393217" s="1" t="n">
        <v>915</v>
      </c>
      <c r="D393217" s="1" t="n">
        <v>915</v>
      </c>
    </row>
    <row r="393218" customFormat="false" ht="12" hidden="false" customHeight="true" outlineLevel="0" collapsed="false">
      <c r="B393218" s="1" t="s">
        <v>34</v>
      </c>
      <c r="C393218" s="1" t="s">
        <v>35</v>
      </c>
      <c r="D393218" s="1" t="s">
        <v>36</v>
      </c>
    </row>
    <row r="393219" customFormat="false" ht="12" hidden="false" customHeight="true" outlineLevel="0" collapsed="false">
      <c r="B393219" s="1" t="s">
        <v>37</v>
      </c>
      <c r="C393219" s="1" t="s">
        <v>38</v>
      </c>
      <c r="D393219" s="1" t="s">
        <v>38</v>
      </c>
    </row>
    <row r="393220" customFormat="false" ht="12" hidden="false" customHeight="true" outlineLevel="0" collapsed="false">
      <c r="B393220" s="1" t="s">
        <v>39</v>
      </c>
      <c r="C393220" s="1" t="s">
        <v>40</v>
      </c>
      <c r="D393220" s="1" t="s">
        <v>40</v>
      </c>
    </row>
    <row r="393221" customFormat="false" ht="12" hidden="false" customHeight="true" outlineLevel="0" collapsed="false">
      <c r="B393221" s="1" t="s">
        <v>41</v>
      </c>
      <c r="C393221" s="1" t="s">
        <v>42</v>
      </c>
      <c r="D393221" s="1" t="s">
        <v>43</v>
      </c>
    </row>
    <row r="393222" customFormat="false" ht="12" hidden="false" customHeight="true" outlineLevel="0" collapsed="false">
      <c r="B393222" s="1" t="s">
        <v>44</v>
      </c>
      <c r="C393222" s="1" t="s">
        <v>45</v>
      </c>
      <c r="D393222" s="1" t="s">
        <v>41</v>
      </c>
    </row>
    <row r="393223" customFormat="false" ht="12" hidden="false" customHeight="true" outlineLevel="0" collapsed="false">
      <c r="B393223" s="1" t="s">
        <v>46</v>
      </c>
      <c r="C393223" s="1" t="s">
        <v>47</v>
      </c>
      <c r="D393223" s="1" t="s">
        <v>48</v>
      </c>
    </row>
    <row r="393224" customFormat="false" ht="12" hidden="false" customHeight="tru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tru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tru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tru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tru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tru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tru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tru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tru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tru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tru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tru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tru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tru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tru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tru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tru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tru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tru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tru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tru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tru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tru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tru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tru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tru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tru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tru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true" outlineLevel="0" collapsed="false">
      <c r="B393252" s="1" t="s">
        <v>49</v>
      </c>
      <c r="C393252" s="1" t="n">
        <v>2024</v>
      </c>
      <c r="D393252" s="1" t="n">
        <v>2024</v>
      </c>
    </row>
    <row r="409601" customFormat="false" ht="12" hidden="false" customHeight="true" outlineLevel="0" collapsed="false">
      <c r="B409601" s="1" t="s">
        <v>33</v>
      </c>
      <c r="C409601" s="1" t="n">
        <v>915</v>
      </c>
      <c r="D409601" s="1" t="n">
        <v>915</v>
      </c>
    </row>
    <row r="409602" customFormat="false" ht="12" hidden="false" customHeight="true" outlineLevel="0" collapsed="false">
      <c r="B409602" s="1" t="s">
        <v>34</v>
      </c>
      <c r="C409602" s="1" t="s">
        <v>35</v>
      </c>
      <c r="D409602" s="1" t="s">
        <v>36</v>
      </c>
    </row>
    <row r="409603" customFormat="false" ht="12" hidden="false" customHeight="true" outlineLevel="0" collapsed="false">
      <c r="B409603" s="1" t="s">
        <v>37</v>
      </c>
      <c r="C409603" s="1" t="s">
        <v>38</v>
      </c>
      <c r="D409603" s="1" t="s">
        <v>38</v>
      </c>
    </row>
    <row r="409604" customFormat="false" ht="12" hidden="false" customHeight="true" outlineLevel="0" collapsed="false">
      <c r="B409604" s="1" t="s">
        <v>39</v>
      </c>
      <c r="C409604" s="1" t="s">
        <v>40</v>
      </c>
      <c r="D409604" s="1" t="s">
        <v>40</v>
      </c>
    </row>
    <row r="409605" customFormat="false" ht="12" hidden="false" customHeight="true" outlineLevel="0" collapsed="false">
      <c r="B409605" s="1" t="s">
        <v>41</v>
      </c>
      <c r="C409605" s="1" t="s">
        <v>42</v>
      </c>
      <c r="D409605" s="1" t="s">
        <v>43</v>
      </c>
    </row>
    <row r="409606" customFormat="false" ht="12" hidden="false" customHeight="true" outlineLevel="0" collapsed="false">
      <c r="B409606" s="1" t="s">
        <v>44</v>
      </c>
      <c r="C409606" s="1" t="s">
        <v>45</v>
      </c>
      <c r="D409606" s="1" t="s">
        <v>41</v>
      </c>
    </row>
    <row r="409607" customFormat="false" ht="12" hidden="false" customHeight="true" outlineLevel="0" collapsed="false">
      <c r="B409607" s="1" t="s">
        <v>46</v>
      </c>
      <c r="C409607" s="1" t="s">
        <v>47</v>
      </c>
      <c r="D409607" s="1" t="s">
        <v>48</v>
      </c>
    </row>
    <row r="409608" customFormat="false" ht="12" hidden="false" customHeight="tru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tru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tru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tru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tru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tru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tru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tru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tru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tru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tru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tru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tru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tru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tru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tru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tru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tru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tru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tru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tru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tru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tru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tru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tru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tru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tru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tru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true" outlineLevel="0" collapsed="false">
      <c r="B409636" s="1" t="s">
        <v>49</v>
      </c>
      <c r="C409636" s="1" t="n">
        <v>2024</v>
      </c>
      <c r="D409636" s="1" t="n">
        <v>2024</v>
      </c>
    </row>
    <row r="425985" customFormat="false" ht="12" hidden="false" customHeight="true" outlineLevel="0" collapsed="false">
      <c r="B425985" s="1" t="s">
        <v>33</v>
      </c>
      <c r="C425985" s="1" t="n">
        <v>915</v>
      </c>
      <c r="D425985" s="1" t="n">
        <v>915</v>
      </c>
    </row>
    <row r="425986" customFormat="false" ht="12" hidden="false" customHeight="true" outlineLevel="0" collapsed="false">
      <c r="B425986" s="1" t="s">
        <v>34</v>
      </c>
      <c r="C425986" s="1" t="s">
        <v>35</v>
      </c>
      <c r="D425986" s="1" t="s">
        <v>36</v>
      </c>
    </row>
    <row r="425987" customFormat="false" ht="12" hidden="false" customHeight="true" outlineLevel="0" collapsed="false">
      <c r="B425987" s="1" t="s">
        <v>37</v>
      </c>
      <c r="C425987" s="1" t="s">
        <v>38</v>
      </c>
      <c r="D425987" s="1" t="s">
        <v>38</v>
      </c>
    </row>
    <row r="425988" customFormat="false" ht="12" hidden="false" customHeight="true" outlineLevel="0" collapsed="false">
      <c r="B425988" s="1" t="s">
        <v>39</v>
      </c>
      <c r="C425988" s="1" t="s">
        <v>40</v>
      </c>
      <c r="D425988" s="1" t="s">
        <v>40</v>
      </c>
    </row>
    <row r="425989" customFormat="false" ht="12" hidden="false" customHeight="true" outlineLevel="0" collapsed="false">
      <c r="B425989" s="1" t="s">
        <v>41</v>
      </c>
      <c r="C425989" s="1" t="s">
        <v>42</v>
      </c>
      <c r="D425989" s="1" t="s">
        <v>43</v>
      </c>
    </row>
    <row r="425990" customFormat="false" ht="12" hidden="false" customHeight="true" outlineLevel="0" collapsed="false">
      <c r="B425990" s="1" t="s">
        <v>44</v>
      </c>
      <c r="C425990" s="1" t="s">
        <v>45</v>
      </c>
      <c r="D425990" s="1" t="s">
        <v>41</v>
      </c>
    </row>
    <row r="425991" customFormat="false" ht="12" hidden="false" customHeight="true" outlineLevel="0" collapsed="false">
      <c r="B425991" s="1" t="s">
        <v>46</v>
      </c>
      <c r="C425991" s="1" t="s">
        <v>47</v>
      </c>
      <c r="D425991" s="1" t="s">
        <v>48</v>
      </c>
    </row>
    <row r="425992" customFormat="false" ht="12" hidden="false" customHeight="tru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tru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tru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tru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tru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tru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tru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tru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tru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tru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tru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tru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tru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tru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tru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tru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tru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tru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tru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tru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tru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tru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tru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tru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tru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tru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tru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tru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true" outlineLevel="0" collapsed="false">
      <c r="B426020" s="1" t="s">
        <v>49</v>
      </c>
      <c r="C426020" s="1" t="n">
        <v>2024</v>
      </c>
      <c r="D426020" s="1" t="n">
        <v>2024</v>
      </c>
    </row>
    <row r="442369" customFormat="false" ht="12" hidden="false" customHeight="true" outlineLevel="0" collapsed="false">
      <c r="B442369" s="1" t="s">
        <v>33</v>
      </c>
      <c r="C442369" s="1" t="n">
        <v>915</v>
      </c>
      <c r="D442369" s="1" t="n">
        <v>915</v>
      </c>
    </row>
    <row r="442370" customFormat="false" ht="12" hidden="false" customHeight="true" outlineLevel="0" collapsed="false">
      <c r="B442370" s="1" t="s">
        <v>34</v>
      </c>
      <c r="C442370" s="1" t="s">
        <v>35</v>
      </c>
      <c r="D442370" s="1" t="s">
        <v>36</v>
      </c>
    </row>
    <row r="442371" customFormat="false" ht="12" hidden="false" customHeight="true" outlineLevel="0" collapsed="false">
      <c r="B442371" s="1" t="s">
        <v>37</v>
      </c>
      <c r="C442371" s="1" t="s">
        <v>38</v>
      </c>
      <c r="D442371" s="1" t="s">
        <v>38</v>
      </c>
    </row>
    <row r="442372" customFormat="false" ht="12" hidden="false" customHeight="true" outlineLevel="0" collapsed="false">
      <c r="B442372" s="1" t="s">
        <v>39</v>
      </c>
      <c r="C442372" s="1" t="s">
        <v>40</v>
      </c>
      <c r="D442372" s="1" t="s">
        <v>40</v>
      </c>
    </row>
    <row r="442373" customFormat="false" ht="12" hidden="false" customHeight="true" outlineLevel="0" collapsed="false">
      <c r="B442373" s="1" t="s">
        <v>41</v>
      </c>
      <c r="C442373" s="1" t="s">
        <v>42</v>
      </c>
      <c r="D442373" s="1" t="s">
        <v>43</v>
      </c>
    </row>
    <row r="442374" customFormat="false" ht="12" hidden="false" customHeight="true" outlineLevel="0" collapsed="false">
      <c r="B442374" s="1" t="s">
        <v>44</v>
      </c>
      <c r="C442374" s="1" t="s">
        <v>45</v>
      </c>
      <c r="D442374" s="1" t="s">
        <v>41</v>
      </c>
    </row>
    <row r="442375" customFormat="false" ht="12" hidden="false" customHeight="true" outlineLevel="0" collapsed="false">
      <c r="B442375" s="1" t="s">
        <v>46</v>
      </c>
      <c r="C442375" s="1" t="s">
        <v>47</v>
      </c>
      <c r="D442375" s="1" t="s">
        <v>48</v>
      </c>
    </row>
    <row r="442376" customFormat="false" ht="12" hidden="false" customHeight="tru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tru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tru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tru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tru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tru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tru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tru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tru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tru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tru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tru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tru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tru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tru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tru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tru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tru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tru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tru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tru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tru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tru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tru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tru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tru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tru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tru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true" outlineLevel="0" collapsed="false">
      <c r="B442404" s="1" t="s">
        <v>49</v>
      </c>
      <c r="C442404" s="1" t="n">
        <v>2024</v>
      </c>
      <c r="D442404" s="1" t="n">
        <v>2024</v>
      </c>
    </row>
    <row r="458753" customFormat="false" ht="12" hidden="false" customHeight="true" outlineLevel="0" collapsed="false">
      <c r="B458753" s="1" t="s">
        <v>33</v>
      </c>
      <c r="C458753" s="1" t="n">
        <v>915</v>
      </c>
      <c r="D458753" s="1" t="n">
        <v>915</v>
      </c>
    </row>
    <row r="458754" customFormat="false" ht="12" hidden="false" customHeight="true" outlineLevel="0" collapsed="false">
      <c r="B458754" s="1" t="s">
        <v>34</v>
      </c>
      <c r="C458754" s="1" t="s">
        <v>35</v>
      </c>
      <c r="D458754" s="1" t="s">
        <v>36</v>
      </c>
    </row>
    <row r="458755" customFormat="false" ht="12" hidden="false" customHeight="true" outlineLevel="0" collapsed="false">
      <c r="B458755" s="1" t="s">
        <v>37</v>
      </c>
      <c r="C458755" s="1" t="s">
        <v>38</v>
      </c>
      <c r="D458755" s="1" t="s">
        <v>38</v>
      </c>
    </row>
    <row r="458756" customFormat="false" ht="12" hidden="false" customHeight="true" outlineLevel="0" collapsed="false">
      <c r="B458756" s="1" t="s">
        <v>39</v>
      </c>
      <c r="C458756" s="1" t="s">
        <v>40</v>
      </c>
      <c r="D458756" s="1" t="s">
        <v>40</v>
      </c>
    </row>
    <row r="458757" customFormat="false" ht="12" hidden="false" customHeight="true" outlineLevel="0" collapsed="false">
      <c r="B458757" s="1" t="s">
        <v>41</v>
      </c>
      <c r="C458757" s="1" t="s">
        <v>42</v>
      </c>
      <c r="D458757" s="1" t="s">
        <v>43</v>
      </c>
    </row>
    <row r="458758" customFormat="false" ht="12" hidden="false" customHeight="true" outlineLevel="0" collapsed="false">
      <c r="B458758" s="1" t="s">
        <v>44</v>
      </c>
      <c r="C458758" s="1" t="s">
        <v>45</v>
      </c>
      <c r="D458758" s="1" t="s">
        <v>41</v>
      </c>
    </row>
    <row r="458759" customFormat="false" ht="12" hidden="false" customHeight="true" outlineLevel="0" collapsed="false">
      <c r="B458759" s="1" t="s">
        <v>46</v>
      </c>
      <c r="C458759" s="1" t="s">
        <v>47</v>
      </c>
      <c r="D458759" s="1" t="s">
        <v>48</v>
      </c>
    </row>
    <row r="458760" customFormat="false" ht="12" hidden="false" customHeight="tru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tru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tru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tru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tru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tru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tru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tru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tru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tru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tru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tru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tru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tru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tru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tru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tru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tru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tru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tru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tru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tru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tru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tru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tru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tru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tru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tru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true" outlineLevel="0" collapsed="false">
      <c r="B458788" s="1" t="s">
        <v>49</v>
      </c>
      <c r="C458788" s="1" t="n">
        <v>2024</v>
      </c>
      <c r="D458788" s="1" t="n">
        <v>2024</v>
      </c>
    </row>
    <row r="475137" customFormat="false" ht="12" hidden="false" customHeight="true" outlineLevel="0" collapsed="false">
      <c r="B475137" s="1" t="s">
        <v>33</v>
      </c>
      <c r="C475137" s="1" t="n">
        <v>915</v>
      </c>
      <c r="D475137" s="1" t="n">
        <v>915</v>
      </c>
    </row>
    <row r="475138" customFormat="false" ht="12" hidden="false" customHeight="true" outlineLevel="0" collapsed="false">
      <c r="B475138" s="1" t="s">
        <v>34</v>
      </c>
      <c r="C475138" s="1" t="s">
        <v>35</v>
      </c>
      <c r="D475138" s="1" t="s">
        <v>36</v>
      </c>
    </row>
    <row r="475139" customFormat="false" ht="12" hidden="false" customHeight="true" outlineLevel="0" collapsed="false">
      <c r="B475139" s="1" t="s">
        <v>37</v>
      </c>
      <c r="C475139" s="1" t="s">
        <v>38</v>
      </c>
      <c r="D475139" s="1" t="s">
        <v>38</v>
      </c>
    </row>
    <row r="475140" customFormat="false" ht="12" hidden="false" customHeight="true" outlineLevel="0" collapsed="false">
      <c r="B475140" s="1" t="s">
        <v>39</v>
      </c>
      <c r="C475140" s="1" t="s">
        <v>40</v>
      </c>
      <c r="D475140" s="1" t="s">
        <v>40</v>
      </c>
    </row>
    <row r="475141" customFormat="false" ht="12" hidden="false" customHeight="true" outlineLevel="0" collapsed="false">
      <c r="B475141" s="1" t="s">
        <v>41</v>
      </c>
      <c r="C475141" s="1" t="s">
        <v>42</v>
      </c>
      <c r="D475141" s="1" t="s">
        <v>43</v>
      </c>
    </row>
    <row r="475142" customFormat="false" ht="12" hidden="false" customHeight="true" outlineLevel="0" collapsed="false">
      <c r="B475142" s="1" t="s">
        <v>44</v>
      </c>
      <c r="C475142" s="1" t="s">
        <v>45</v>
      </c>
      <c r="D475142" s="1" t="s">
        <v>41</v>
      </c>
    </row>
    <row r="475143" customFormat="false" ht="12" hidden="false" customHeight="true" outlineLevel="0" collapsed="false">
      <c r="B475143" s="1" t="s">
        <v>46</v>
      </c>
      <c r="C475143" s="1" t="s">
        <v>47</v>
      </c>
      <c r="D475143" s="1" t="s">
        <v>48</v>
      </c>
    </row>
    <row r="475144" customFormat="false" ht="12" hidden="false" customHeight="tru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tru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tru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tru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tru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tru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tru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tru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tru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tru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tru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tru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tru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tru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tru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tru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tru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tru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tru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tru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tru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tru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tru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tru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tru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tru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tru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tru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true" outlineLevel="0" collapsed="false">
      <c r="B475172" s="1" t="s">
        <v>49</v>
      </c>
      <c r="C475172" s="1" t="n">
        <v>2024</v>
      </c>
      <c r="D475172" s="1" t="n">
        <v>2024</v>
      </c>
    </row>
    <row r="491521" customFormat="false" ht="12" hidden="false" customHeight="true" outlineLevel="0" collapsed="false">
      <c r="B491521" s="1" t="s">
        <v>33</v>
      </c>
      <c r="C491521" s="1" t="n">
        <v>915</v>
      </c>
      <c r="D491521" s="1" t="n">
        <v>915</v>
      </c>
    </row>
    <row r="491522" customFormat="false" ht="12" hidden="false" customHeight="true" outlineLevel="0" collapsed="false">
      <c r="B491522" s="1" t="s">
        <v>34</v>
      </c>
      <c r="C491522" s="1" t="s">
        <v>35</v>
      </c>
      <c r="D491522" s="1" t="s">
        <v>36</v>
      </c>
    </row>
    <row r="491523" customFormat="false" ht="12" hidden="false" customHeight="true" outlineLevel="0" collapsed="false">
      <c r="B491523" s="1" t="s">
        <v>37</v>
      </c>
      <c r="C491523" s="1" t="s">
        <v>38</v>
      </c>
      <c r="D491523" s="1" t="s">
        <v>38</v>
      </c>
    </row>
    <row r="491524" customFormat="false" ht="12" hidden="false" customHeight="true" outlineLevel="0" collapsed="false">
      <c r="B491524" s="1" t="s">
        <v>39</v>
      </c>
      <c r="C491524" s="1" t="s">
        <v>40</v>
      </c>
      <c r="D491524" s="1" t="s">
        <v>40</v>
      </c>
    </row>
    <row r="491525" customFormat="false" ht="12" hidden="false" customHeight="true" outlineLevel="0" collapsed="false">
      <c r="B491525" s="1" t="s">
        <v>41</v>
      </c>
      <c r="C491525" s="1" t="s">
        <v>42</v>
      </c>
      <c r="D491525" s="1" t="s">
        <v>43</v>
      </c>
    </row>
    <row r="491526" customFormat="false" ht="12" hidden="false" customHeight="true" outlineLevel="0" collapsed="false">
      <c r="B491526" s="1" t="s">
        <v>44</v>
      </c>
      <c r="C491526" s="1" t="s">
        <v>45</v>
      </c>
      <c r="D491526" s="1" t="s">
        <v>41</v>
      </c>
    </row>
    <row r="491527" customFormat="false" ht="12" hidden="false" customHeight="true" outlineLevel="0" collapsed="false">
      <c r="B491527" s="1" t="s">
        <v>46</v>
      </c>
      <c r="C491527" s="1" t="s">
        <v>47</v>
      </c>
      <c r="D491527" s="1" t="s">
        <v>48</v>
      </c>
    </row>
    <row r="491528" customFormat="false" ht="12" hidden="false" customHeight="tru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tru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tru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tru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tru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tru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tru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tru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tru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tru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tru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tru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tru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tru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tru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tru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tru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tru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tru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tru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tru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tru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tru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tru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tru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tru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tru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tru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true" outlineLevel="0" collapsed="false">
      <c r="B491556" s="1" t="s">
        <v>49</v>
      </c>
      <c r="C491556" s="1" t="n">
        <v>2024</v>
      </c>
      <c r="D491556" s="1" t="n">
        <v>2024</v>
      </c>
    </row>
    <row r="507905" customFormat="false" ht="12" hidden="false" customHeight="true" outlineLevel="0" collapsed="false">
      <c r="B507905" s="1" t="s">
        <v>33</v>
      </c>
      <c r="C507905" s="1" t="n">
        <v>915</v>
      </c>
      <c r="D507905" s="1" t="n">
        <v>915</v>
      </c>
    </row>
    <row r="507906" customFormat="false" ht="12" hidden="false" customHeight="true" outlineLevel="0" collapsed="false">
      <c r="B507906" s="1" t="s">
        <v>34</v>
      </c>
      <c r="C507906" s="1" t="s">
        <v>35</v>
      </c>
      <c r="D507906" s="1" t="s">
        <v>36</v>
      </c>
    </row>
    <row r="507907" customFormat="false" ht="12" hidden="false" customHeight="true" outlineLevel="0" collapsed="false">
      <c r="B507907" s="1" t="s">
        <v>37</v>
      </c>
      <c r="C507907" s="1" t="s">
        <v>38</v>
      </c>
      <c r="D507907" s="1" t="s">
        <v>38</v>
      </c>
    </row>
    <row r="507908" customFormat="false" ht="12" hidden="false" customHeight="true" outlineLevel="0" collapsed="false">
      <c r="B507908" s="1" t="s">
        <v>39</v>
      </c>
      <c r="C507908" s="1" t="s">
        <v>40</v>
      </c>
      <c r="D507908" s="1" t="s">
        <v>40</v>
      </c>
    </row>
    <row r="507909" customFormat="false" ht="12" hidden="false" customHeight="true" outlineLevel="0" collapsed="false">
      <c r="B507909" s="1" t="s">
        <v>41</v>
      </c>
      <c r="C507909" s="1" t="s">
        <v>42</v>
      </c>
      <c r="D507909" s="1" t="s">
        <v>43</v>
      </c>
    </row>
    <row r="507910" customFormat="false" ht="12" hidden="false" customHeight="true" outlineLevel="0" collapsed="false">
      <c r="B507910" s="1" t="s">
        <v>44</v>
      </c>
      <c r="C507910" s="1" t="s">
        <v>45</v>
      </c>
      <c r="D507910" s="1" t="s">
        <v>41</v>
      </c>
    </row>
    <row r="507911" customFormat="false" ht="12" hidden="false" customHeight="true" outlineLevel="0" collapsed="false">
      <c r="B507911" s="1" t="s">
        <v>46</v>
      </c>
      <c r="C507911" s="1" t="s">
        <v>47</v>
      </c>
      <c r="D507911" s="1" t="s">
        <v>48</v>
      </c>
    </row>
    <row r="507912" customFormat="false" ht="12" hidden="false" customHeight="tru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tru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tru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tru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tru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tru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tru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tru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tru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tru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tru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tru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tru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tru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tru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tru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tru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tru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tru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tru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tru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tru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tru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tru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tru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tru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tru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tru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true" outlineLevel="0" collapsed="false">
      <c r="B507940" s="1" t="s">
        <v>49</v>
      </c>
      <c r="C507940" s="1" t="n">
        <v>2024</v>
      </c>
      <c r="D507940" s="1" t="n">
        <v>2024</v>
      </c>
    </row>
    <row r="524289" customFormat="false" ht="12" hidden="false" customHeight="true" outlineLevel="0" collapsed="false">
      <c r="B524289" s="1" t="s">
        <v>33</v>
      </c>
      <c r="C524289" s="1" t="n">
        <v>915</v>
      </c>
      <c r="D524289" s="1" t="n">
        <v>915</v>
      </c>
    </row>
    <row r="524290" customFormat="false" ht="12" hidden="false" customHeight="true" outlineLevel="0" collapsed="false">
      <c r="B524290" s="1" t="s">
        <v>34</v>
      </c>
      <c r="C524290" s="1" t="s">
        <v>35</v>
      </c>
      <c r="D524290" s="1" t="s">
        <v>36</v>
      </c>
    </row>
    <row r="524291" customFormat="false" ht="12" hidden="false" customHeight="true" outlineLevel="0" collapsed="false">
      <c r="B524291" s="1" t="s">
        <v>37</v>
      </c>
      <c r="C524291" s="1" t="s">
        <v>38</v>
      </c>
      <c r="D524291" s="1" t="s">
        <v>38</v>
      </c>
    </row>
    <row r="524292" customFormat="false" ht="12" hidden="false" customHeight="true" outlineLevel="0" collapsed="false">
      <c r="B524292" s="1" t="s">
        <v>39</v>
      </c>
      <c r="C524292" s="1" t="s">
        <v>40</v>
      </c>
      <c r="D524292" s="1" t="s">
        <v>40</v>
      </c>
    </row>
    <row r="524293" customFormat="false" ht="12" hidden="false" customHeight="true" outlineLevel="0" collapsed="false">
      <c r="B524293" s="1" t="s">
        <v>41</v>
      </c>
      <c r="C524293" s="1" t="s">
        <v>42</v>
      </c>
      <c r="D524293" s="1" t="s">
        <v>43</v>
      </c>
    </row>
    <row r="524294" customFormat="false" ht="12" hidden="false" customHeight="true" outlineLevel="0" collapsed="false">
      <c r="B524294" s="1" t="s">
        <v>44</v>
      </c>
      <c r="C524294" s="1" t="s">
        <v>45</v>
      </c>
      <c r="D524294" s="1" t="s">
        <v>41</v>
      </c>
    </row>
    <row r="524295" customFormat="false" ht="12" hidden="false" customHeight="true" outlineLevel="0" collapsed="false">
      <c r="B524295" s="1" t="s">
        <v>46</v>
      </c>
      <c r="C524295" s="1" t="s">
        <v>47</v>
      </c>
      <c r="D524295" s="1" t="s">
        <v>48</v>
      </c>
    </row>
    <row r="524296" customFormat="false" ht="12" hidden="false" customHeight="tru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tru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tru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tru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tru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tru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tru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tru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tru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tru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tru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tru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tru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tru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tru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tru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tru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tru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tru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tru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tru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tru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tru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tru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tru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tru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tru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tru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true" outlineLevel="0" collapsed="false">
      <c r="B524324" s="1" t="s">
        <v>49</v>
      </c>
      <c r="C524324" s="1" t="n">
        <v>2024</v>
      </c>
      <c r="D524324" s="1" t="n">
        <v>2024</v>
      </c>
    </row>
    <row r="540673" customFormat="false" ht="12" hidden="false" customHeight="true" outlineLevel="0" collapsed="false">
      <c r="B540673" s="1" t="s">
        <v>33</v>
      </c>
      <c r="C540673" s="1" t="n">
        <v>915</v>
      </c>
      <c r="D540673" s="1" t="n">
        <v>915</v>
      </c>
    </row>
    <row r="540674" customFormat="false" ht="12" hidden="false" customHeight="true" outlineLevel="0" collapsed="false">
      <c r="B540674" s="1" t="s">
        <v>34</v>
      </c>
      <c r="C540674" s="1" t="s">
        <v>35</v>
      </c>
      <c r="D540674" s="1" t="s">
        <v>36</v>
      </c>
    </row>
    <row r="540675" customFormat="false" ht="12" hidden="false" customHeight="true" outlineLevel="0" collapsed="false">
      <c r="B540675" s="1" t="s">
        <v>37</v>
      </c>
      <c r="C540675" s="1" t="s">
        <v>38</v>
      </c>
      <c r="D540675" s="1" t="s">
        <v>38</v>
      </c>
    </row>
    <row r="540676" customFormat="false" ht="12" hidden="false" customHeight="true" outlineLevel="0" collapsed="false">
      <c r="B540676" s="1" t="s">
        <v>39</v>
      </c>
      <c r="C540676" s="1" t="s">
        <v>40</v>
      </c>
      <c r="D540676" s="1" t="s">
        <v>40</v>
      </c>
    </row>
    <row r="540677" customFormat="false" ht="12" hidden="false" customHeight="true" outlineLevel="0" collapsed="false">
      <c r="B540677" s="1" t="s">
        <v>41</v>
      </c>
      <c r="C540677" s="1" t="s">
        <v>42</v>
      </c>
      <c r="D540677" s="1" t="s">
        <v>43</v>
      </c>
    </row>
    <row r="540678" customFormat="false" ht="12" hidden="false" customHeight="true" outlineLevel="0" collapsed="false">
      <c r="B540678" s="1" t="s">
        <v>44</v>
      </c>
      <c r="C540678" s="1" t="s">
        <v>45</v>
      </c>
      <c r="D540678" s="1" t="s">
        <v>41</v>
      </c>
    </row>
    <row r="540679" customFormat="false" ht="12" hidden="false" customHeight="true" outlineLevel="0" collapsed="false">
      <c r="B540679" s="1" t="s">
        <v>46</v>
      </c>
      <c r="C540679" s="1" t="s">
        <v>47</v>
      </c>
      <c r="D540679" s="1" t="s">
        <v>48</v>
      </c>
    </row>
    <row r="540680" customFormat="false" ht="12" hidden="false" customHeight="tru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tru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tru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tru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tru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tru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tru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tru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tru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tru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tru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tru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tru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tru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tru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tru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tru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tru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tru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tru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tru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tru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tru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tru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tru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tru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tru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tru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true" outlineLevel="0" collapsed="false">
      <c r="B540708" s="1" t="s">
        <v>49</v>
      </c>
      <c r="C540708" s="1" t="n">
        <v>2024</v>
      </c>
      <c r="D540708" s="1" t="n">
        <v>2024</v>
      </c>
    </row>
    <row r="557057" customFormat="false" ht="12" hidden="false" customHeight="true" outlineLevel="0" collapsed="false">
      <c r="B557057" s="1" t="s">
        <v>33</v>
      </c>
      <c r="C557057" s="1" t="n">
        <v>915</v>
      </c>
      <c r="D557057" s="1" t="n">
        <v>915</v>
      </c>
    </row>
    <row r="557058" customFormat="false" ht="12" hidden="false" customHeight="true" outlineLevel="0" collapsed="false">
      <c r="B557058" s="1" t="s">
        <v>34</v>
      </c>
      <c r="C557058" s="1" t="s">
        <v>35</v>
      </c>
      <c r="D557058" s="1" t="s">
        <v>36</v>
      </c>
    </row>
    <row r="557059" customFormat="false" ht="12" hidden="false" customHeight="true" outlineLevel="0" collapsed="false">
      <c r="B557059" s="1" t="s">
        <v>37</v>
      </c>
      <c r="C557059" s="1" t="s">
        <v>38</v>
      </c>
      <c r="D557059" s="1" t="s">
        <v>38</v>
      </c>
    </row>
    <row r="557060" customFormat="false" ht="12" hidden="false" customHeight="true" outlineLevel="0" collapsed="false">
      <c r="B557060" s="1" t="s">
        <v>39</v>
      </c>
      <c r="C557060" s="1" t="s">
        <v>40</v>
      </c>
      <c r="D557060" s="1" t="s">
        <v>40</v>
      </c>
    </row>
    <row r="557061" customFormat="false" ht="12" hidden="false" customHeight="true" outlineLevel="0" collapsed="false">
      <c r="B557061" s="1" t="s">
        <v>41</v>
      </c>
      <c r="C557061" s="1" t="s">
        <v>42</v>
      </c>
      <c r="D557061" s="1" t="s">
        <v>43</v>
      </c>
    </row>
    <row r="557062" customFormat="false" ht="12" hidden="false" customHeight="true" outlineLevel="0" collapsed="false">
      <c r="B557062" s="1" t="s">
        <v>44</v>
      </c>
      <c r="C557062" s="1" t="s">
        <v>45</v>
      </c>
      <c r="D557062" s="1" t="s">
        <v>41</v>
      </c>
    </row>
    <row r="557063" customFormat="false" ht="12" hidden="false" customHeight="true" outlineLevel="0" collapsed="false">
      <c r="B557063" s="1" t="s">
        <v>46</v>
      </c>
      <c r="C557063" s="1" t="s">
        <v>47</v>
      </c>
      <c r="D557063" s="1" t="s">
        <v>48</v>
      </c>
    </row>
    <row r="557064" customFormat="false" ht="12" hidden="false" customHeight="tru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tru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tru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tru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tru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tru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tru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tru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tru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tru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tru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tru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tru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tru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tru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tru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tru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tru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tru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tru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tru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tru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tru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tru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tru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tru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tru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tru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true" outlineLevel="0" collapsed="false">
      <c r="B557092" s="1" t="s">
        <v>49</v>
      </c>
      <c r="C557092" s="1" t="n">
        <v>2024</v>
      </c>
      <c r="D557092" s="1" t="n">
        <v>2024</v>
      </c>
    </row>
    <row r="573441" customFormat="false" ht="12" hidden="false" customHeight="true" outlineLevel="0" collapsed="false">
      <c r="B573441" s="1" t="s">
        <v>33</v>
      </c>
      <c r="C573441" s="1" t="n">
        <v>915</v>
      </c>
      <c r="D573441" s="1" t="n">
        <v>915</v>
      </c>
    </row>
    <row r="573442" customFormat="false" ht="12" hidden="false" customHeight="true" outlineLevel="0" collapsed="false">
      <c r="B573442" s="1" t="s">
        <v>34</v>
      </c>
      <c r="C573442" s="1" t="s">
        <v>35</v>
      </c>
      <c r="D573442" s="1" t="s">
        <v>36</v>
      </c>
    </row>
    <row r="573443" customFormat="false" ht="12" hidden="false" customHeight="true" outlineLevel="0" collapsed="false">
      <c r="B573443" s="1" t="s">
        <v>37</v>
      </c>
      <c r="C573443" s="1" t="s">
        <v>38</v>
      </c>
      <c r="D573443" s="1" t="s">
        <v>38</v>
      </c>
    </row>
    <row r="573444" customFormat="false" ht="12" hidden="false" customHeight="true" outlineLevel="0" collapsed="false">
      <c r="B573444" s="1" t="s">
        <v>39</v>
      </c>
      <c r="C573444" s="1" t="s">
        <v>40</v>
      </c>
      <c r="D573444" s="1" t="s">
        <v>40</v>
      </c>
    </row>
    <row r="573445" customFormat="false" ht="12" hidden="false" customHeight="true" outlineLevel="0" collapsed="false">
      <c r="B573445" s="1" t="s">
        <v>41</v>
      </c>
      <c r="C573445" s="1" t="s">
        <v>42</v>
      </c>
      <c r="D573445" s="1" t="s">
        <v>43</v>
      </c>
    </row>
    <row r="573446" customFormat="false" ht="12" hidden="false" customHeight="true" outlineLevel="0" collapsed="false">
      <c r="B573446" s="1" t="s">
        <v>44</v>
      </c>
      <c r="C573446" s="1" t="s">
        <v>45</v>
      </c>
      <c r="D573446" s="1" t="s">
        <v>41</v>
      </c>
    </row>
    <row r="573447" customFormat="false" ht="12" hidden="false" customHeight="true" outlineLevel="0" collapsed="false">
      <c r="B573447" s="1" t="s">
        <v>46</v>
      </c>
      <c r="C573447" s="1" t="s">
        <v>47</v>
      </c>
      <c r="D573447" s="1" t="s">
        <v>48</v>
      </c>
    </row>
    <row r="573448" customFormat="false" ht="12" hidden="false" customHeight="tru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tru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tru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tru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tru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tru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tru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tru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tru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tru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tru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tru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tru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tru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tru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tru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tru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tru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tru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tru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tru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tru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tru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tru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tru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tru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tru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tru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true" outlineLevel="0" collapsed="false">
      <c r="B573476" s="1" t="s">
        <v>49</v>
      </c>
      <c r="C573476" s="1" t="n">
        <v>2024</v>
      </c>
      <c r="D573476" s="1" t="n">
        <v>2024</v>
      </c>
    </row>
    <row r="589825" customFormat="false" ht="12" hidden="false" customHeight="true" outlineLevel="0" collapsed="false">
      <c r="B589825" s="1" t="s">
        <v>33</v>
      </c>
      <c r="C589825" s="1" t="n">
        <v>915</v>
      </c>
      <c r="D589825" s="1" t="n">
        <v>915</v>
      </c>
    </row>
    <row r="589826" customFormat="false" ht="12" hidden="false" customHeight="true" outlineLevel="0" collapsed="false">
      <c r="B589826" s="1" t="s">
        <v>34</v>
      </c>
      <c r="C589826" s="1" t="s">
        <v>35</v>
      </c>
      <c r="D589826" s="1" t="s">
        <v>36</v>
      </c>
    </row>
    <row r="589827" customFormat="false" ht="12" hidden="false" customHeight="true" outlineLevel="0" collapsed="false">
      <c r="B589827" s="1" t="s">
        <v>37</v>
      </c>
      <c r="C589827" s="1" t="s">
        <v>38</v>
      </c>
      <c r="D589827" s="1" t="s">
        <v>38</v>
      </c>
    </row>
    <row r="589828" customFormat="false" ht="12" hidden="false" customHeight="true" outlineLevel="0" collapsed="false">
      <c r="B589828" s="1" t="s">
        <v>39</v>
      </c>
      <c r="C589828" s="1" t="s">
        <v>40</v>
      </c>
      <c r="D589828" s="1" t="s">
        <v>40</v>
      </c>
    </row>
    <row r="589829" customFormat="false" ht="12" hidden="false" customHeight="true" outlineLevel="0" collapsed="false">
      <c r="B589829" s="1" t="s">
        <v>41</v>
      </c>
      <c r="C589829" s="1" t="s">
        <v>42</v>
      </c>
      <c r="D589829" s="1" t="s">
        <v>43</v>
      </c>
    </row>
    <row r="589830" customFormat="false" ht="12" hidden="false" customHeight="true" outlineLevel="0" collapsed="false">
      <c r="B589830" s="1" t="s">
        <v>44</v>
      </c>
      <c r="C589830" s="1" t="s">
        <v>45</v>
      </c>
      <c r="D589830" s="1" t="s">
        <v>41</v>
      </c>
    </row>
    <row r="589831" customFormat="false" ht="12" hidden="false" customHeight="true" outlineLevel="0" collapsed="false">
      <c r="B589831" s="1" t="s">
        <v>46</v>
      </c>
      <c r="C589831" s="1" t="s">
        <v>47</v>
      </c>
      <c r="D589831" s="1" t="s">
        <v>48</v>
      </c>
    </row>
    <row r="589832" customFormat="false" ht="12" hidden="false" customHeight="tru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tru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tru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tru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tru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tru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tru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tru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tru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tru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tru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tru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tru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tru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tru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tru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tru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tru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tru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tru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tru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tru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tru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tru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tru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tru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tru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tru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true" outlineLevel="0" collapsed="false">
      <c r="B589860" s="1" t="s">
        <v>49</v>
      </c>
      <c r="C589860" s="1" t="n">
        <v>2024</v>
      </c>
      <c r="D589860" s="1" t="n">
        <v>2024</v>
      </c>
    </row>
    <row r="606209" customFormat="false" ht="12" hidden="false" customHeight="true" outlineLevel="0" collapsed="false">
      <c r="B606209" s="1" t="s">
        <v>33</v>
      </c>
      <c r="C606209" s="1" t="n">
        <v>915</v>
      </c>
      <c r="D606209" s="1" t="n">
        <v>915</v>
      </c>
    </row>
    <row r="606210" customFormat="false" ht="12" hidden="false" customHeight="true" outlineLevel="0" collapsed="false">
      <c r="B606210" s="1" t="s">
        <v>34</v>
      </c>
      <c r="C606210" s="1" t="s">
        <v>35</v>
      </c>
      <c r="D606210" s="1" t="s">
        <v>36</v>
      </c>
    </row>
    <row r="606211" customFormat="false" ht="12" hidden="false" customHeight="true" outlineLevel="0" collapsed="false">
      <c r="B606211" s="1" t="s">
        <v>37</v>
      </c>
      <c r="C606211" s="1" t="s">
        <v>38</v>
      </c>
      <c r="D606211" s="1" t="s">
        <v>38</v>
      </c>
    </row>
    <row r="606212" customFormat="false" ht="12" hidden="false" customHeight="true" outlineLevel="0" collapsed="false">
      <c r="B606212" s="1" t="s">
        <v>39</v>
      </c>
      <c r="C606212" s="1" t="s">
        <v>40</v>
      </c>
      <c r="D606212" s="1" t="s">
        <v>40</v>
      </c>
    </row>
    <row r="606213" customFormat="false" ht="12" hidden="false" customHeight="true" outlineLevel="0" collapsed="false">
      <c r="B606213" s="1" t="s">
        <v>41</v>
      </c>
      <c r="C606213" s="1" t="s">
        <v>42</v>
      </c>
      <c r="D606213" s="1" t="s">
        <v>43</v>
      </c>
    </row>
    <row r="606214" customFormat="false" ht="12" hidden="false" customHeight="true" outlineLevel="0" collapsed="false">
      <c r="B606214" s="1" t="s">
        <v>44</v>
      </c>
      <c r="C606214" s="1" t="s">
        <v>45</v>
      </c>
      <c r="D606214" s="1" t="s">
        <v>41</v>
      </c>
    </row>
    <row r="606215" customFormat="false" ht="12" hidden="false" customHeight="true" outlineLevel="0" collapsed="false">
      <c r="B606215" s="1" t="s">
        <v>46</v>
      </c>
      <c r="C606215" s="1" t="s">
        <v>47</v>
      </c>
      <c r="D606215" s="1" t="s">
        <v>48</v>
      </c>
    </row>
    <row r="606216" customFormat="false" ht="12" hidden="false" customHeight="tru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tru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tru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tru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tru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tru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tru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tru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tru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tru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tru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tru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tru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tru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tru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tru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tru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tru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tru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tru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tru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tru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tru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tru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tru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tru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tru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tru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true" outlineLevel="0" collapsed="false">
      <c r="B606244" s="1" t="s">
        <v>49</v>
      </c>
      <c r="C606244" s="1" t="n">
        <v>2024</v>
      </c>
      <c r="D606244" s="1" t="n">
        <v>2024</v>
      </c>
    </row>
    <row r="622593" customFormat="false" ht="12" hidden="false" customHeight="true" outlineLevel="0" collapsed="false">
      <c r="B622593" s="1" t="s">
        <v>33</v>
      </c>
      <c r="C622593" s="1" t="n">
        <v>915</v>
      </c>
      <c r="D622593" s="1" t="n">
        <v>915</v>
      </c>
    </row>
    <row r="622594" customFormat="false" ht="12" hidden="false" customHeight="true" outlineLevel="0" collapsed="false">
      <c r="B622594" s="1" t="s">
        <v>34</v>
      </c>
      <c r="C622594" s="1" t="s">
        <v>35</v>
      </c>
      <c r="D622594" s="1" t="s">
        <v>36</v>
      </c>
    </row>
    <row r="622595" customFormat="false" ht="12" hidden="false" customHeight="true" outlineLevel="0" collapsed="false">
      <c r="B622595" s="1" t="s">
        <v>37</v>
      </c>
      <c r="C622595" s="1" t="s">
        <v>38</v>
      </c>
      <c r="D622595" s="1" t="s">
        <v>38</v>
      </c>
    </row>
    <row r="622596" customFormat="false" ht="12" hidden="false" customHeight="true" outlineLevel="0" collapsed="false">
      <c r="B622596" s="1" t="s">
        <v>39</v>
      </c>
      <c r="C622596" s="1" t="s">
        <v>40</v>
      </c>
      <c r="D622596" s="1" t="s">
        <v>40</v>
      </c>
    </row>
    <row r="622597" customFormat="false" ht="12" hidden="false" customHeight="true" outlineLevel="0" collapsed="false">
      <c r="B622597" s="1" t="s">
        <v>41</v>
      </c>
      <c r="C622597" s="1" t="s">
        <v>42</v>
      </c>
      <c r="D622597" s="1" t="s">
        <v>43</v>
      </c>
    </row>
    <row r="622598" customFormat="false" ht="12" hidden="false" customHeight="true" outlineLevel="0" collapsed="false">
      <c r="B622598" s="1" t="s">
        <v>44</v>
      </c>
      <c r="C622598" s="1" t="s">
        <v>45</v>
      </c>
      <c r="D622598" s="1" t="s">
        <v>41</v>
      </c>
    </row>
    <row r="622599" customFormat="false" ht="12" hidden="false" customHeight="true" outlineLevel="0" collapsed="false">
      <c r="B622599" s="1" t="s">
        <v>46</v>
      </c>
      <c r="C622599" s="1" t="s">
        <v>47</v>
      </c>
      <c r="D622599" s="1" t="s">
        <v>48</v>
      </c>
    </row>
    <row r="622600" customFormat="false" ht="12" hidden="false" customHeight="tru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tru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tru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tru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tru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tru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tru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tru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tru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tru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tru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tru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tru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tru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tru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tru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tru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tru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tru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tru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tru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tru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tru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tru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tru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tru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tru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tru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true" outlineLevel="0" collapsed="false">
      <c r="B622628" s="1" t="s">
        <v>49</v>
      </c>
      <c r="C622628" s="1" t="n">
        <v>2024</v>
      </c>
      <c r="D622628" s="1" t="n">
        <v>2024</v>
      </c>
    </row>
    <row r="638977" customFormat="false" ht="12" hidden="false" customHeight="true" outlineLevel="0" collapsed="false">
      <c r="B638977" s="1" t="s">
        <v>33</v>
      </c>
      <c r="C638977" s="1" t="n">
        <v>915</v>
      </c>
      <c r="D638977" s="1" t="n">
        <v>915</v>
      </c>
    </row>
    <row r="638978" customFormat="false" ht="12" hidden="false" customHeight="true" outlineLevel="0" collapsed="false">
      <c r="B638978" s="1" t="s">
        <v>34</v>
      </c>
      <c r="C638978" s="1" t="s">
        <v>35</v>
      </c>
      <c r="D638978" s="1" t="s">
        <v>36</v>
      </c>
    </row>
    <row r="638979" customFormat="false" ht="12" hidden="false" customHeight="true" outlineLevel="0" collapsed="false">
      <c r="B638979" s="1" t="s">
        <v>37</v>
      </c>
      <c r="C638979" s="1" t="s">
        <v>38</v>
      </c>
      <c r="D638979" s="1" t="s">
        <v>38</v>
      </c>
    </row>
    <row r="638980" customFormat="false" ht="12" hidden="false" customHeight="true" outlineLevel="0" collapsed="false">
      <c r="B638980" s="1" t="s">
        <v>39</v>
      </c>
      <c r="C638980" s="1" t="s">
        <v>40</v>
      </c>
      <c r="D638980" s="1" t="s">
        <v>40</v>
      </c>
    </row>
    <row r="638981" customFormat="false" ht="12" hidden="false" customHeight="true" outlineLevel="0" collapsed="false">
      <c r="B638981" s="1" t="s">
        <v>41</v>
      </c>
      <c r="C638981" s="1" t="s">
        <v>42</v>
      </c>
      <c r="D638981" s="1" t="s">
        <v>43</v>
      </c>
    </row>
    <row r="638982" customFormat="false" ht="12" hidden="false" customHeight="true" outlineLevel="0" collapsed="false">
      <c r="B638982" s="1" t="s">
        <v>44</v>
      </c>
      <c r="C638982" s="1" t="s">
        <v>45</v>
      </c>
      <c r="D638982" s="1" t="s">
        <v>41</v>
      </c>
    </row>
    <row r="638983" customFormat="false" ht="12" hidden="false" customHeight="true" outlineLevel="0" collapsed="false">
      <c r="B638983" s="1" t="s">
        <v>46</v>
      </c>
      <c r="C638983" s="1" t="s">
        <v>47</v>
      </c>
      <c r="D638983" s="1" t="s">
        <v>48</v>
      </c>
    </row>
    <row r="638984" customFormat="false" ht="12" hidden="false" customHeight="tru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tru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tru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tru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tru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tru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tru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tru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tru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tru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tru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tru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tru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tru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tru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tru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tru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tru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tru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tru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tru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tru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tru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tru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tru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tru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tru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tru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true" outlineLevel="0" collapsed="false">
      <c r="B639012" s="1" t="s">
        <v>49</v>
      </c>
      <c r="C639012" s="1" t="n">
        <v>2024</v>
      </c>
      <c r="D639012" s="1" t="n">
        <v>2024</v>
      </c>
    </row>
    <row r="655361" customFormat="false" ht="12" hidden="false" customHeight="true" outlineLevel="0" collapsed="false">
      <c r="B655361" s="1" t="s">
        <v>33</v>
      </c>
      <c r="C655361" s="1" t="n">
        <v>915</v>
      </c>
      <c r="D655361" s="1" t="n">
        <v>915</v>
      </c>
    </row>
    <row r="655362" customFormat="false" ht="12" hidden="false" customHeight="true" outlineLevel="0" collapsed="false">
      <c r="B655362" s="1" t="s">
        <v>34</v>
      </c>
      <c r="C655362" s="1" t="s">
        <v>35</v>
      </c>
      <c r="D655362" s="1" t="s">
        <v>36</v>
      </c>
    </row>
    <row r="655363" customFormat="false" ht="12" hidden="false" customHeight="true" outlineLevel="0" collapsed="false">
      <c r="B655363" s="1" t="s">
        <v>37</v>
      </c>
      <c r="C655363" s="1" t="s">
        <v>38</v>
      </c>
      <c r="D655363" s="1" t="s">
        <v>38</v>
      </c>
    </row>
    <row r="655364" customFormat="false" ht="12" hidden="false" customHeight="true" outlineLevel="0" collapsed="false">
      <c r="B655364" s="1" t="s">
        <v>39</v>
      </c>
      <c r="C655364" s="1" t="s">
        <v>40</v>
      </c>
      <c r="D655364" s="1" t="s">
        <v>40</v>
      </c>
    </row>
    <row r="655365" customFormat="false" ht="12" hidden="false" customHeight="true" outlineLevel="0" collapsed="false">
      <c r="B655365" s="1" t="s">
        <v>41</v>
      </c>
      <c r="C655365" s="1" t="s">
        <v>42</v>
      </c>
      <c r="D655365" s="1" t="s">
        <v>43</v>
      </c>
    </row>
    <row r="655366" customFormat="false" ht="12" hidden="false" customHeight="true" outlineLevel="0" collapsed="false">
      <c r="B655366" s="1" t="s">
        <v>44</v>
      </c>
      <c r="C655366" s="1" t="s">
        <v>45</v>
      </c>
      <c r="D655366" s="1" t="s">
        <v>41</v>
      </c>
    </row>
    <row r="655367" customFormat="false" ht="12" hidden="false" customHeight="true" outlineLevel="0" collapsed="false">
      <c r="B655367" s="1" t="s">
        <v>46</v>
      </c>
      <c r="C655367" s="1" t="s">
        <v>47</v>
      </c>
      <c r="D655367" s="1" t="s">
        <v>48</v>
      </c>
    </row>
    <row r="655368" customFormat="false" ht="12" hidden="false" customHeight="tru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tru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tru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tru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tru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tru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tru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tru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tru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tru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tru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tru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tru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tru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tru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tru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tru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tru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tru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tru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tru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tru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tru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tru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tru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tru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tru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tru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true" outlineLevel="0" collapsed="false">
      <c r="B655396" s="1" t="s">
        <v>49</v>
      </c>
      <c r="C655396" s="1" t="n">
        <v>2024</v>
      </c>
      <c r="D655396" s="1" t="n">
        <v>2024</v>
      </c>
    </row>
    <row r="671745" customFormat="false" ht="12" hidden="false" customHeight="true" outlineLevel="0" collapsed="false">
      <c r="B671745" s="1" t="s">
        <v>33</v>
      </c>
      <c r="C671745" s="1" t="n">
        <v>915</v>
      </c>
      <c r="D671745" s="1" t="n">
        <v>915</v>
      </c>
    </row>
    <row r="671746" customFormat="false" ht="12" hidden="false" customHeight="true" outlineLevel="0" collapsed="false">
      <c r="B671746" s="1" t="s">
        <v>34</v>
      </c>
      <c r="C671746" s="1" t="s">
        <v>35</v>
      </c>
      <c r="D671746" s="1" t="s">
        <v>36</v>
      </c>
    </row>
    <row r="671747" customFormat="false" ht="12" hidden="false" customHeight="true" outlineLevel="0" collapsed="false">
      <c r="B671747" s="1" t="s">
        <v>37</v>
      </c>
      <c r="C671747" s="1" t="s">
        <v>38</v>
      </c>
      <c r="D671747" s="1" t="s">
        <v>38</v>
      </c>
    </row>
    <row r="671748" customFormat="false" ht="12" hidden="false" customHeight="true" outlineLevel="0" collapsed="false">
      <c r="B671748" s="1" t="s">
        <v>39</v>
      </c>
      <c r="C671748" s="1" t="s">
        <v>40</v>
      </c>
      <c r="D671748" s="1" t="s">
        <v>40</v>
      </c>
    </row>
    <row r="671749" customFormat="false" ht="12" hidden="false" customHeight="true" outlineLevel="0" collapsed="false">
      <c r="B671749" s="1" t="s">
        <v>41</v>
      </c>
      <c r="C671749" s="1" t="s">
        <v>42</v>
      </c>
      <c r="D671749" s="1" t="s">
        <v>43</v>
      </c>
    </row>
    <row r="671750" customFormat="false" ht="12" hidden="false" customHeight="true" outlineLevel="0" collapsed="false">
      <c r="B671750" s="1" t="s">
        <v>44</v>
      </c>
      <c r="C671750" s="1" t="s">
        <v>45</v>
      </c>
      <c r="D671750" s="1" t="s">
        <v>41</v>
      </c>
    </row>
    <row r="671751" customFormat="false" ht="12" hidden="false" customHeight="true" outlineLevel="0" collapsed="false">
      <c r="B671751" s="1" t="s">
        <v>46</v>
      </c>
      <c r="C671751" s="1" t="s">
        <v>47</v>
      </c>
      <c r="D671751" s="1" t="s">
        <v>48</v>
      </c>
    </row>
    <row r="671752" customFormat="false" ht="12" hidden="false" customHeight="tru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tru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tru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tru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tru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tru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tru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tru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tru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tru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tru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tru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tru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tru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tru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tru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tru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tru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tru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tru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tru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tru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tru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tru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tru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tru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tru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tru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true" outlineLevel="0" collapsed="false">
      <c r="B671780" s="1" t="s">
        <v>49</v>
      </c>
      <c r="C671780" s="1" t="n">
        <v>2024</v>
      </c>
      <c r="D671780" s="1" t="n">
        <v>2024</v>
      </c>
    </row>
    <row r="688129" customFormat="false" ht="12" hidden="false" customHeight="true" outlineLevel="0" collapsed="false">
      <c r="B688129" s="1" t="s">
        <v>33</v>
      </c>
      <c r="C688129" s="1" t="n">
        <v>915</v>
      </c>
      <c r="D688129" s="1" t="n">
        <v>915</v>
      </c>
    </row>
    <row r="688130" customFormat="false" ht="12" hidden="false" customHeight="true" outlineLevel="0" collapsed="false">
      <c r="B688130" s="1" t="s">
        <v>34</v>
      </c>
      <c r="C688130" s="1" t="s">
        <v>35</v>
      </c>
      <c r="D688130" s="1" t="s">
        <v>36</v>
      </c>
    </row>
    <row r="688131" customFormat="false" ht="12" hidden="false" customHeight="true" outlineLevel="0" collapsed="false">
      <c r="B688131" s="1" t="s">
        <v>37</v>
      </c>
      <c r="C688131" s="1" t="s">
        <v>38</v>
      </c>
      <c r="D688131" s="1" t="s">
        <v>38</v>
      </c>
    </row>
    <row r="688132" customFormat="false" ht="12" hidden="false" customHeight="true" outlineLevel="0" collapsed="false">
      <c r="B688132" s="1" t="s">
        <v>39</v>
      </c>
      <c r="C688132" s="1" t="s">
        <v>40</v>
      </c>
      <c r="D688132" s="1" t="s">
        <v>40</v>
      </c>
    </row>
    <row r="688133" customFormat="false" ht="12" hidden="false" customHeight="true" outlineLevel="0" collapsed="false">
      <c r="B688133" s="1" t="s">
        <v>41</v>
      </c>
      <c r="C688133" s="1" t="s">
        <v>42</v>
      </c>
      <c r="D688133" s="1" t="s">
        <v>43</v>
      </c>
    </row>
    <row r="688134" customFormat="false" ht="12" hidden="false" customHeight="true" outlineLevel="0" collapsed="false">
      <c r="B688134" s="1" t="s">
        <v>44</v>
      </c>
      <c r="C688134" s="1" t="s">
        <v>45</v>
      </c>
      <c r="D688134" s="1" t="s">
        <v>41</v>
      </c>
    </row>
    <row r="688135" customFormat="false" ht="12" hidden="false" customHeight="true" outlineLevel="0" collapsed="false">
      <c r="B688135" s="1" t="s">
        <v>46</v>
      </c>
      <c r="C688135" s="1" t="s">
        <v>47</v>
      </c>
      <c r="D688135" s="1" t="s">
        <v>48</v>
      </c>
    </row>
    <row r="688136" customFormat="false" ht="12" hidden="false" customHeight="tru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tru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tru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tru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tru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tru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tru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tru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tru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tru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tru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tru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tru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tru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tru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tru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tru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tru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tru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tru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tru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tru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tru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tru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tru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tru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tru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tru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true" outlineLevel="0" collapsed="false">
      <c r="B688164" s="1" t="s">
        <v>49</v>
      </c>
      <c r="C688164" s="1" t="n">
        <v>2024</v>
      </c>
      <c r="D688164" s="1" t="n">
        <v>2024</v>
      </c>
    </row>
    <row r="704513" customFormat="false" ht="12" hidden="false" customHeight="true" outlineLevel="0" collapsed="false">
      <c r="B704513" s="1" t="s">
        <v>33</v>
      </c>
      <c r="C704513" s="1" t="n">
        <v>915</v>
      </c>
      <c r="D704513" s="1" t="n">
        <v>915</v>
      </c>
    </row>
    <row r="704514" customFormat="false" ht="12" hidden="false" customHeight="true" outlineLevel="0" collapsed="false">
      <c r="B704514" s="1" t="s">
        <v>34</v>
      </c>
      <c r="C704514" s="1" t="s">
        <v>35</v>
      </c>
      <c r="D704514" s="1" t="s">
        <v>36</v>
      </c>
    </row>
    <row r="704515" customFormat="false" ht="12" hidden="false" customHeight="true" outlineLevel="0" collapsed="false">
      <c r="B704515" s="1" t="s">
        <v>37</v>
      </c>
      <c r="C704515" s="1" t="s">
        <v>38</v>
      </c>
      <c r="D704515" s="1" t="s">
        <v>38</v>
      </c>
    </row>
    <row r="704516" customFormat="false" ht="12" hidden="false" customHeight="true" outlineLevel="0" collapsed="false">
      <c r="B704516" s="1" t="s">
        <v>39</v>
      </c>
      <c r="C704516" s="1" t="s">
        <v>40</v>
      </c>
      <c r="D704516" s="1" t="s">
        <v>40</v>
      </c>
    </row>
    <row r="704517" customFormat="false" ht="12" hidden="false" customHeight="true" outlineLevel="0" collapsed="false">
      <c r="B704517" s="1" t="s">
        <v>41</v>
      </c>
      <c r="C704517" s="1" t="s">
        <v>42</v>
      </c>
      <c r="D704517" s="1" t="s">
        <v>43</v>
      </c>
    </row>
    <row r="704518" customFormat="false" ht="12" hidden="false" customHeight="true" outlineLevel="0" collapsed="false">
      <c r="B704518" s="1" t="s">
        <v>44</v>
      </c>
      <c r="C704518" s="1" t="s">
        <v>45</v>
      </c>
      <c r="D704518" s="1" t="s">
        <v>41</v>
      </c>
    </row>
    <row r="704519" customFormat="false" ht="12" hidden="false" customHeight="true" outlineLevel="0" collapsed="false">
      <c r="B704519" s="1" t="s">
        <v>46</v>
      </c>
      <c r="C704519" s="1" t="s">
        <v>47</v>
      </c>
      <c r="D704519" s="1" t="s">
        <v>48</v>
      </c>
    </row>
    <row r="704520" customFormat="false" ht="12" hidden="false" customHeight="tru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tru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tru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tru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tru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tru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tru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tru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tru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tru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tru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tru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tru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tru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tru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tru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tru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tru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tru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tru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tru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tru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tru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tru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tru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tru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tru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tru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true" outlineLevel="0" collapsed="false">
      <c r="B704548" s="1" t="s">
        <v>49</v>
      </c>
      <c r="C704548" s="1" t="n">
        <v>2024</v>
      </c>
      <c r="D704548" s="1" t="n">
        <v>2024</v>
      </c>
    </row>
    <row r="720897" customFormat="false" ht="12" hidden="false" customHeight="true" outlineLevel="0" collapsed="false">
      <c r="B720897" s="1" t="s">
        <v>33</v>
      </c>
      <c r="C720897" s="1" t="n">
        <v>915</v>
      </c>
      <c r="D720897" s="1" t="n">
        <v>915</v>
      </c>
    </row>
    <row r="720898" customFormat="false" ht="12" hidden="false" customHeight="true" outlineLevel="0" collapsed="false">
      <c r="B720898" s="1" t="s">
        <v>34</v>
      </c>
      <c r="C720898" s="1" t="s">
        <v>35</v>
      </c>
      <c r="D720898" s="1" t="s">
        <v>36</v>
      </c>
    </row>
    <row r="720899" customFormat="false" ht="12" hidden="false" customHeight="true" outlineLevel="0" collapsed="false">
      <c r="B720899" s="1" t="s">
        <v>37</v>
      </c>
      <c r="C720899" s="1" t="s">
        <v>38</v>
      </c>
      <c r="D720899" s="1" t="s">
        <v>38</v>
      </c>
    </row>
    <row r="720900" customFormat="false" ht="12" hidden="false" customHeight="true" outlineLevel="0" collapsed="false">
      <c r="B720900" s="1" t="s">
        <v>39</v>
      </c>
      <c r="C720900" s="1" t="s">
        <v>40</v>
      </c>
      <c r="D720900" s="1" t="s">
        <v>40</v>
      </c>
    </row>
    <row r="720901" customFormat="false" ht="12" hidden="false" customHeight="true" outlineLevel="0" collapsed="false">
      <c r="B720901" s="1" t="s">
        <v>41</v>
      </c>
      <c r="C720901" s="1" t="s">
        <v>42</v>
      </c>
      <c r="D720901" s="1" t="s">
        <v>43</v>
      </c>
    </row>
    <row r="720902" customFormat="false" ht="12" hidden="false" customHeight="true" outlineLevel="0" collapsed="false">
      <c r="B720902" s="1" t="s">
        <v>44</v>
      </c>
      <c r="C720902" s="1" t="s">
        <v>45</v>
      </c>
      <c r="D720902" s="1" t="s">
        <v>41</v>
      </c>
    </row>
    <row r="720903" customFormat="false" ht="12" hidden="false" customHeight="true" outlineLevel="0" collapsed="false">
      <c r="B720903" s="1" t="s">
        <v>46</v>
      </c>
      <c r="C720903" s="1" t="s">
        <v>47</v>
      </c>
      <c r="D720903" s="1" t="s">
        <v>48</v>
      </c>
    </row>
    <row r="720904" customFormat="false" ht="12" hidden="false" customHeight="tru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tru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tru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tru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tru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tru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tru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tru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tru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tru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tru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tru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tru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tru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tru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tru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tru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tru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tru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tru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tru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tru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tru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tru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tru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tru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tru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tru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true" outlineLevel="0" collapsed="false">
      <c r="B720932" s="1" t="s">
        <v>49</v>
      </c>
      <c r="C720932" s="1" t="n">
        <v>2024</v>
      </c>
      <c r="D720932" s="1" t="n">
        <v>2024</v>
      </c>
    </row>
    <row r="737281" customFormat="false" ht="12" hidden="false" customHeight="true" outlineLevel="0" collapsed="false">
      <c r="B737281" s="1" t="s">
        <v>33</v>
      </c>
      <c r="C737281" s="1" t="n">
        <v>915</v>
      </c>
      <c r="D737281" s="1" t="n">
        <v>915</v>
      </c>
    </row>
    <row r="737282" customFormat="false" ht="12" hidden="false" customHeight="true" outlineLevel="0" collapsed="false">
      <c r="B737282" s="1" t="s">
        <v>34</v>
      </c>
      <c r="C737282" s="1" t="s">
        <v>35</v>
      </c>
      <c r="D737282" s="1" t="s">
        <v>36</v>
      </c>
    </row>
    <row r="737283" customFormat="false" ht="12" hidden="false" customHeight="true" outlineLevel="0" collapsed="false">
      <c r="B737283" s="1" t="s">
        <v>37</v>
      </c>
      <c r="C737283" s="1" t="s">
        <v>38</v>
      </c>
      <c r="D737283" s="1" t="s">
        <v>38</v>
      </c>
    </row>
    <row r="737284" customFormat="false" ht="12" hidden="false" customHeight="true" outlineLevel="0" collapsed="false">
      <c r="B737284" s="1" t="s">
        <v>39</v>
      </c>
      <c r="C737284" s="1" t="s">
        <v>40</v>
      </c>
      <c r="D737284" s="1" t="s">
        <v>40</v>
      </c>
    </row>
    <row r="737285" customFormat="false" ht="12" hidden="false" customHeight="true" outlineLevel="0" collapsed="false">
      <c r="B737285" s="1" t="s">
        <v>41</v>
      </c>
      <c r="C737285" s="1" t="s">
        <v>42</v>
      </c>
      <c r="D737285" s="1" t="s">
        <v>43</v>
      </c>
    </row>
    <row r="737286" customFormat="false" ht="12" hidden="false" customHeight="true" outlineLevel="0" collapsed="false">
      <c r="B737286" s="1" t="s">
        <v>44</v>
      </c>
      <c r="C737286" s="1" t="s">
        <v>45</v>
      </c>
      <c r="D737286" s="1" t="s">
        <v>41</v>
      </c>
    </row>
    <row r="737287" customFormat="false" ht="12" hidden="false" customHeight="true" outlineLevel="0" collapsed="false">
      <c r="B737287" s="1" t="s">
        <v>46</v>
      </c>
      <c r="C737287" s="1" t="s">
        <v>47</v>
      </c>
      <c r="D737287" s="1" t="s">
        <v>48</v>
      </c>
    </row>
    <row r="737288" customFormat="false" ht="12" hidden="false" customHeight="tru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tru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tru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tru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tru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tru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tru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tru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tru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tru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tru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tru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tru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tru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tru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tru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tru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tru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tru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tru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tru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tru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tru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tru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tru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tru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tru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tru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true" outlineLevel="0" collapsed="false">
      <c r="B737316" s="1" t="s">
        <v>49</v>
      </c>
      <c r="C737316" s="1" t="n">
        <v>2024</v>
      </c>
      <c r="D737316" s="1" t="n">
        <v>2024</v>
      </c>
    </row>
    <row r="753665" customFormat="false" ht="12" hidden="false" customHeight="true" outlineLevel="0" collapsed="false">
      <c r="B753665" s="1" t="s">
        <v>33</v>
      </c>
      <c r="C753665" s="1" t="n">
        <v>915</v>
      </c>
      <c r="D753665" s="1" t="n">
        <v>915</v>
      </c>
    </row>
    <row r="753666" customFormat="false" ht="12" hidden="false" customHeight="true" outlineLevel="0" collapsed="false">
      <c r="B753666" s="1" t="s">
        <v>34</v>
      </c>
      <c r="C753666" s="1" t="s">
        <v>35</v>
      </c>
      <c r="D753666" s="1" t="s">
        <v>36</v>
      </c>
    </row>
    <row r="753667" customFormat="false" ht="12" hidden="false" customHeight="true" outlineLevel="0" collapsed="false">
      <c r="B753667" s="1" t="s">
        <v>37</v>
      </c>
      <c r="C753667" s="1" t="s">
        <v>38</v>
      </c>
      <c r="D753667" s="1" t="s">
        <v>38</v>
      </c>
    </row>
    <row r="753668" customFormat="false" ht="12" hidden="false" customHeight="true" outlineLevel="0" collapsed="false">
      <c r="B753668" s="1" t="s">
        <v>39</v>
      </c>
      <c r="C753668" s="1" t="s">
        <v>40</v>
      </c>
      <c r="D753668" s="1" t="s">
        <v>40</v>
      </c>
    </row>
    <row r="753669" customFormat="false" ht="12" hidden="false" customHeight="true" outlineLevel="0" collapsed="false">
      <c r="B753669" s="1" t="s">
        <v>41</v>
      </c>
      <c r="C753669" s="1" t="s">
        <v>42</v>
      </c>
      <c r="D753669" s="1" t="s">
        <v>43</v>
      </c>
    </row>
    <row r="753670" customFormat="false" ht="12" hidden="false" customHeight="true" outlineLevel="0" collapsed="false">
      <c r="B753670" s="1" t="s">
        <v>44</v>
      </c>
      <c r="C753670" s="1" t="s">
        <v>45</v>
      </c>
      <c r="D753670" s="1" t="s">
        <v>41</v>
      </c>
    </row>
    <row r="753671" customFormat="false" ht="12" hidden="false" customHeight="true" outlineLevel="0" collapsed="false">
      <c r="B753671" s="1" t="s">
        <v>46</v>
      </c>
      <c r="C753671" s="1" t="s">
        <v>47</v>
      </c>
      <c r="D753671" s="1" t="s">
        <v>48</v>
      </c>
    </row>
    <row r="753672" customFormat="false" ht="12" hidden="false" customHeight="tru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tru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tru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tru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tru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tru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tru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tru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tru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tru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tru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tru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tru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tru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tru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tru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tru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tru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tru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tru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tru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tru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tru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tru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tru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tru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tru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tru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true" outlineLevel="0" collapsed="false">
      <c r="B753700" s="1" t="s">
        <v>49</v>
      </c>
      <c r="C753700" s="1" t="n">
        <v>2024</v>
      </c>
      <c r="D753700" s="1" t="n">
        <v>2024</v>
      </c>
    </row>
    <row r="770049" customFormat="false" ht="12" hidden="false" customHeight="true" outlineLevel="0" collapsed="false">
      <c r="B770049" s="1" t="s">
        <v>33</v>
      </c>
      <c r="C770049" s="1" t="n">
        <v>915</v>
      </c>
      <c r="D770049" s="1" t="n">
        <v>915</v>
      </c>
    </row>
    <row r="770050" customFormat="false" ht="12" hidden="false" customHeight="true" outlineLevel="0" collapsed="false">
      <c r="B770050" s="1" t="s">
        <v>34</v>
      </c>
      <c r="C770050" s="1" t="s">
        <v>35</v>
      </c>
      <c r="D770050" s="1" t="s">
        <v>36</v>
      </c>
    </row>
    <row r="770051" customFormat="false" ht="12" hidden="false" customHeight="true" outlineLevel="0" collapsed="false">
      <c r="B770051" s="1" t="s">
        <v>37</v>
      </c>
      <c r="C770051" s="1" t="s">
        <v>38</v>
      </c>
      <c r="D770051" s="1" t="s">
        <v>38</v>
      </c>
    </row>
    <row r="770052" customFormat="false" ht="12" hidden="false" customHeight="true" outlineLevel="0" collapsed="false">
      <c r="B770052" s="1" t="s">
        <v>39</v>
      </c>
      <c r="C770052" s="1" t="s">
        <v>40</v>
      </c>
      <c r="D770052" s="1" t="s">
        <v>40</v>
      </c>
    </row>
    <row r="770053" customFormat="false" ht="12" hidden="false" customHeight="true" outlineLevel="0" collapsed="false">
      <c r="B770053" s="1" t="s">
        <v>41</v>
      </c>
      <c r="C770053" s="1" t="s">
        <v>42</v>
      </c>
      <c r="D770053" s="1" t="s">
        <v>43</v>
      </c>
    </row>
    <row r="770054" customFormat="false" ht="12" hidden="false" customHeight="true" outlineLevel="0" collapsed="false">
      <c r="B770054" s="1" t="s">
        <v>44</v>
      </c>
      <c r="C770054" s="1" t="s">
        <v>45</v>
      </c>
      <c r="D770054" s="1" t="s">
        <v>41</v>
      </c>
    </row>
    <row r="770055" customFormat="false" ht="12" hidden="false" customHeight="true" outlineLevel="0" collapsed="false">
      <c r="B770055" s="1" t="s">
        <v>46</v>
      </c>
      <c r="C770055" s="1" t="s">
        <v>47</v>
      </c>
      <c r="D770055" s="1" t="s">
        <v>48</v>
      </c>
    </row>
    <row r="770056" customFormat="false" ht="12" hidden="false" customHeight="tru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tru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tru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tru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tru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tru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tru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tru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tru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tru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tru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tru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tru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tru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tru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tru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tru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tru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tru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tru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tru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tru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tru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tru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tru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tru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tru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tru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true" outlineLevel="0" collapsed="false">
      <c r="B770084" s="1" t="s">
        <v>49</v>
      </c>
      <c r="C770084" s="1" t="n">
        <v>2024</v>
      </c>
      <c r="D770084" s="1" t="n">
        <v>2024</v>
      </c>
    </row>
    <row r="786433" customFormat="false" ht="12" hidden="false" customHeight="true" outlineLevel="0" collapsed="false">
      <c r="B786433" s="1" t="s">
        <v>33</v>
      </c>
      <c r="C786433" s="1" t="n">
        <v>915</v>
      </c>
      <c r="D786433" s="1" t="n">
        <v>915</v>
      </c>
    </row>
    <row r="786434" customFormat="false" ht="12" hidden="false" customHeight="true" outlineLevel="0" collapsed="false">
      <c r="B786434" s="1" t="s">
        <v>34</v>
      </c>
      <c r="C786434" s="1" t="s">
        <v>35</v>
      </c>
      <c r="D786434" s="1" t="s">
        <v>36</v>
      </c>
    </row>
    <row r="786435" customFormat="false" ht="12" hidden="false" customHeight="true" outlineLevel="0" collapsed="false">
      <c r="B786435" s="1" t="s">
        <v>37</v>
      </c>
      <c r="C786435" s="1" t="s">
        <v>38</v>
      </c>
      <c r="D786435" s="1" t="s">
        <v>38</v>
      </c>
    </row>
    <row r="786436" customFormat="false" ht="12" hidden="false" customHeight="true" outlineLevel="0" collapsed="false">
      <c r="B786436" s="1" t="s">
        <v>39</v>
      </c>
      <c r="C786436" s="1" t="s">
        <v>40</v>
      </c>
      <c r="D786436" s="1" t="s">
        <v>40</v>
      </c>
    </row>
    <row r="786437" customFormat="false" ht="12" hidden="false" customHeight="true" outlineLevel="0" collapsed="false">
      <c r="B786437" s="1" t="s">
        <v>41</v>
      </c>
      <c r="C786437" s="1" t="s">
        <v>42</v>
      </c>
      <c r="D786437" s="1" t="s">
        <v>43</v>
      </c>
    </row>
    <row r="786438" customFormat="false" ht="12" hidden="false" customHeight="true" outlineLevel="0" collapsed="false">
      <c r="B786438" s="1" t="s">
        <v>44</v>
      </c>
      <c r="C786438" s="1" t="s">
        <v>45</v>
      </c>
      <c r="D786438" s="1" t="s">
        <v>41</v>
      </c>
    </row>
    <row r="786439" customFormat="false" ht="12" hidden="false" customHeight="true" outlineLevel="0" collapsed="false">
      <c r="B786439" s="1" t="s">
        <v>46</v>
      </c>
      <c r="C786439" s="1" t="s">
        <v>47</v>
      </c>
      <c r="D786439" s="1" t="s">
        <v>48</v>
      </c>
    </row>
    <row r="786440" customFormat="false" ht="12" hidden="false" customHeight="tru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tru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tru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tru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tru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tru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tru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tru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tru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tru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tru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tru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tru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tru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tru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tru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tru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tru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tru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tru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tru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tru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tru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tru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tru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tru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tru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tru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true" outlineLevel="0" collapsed="false">
      <c r="B786468" s="1" t="s">
        <v>49</v>
      </c>
      <c r="C786468" s="1" t="n">
        <v>2024</v>
      </c>
      <c r="D786468" s="1" t="n">
        <v>2024</v>
      </c>
    </row>
    <row r="802817" customFormat="false" ht="12" hidden="false" customHeight="true" outlineLevel="0" collapsed="false">
      <c r="B802817" s="1" t="s">
        <v>33</v>
      </c>
      <c r="C802817" s="1" t="n">
        <v>915</v>
      </c>
      <c r="D802817" s="1" t="n">
        <v>915</v>
      </c>
    </row>
    <row r="802818" customFormat="false" ht="12" hidden="false" customHeight="true" outlineLevel="0" collapsed="false">
      <c r="B802818" s="1" t="s">
        <v>34</v>
      </c>
      <c r="C802818" s="1" t="s">
        <v>35</v>
      </c>
      <c r="D802818" s="1" t="s">
        <v>36</v>
      </c>
    </row>
    <row r="802819" customFormat="false" ht="12" hidden="false" customHeight="true" outlineLevel="0" collapsed="false">
      <c r="B802819" s="1" t="s">
        <v>37</v>
      </c>
      <c r="C802819" s="1" t="s">
        <v>38</v>
      </c>
      <c r="D802819" s="1" t="s">
        <v>38</v>
      </c>
    </row>
    <row r="802820" customFormat="false" ht="12" hidden="false" customHeight="true" outlineLevel="0" collapsed="false">
      <c r="B802820" s="1" t="s">
        <v>39</v>
      </c>
      <c r="C802820" s="1" t="s">
        <v>40</v>
      </c>
      <c r="D802820" s="1" t="s">
        <v>40</v>
      </c>
    </row>
    <row r="802821" customFormat="false" ht="12" hidden="false" customHeight="true" outlineLevel="0" collapsed="false">
      <c r="B802821" s="1" t="s">
        <v>41</v>
      </c>
      <c r="C802821" s="1" t="s">
        <v>42</v>
      </c>
      <c r="D802821" s="1" t="s">
        <v>43</v>
      </c>
    </row>
    <row r="802822" customFormat="false" ht="12" hidden="false" customHeight="true" outlineLevel="0" collapsed="false">
      <c r="B802822" s="1" t="s">
        <v>44</v>
      </c>
      <c r="C802822" s="1" t="s">
        <v>45</v>
      </c>
      <c r="D802822" s="1" t="s">
        <v>41</v>
      </c>
    </row>
    <row r="802823" customFormat="false" ht="12" hidden="false" customHeight="true" outlineLevel="0" collapsed="false">
      <c r="B802823" s="1" t="s">
        <v>46</v>
      </c>
      <c r="C802823" s="1" t="s">
        <v>47</v>
      </c>
      <c r="D802823" s="1" t="s">
        <v>48</v>
      </c>
    </row>
    <row r="802824" customFormat="false" ht="12" hidden="false" customHeight="tru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tru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tru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tru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tru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tru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tru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tru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tru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tru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tru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tru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tru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tru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tru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tru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tru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tru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tru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tru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tru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tru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tru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tru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tru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tru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tru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tru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true" outlineLevel="0" collapsed="false">
      <c r="B802852" s="1" t="s">
        <v>49</v>
      </c>
      <c r="C802852" s="1" t="n">
        <v>2024</v>
      </c>
      <c r="D802852" s="1" t="n">
        <v>2024</v>
      </c>
    </row>
    <row r="819201" customFormat="false" ht="12" hidden="false" customHeight="true" outlineLevel="0" collapsed="false">
      <c r="B819201" s="1" t="s">
        <v>33</v>
      </c>
      <c r="C819201" s="1" t="n">
        <v>915</v>
      </c>
      <c r="D819201" s="1" t="n">
        <v>915</v>
      </c>
    </row>
    <row r="819202" customFormat="false" ht="12" hidden="false" customHeight="true" outlineLevel="0" collapsed="false">
      <c r="B819202" s="1" t="s">
        <v>34</v>
      </c>
      <c r="C819202" s="1" t="s">
        <v>35</v>
      </c>
      <c r="D819202" s="1" t="s">
        <v>36</v>
      </c>
    </row>
    <row r="819203" customFormat="false" ht="12" hidden="false" customHeight="true" outlineLevel="0" collapsed="false">
      <c r="B819203" s="1" t="s">
        <v>37</v>
      </c>
      <c r="C819203" s="1" t="s">
        <v>38</v>
      </c>
      <c r="D819203" s="1" t="s">
        <v>38</v>
      </c>
    </row>
    <row r="819204" customFormat="false" ht="12" hidden="false" customHeight="true" outlineLevel="0" collapsed="false">
      <c r="B819204" s="1" t="s">
        <v>39</v>
      </c>
      <c r="C819204" s="1" t="s">
        <v>40</v>
      </c>
      <c r="D819204" s="1" t="s">
        <v>40</v>
      </c>
    </row>
    <row r="819205" customFormat="false" ht="12" hidden="false" customHeight="true" outlineLevel="0" collapsed="false">
      <c r="B819205" s="1" t="s">
        <v>41</v>
      </c>
      <c r="C819205" s="1" t="s">
        <v>42</v>
      </c>
      <c r="D819205" s="1" t="s">
        <v>43</v>
      </c>
    </row>
    <row r="819206" customFormat="false" ht="12" hidden="false" customHeight="true" outlineLevel="0" collapsed="false">
      <c r="B819206" s="1" t="s">
        <v>44</v>
      </c>
      <c r="C819206" s="1" t="s">
        <v>45</v>
      </c>
      <c r="D819206" s="1" t="s">
        <v>41</v>
      </c>
    </row>
    <row r="819207" customFormat="false" ht="12" hidden="false" customHeight="true" outlineLevel="0" collapsed="false">
      <c r="B819207" s="1" t="s">
        <v>46</v>
      </c>
      <c r="C819207" s="1" t="s">
        <v>47</v>
      </c>
      <c r="D819207" s="1" t="s">
        <v>48</v>
      </c>
    </row>
    <row r="819208" customFormat="false" ht="12" hidden="false" customHeight="tru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tru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tru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tru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tru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tru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tru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tru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tru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tru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tru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tru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tru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tru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tru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tru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tru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tru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tru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tru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tru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tru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tru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tru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tru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tru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tru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tru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true" outlineLevel="0" collapsed="false">
      <c r="B819236" s="1" t="s">
        <v>49</v>
      </c>
      <c r="C819236" s="1" t="n">
        <v>2024</v>
      </c>
      <c r="D819236" s="1" t="n">
        <v>2024</v>
      </c>
    </row>
    <row r="835585" customFormat="false" ht="12" hidden="false" customHeight="true" outlineLevel="0" collapsed="false">
      <c r="B835585" s="1" t="s">
        <v>33</v>
      </c>
      <c r="C835585" s="1" t="n">
        <v>915</v>
      </c>
      <c r="D835585" s="1" t="n">
        <v>915</v>
      </c>
    </row>
    <row r="835586" customFormat="false" ht="12" hidden="false" customHeight="true" outlineLevel="0" collapsed="false">
      <c r="B835586" s="1" t="s">
        <v>34</v>
      </c>
      <c r="C835586" s="1" t="s">
        <v>35</v>
      </c>
      <c r="D835586" s="1" t="s">
        <v>36</v>
      </c>
    </row>
    <row r="835587" customFormat="false" ht="12" hidden="false" customHeight="true" outlineLevel="0" collapsed="false">
      <c r="B835587" s="1" t="s">
        <v>37</v>
      </c>
      <c r="C835587" s="1" t="s">
        <v>38</v>
      </c>
      <c r="D835587" s="1" t="s">
        <v>38</v>
      </c>
    </row>
    <row r="835588" customFormat="false" ht="12" hidden="false" customHeight="true" outlineLevel="0" collapsed="false">
      <c r="B835588" s="1" t="s">
        <v>39</v>
      </c>
      <c r="C835588" s="1" t="s">
        <v>40</v>
      </c>
      <c r="D835588" s="1" t="s">
        <v>40</v>
      </c>
    </row>
    <row r="835589" customFormat="false" ht="12" hidden="false" customHeight="true" outlineLevel="0" collapsed="false">
      <c r="B835589" s="1" t="s">
        <v>41</v>
      </c>
      <c r="C835589" s="1" t="s">
        <v>42</v>
      </c>
      <c r="D835589" s="1" t="s">
        <v>43</v>
      </c>
    </row>
    <row r="835590" customFormat="false" ht="12" hidden="false" customHeight="true" outlineLevel="0" collapsed="false">
      <c r="B835590" s="1" t="s">
        <v>44</v>
      </c>
      <c r="C835590" s="1" t="s">
        <v>45</v>
      </c>
      <c r="D835590" s="1" t="s">
        <v>41</v>
      </c>
    </row>
    <row r="835591" customFormat="false" ht="12" hidden="false" customHeight="true" outlineLevel="0" collapsed="false">
      <c r="B835591" s="1" t="s">
        <v>46</v>
      </c>
      <c r="C835591" s="1" t="s">
        <v>47</v>
      </c>
      <c r="D835591" s="1" t="s">
        <v>48</v>
      </c>
    </row>
    <row r="835592" customFormat="false" ht="12" hidden="false" customHeight="tru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tru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tru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tru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tru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tru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tru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tru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tru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tru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tru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tru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tru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tru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tru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tru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tru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tru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tru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tru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tru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tru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tru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tru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tru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tru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tru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tru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true" outlineLevel="0" collapsed="false">
      <c r="B835620" s="1" t="s">
        <v>49</v>
      </c>
      <c r="C835620" s="1" t="n">
        <v>2024</v>
      </c>
      <c r="D835620" s="1" t="n">
        <v>2024</v>
      </c>
    </row>
    <row r="851969" customFormat="false" ht="12" hidden="false" customHeight="true" outlineLevel="0" collapsed="false">
      <c r="B851969" s="1" t="s">
        <v>33</v>
      </c>
      <c r="C851969" s="1" t="n">
        <v>915</v>
      </c>
      <c r="D851969" s="1" t="n">
        <v>915</v>
      </c>
    </row>
    <row r="851970" customFormat="false" ht="12" hidden="false" customHeight="true" outlineLevel="0" collapsed="false">
      <c r="B851970" s="1" t="s">
        <v>34</v>
      </c>
      <c r="C851970" s="1" t="s">
        <v>35</v>
      </c>
      <c r="D851970" s="1" t="s">
        <v>36</v>
      </c>
    </row>
    <row r="851971" customFormat="false" ht="12" hidden="false" customHeight="true" outlineLevel="0" collapsed="false">
      <c r="B851971" s="1" t="s">
        <v>37</v>
      </c>
      <c r="C851971" s="1" t="s">
        <v>38</v>
      </c>
      <c r="D851971" s="1" t="s">
        <v>38</v>
      </c>
    </row>
    <row r="851972" customFormat="false" ht="12" hidden="false" customHeight="true" outlineLevel="0" collapsed="false">
      <c r="B851972" s="1" t="s">
        <v>39</v>
      </c>
      <c r="C851972" s="1" t="s">
        <v>40</v>
      </c>
      <c r="D851972" s="1" t="s">
        <v>40</v>
      </c>
    </row>
    <row r="851973" customFormat="false" ht="12" hidden="false" customHeight="true" outlineLevel="0" collapsed="false">
      <c r="B851973" s="1" t="s">
        <v>41</v>
      </c>
      <c r="C851973" s="1" t="s">
        <v>42</v>
      </c>
      <c r="D851973" s="1" t="s">
        <v>43</v>
      </c>
    </row>
    <row r="851974" customFormat="false" ht="12" hidden="false" customHeight="true" outlineLevel="0" collapsed="false">
      <c r="B851974" s="1" t="s">
        <v>44</v>
      </c>
      <c r="C851974" s="1" t="s">
        <v>45</v>
      </c>
      <c r="D851974" s="1" t="s">
        <v>41</v>
      </c>
    </row>
    <row r="851975" customFormat="false" ht="12" hidden="false" customHeight="true" outlineLevel="0" collapsed="false">
      <c r="B851975" s="1" t="s">
        <v>46</v>
      </c>
      <c r="C851975" s="1" t="s">
        <v>47</v>
      </c>
      <c r="D851975" s="1" t="s">
        <v>48</v>
      </c>
    </row>
    <row r="851976" customFormat="false" ht="12" hidden="false" customHeight="tru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tru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tru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tru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tru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tru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tru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tru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tru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tru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tru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tru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tru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tru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tru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tru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tru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tru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tru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tru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tru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tru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tru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tru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tru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tru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tru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tru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true" outlineLevel="0" collapsed="false">
      <c r="B852004" s="1" t="s">
        <v>49</v>
      </c>
      <c r="C852004" s="1" t="n">
        <v>2024</v>
      </c>
      <c r="D852004" s="1" t="n">
        <v>2024</v>
      </c>
    </row>
    <row r="868353" customFormat="false" ht="12" hidden="false" customHeight="true" outlineLevel="0" collapsed="false">
      <c r="B868353" s="1" t="s">
        <v>33</v>
      </c>
      <c r="C868353" s="1" t="n">
        <v>915</v>
      </c>
      <c r="D868353" s="1" t="n">
        <v>915</v>
      </c>
    </row>
    <row r="868354" customFormat="false" ht="12" hidden="false" customHeight="true" outlineLevel="0" collapsed="false">
      <c r="B868354" s="1" t="s">
        <v>34</v>
      </c>
      <c r="C868354" s="1" t="s">
        <v>35</v>
      </c>
      <c r="D868354" s="1" t="s">
        <v>36</v>
      </c>
    </row>
    <row r="868355" customFormat="false" ht="12" hidden="false" customHeight="true" outlineLevel="0" collapsed="false">
      <c r="B868355" s="1" t="s">
        <v>37</v>
      </c>
      <c r="C868355" s="1" t="s">
        <v>38</v>
      </c>
      <c r="D868355" s="1" t="s">
        <v>38</v>
      </c>
    </row>
    <row r="868356" customFormat="false" ht="12" hidden="false" customHeight="true" outlineLevel="0" collapsed="false">
      <c r="B868356" s="1" t="s">
        <v>39</v>
      </c>
      <c r="C868356" s="1" t="s">
        <v>40</v>
      </c>
      <c r="D868356" s="1" t="s">
        <v>40</v>
      </c>
    </row>
    <row r="868357" customFormat="false" ht="12" hidden="false" customHeight="true" outlineLevel="0" collapsed="false">
      <c r="B868357" s="1" t="s">
        <v>41</v>
      </c>
      <c r="C868357" s="1" t="s">
        <v>42</v>
      </c>
      <c r="D868357" s="1" t="s">
        <v>43</v>
      </c>
    </row>
    <row r="868358" customFormat="false" ht="12" hidden="false" customHeight="true" outlineLevel="0" collapsed="false">
      <c r="B868358" s="1" t="s">
        <v>44</v>
      </c>
      <c r="C868358" s="1" t="s">
        <v>45</v>
      </c>
      <c r="D868358" s="1" t="s">
        <v>41</v>
      </c>
    </row>
    <row r="868359" customFormat="false" ht="12" hidden="false" customHeight="true" outlineLevel="0" collapsed="false">
      <c r="B868359" s="1" t="s">
        <v>46</v>
      </c>
      <c r="C868359" s="1" t="s">
        <v>47</v>
      </c>
      <c r="D868359" s="1" t="s">
        <v>48</v>
      </c>
    </row>
    <row r="868360" customFormat="false" ht="12" hidden="false" customHeight="tru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tru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tru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tru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tru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tru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tru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tru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tru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tru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tru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tru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tru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tru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tru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tru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tru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tru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tru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tru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tru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tru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tru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tru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tru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tru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tru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tru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true" outlineLevel="0" collapsed="false">
      <c r="B868388" s="1" t="s">
        <v>49</v>
      </c>
      <c r="C868388" s="1" t="n">
        <v>2024</v>
      </c>
      <c r="D868388" s="1" t="n">
        <v>2024</v>
      </c>
    </row>
    <row r="884737" customFormat="false" ht="12" hidden="false" customHeight="true" outlineLevel="0" collapsed="false">
      <c r="B884737" s="1" t="s">
        <v>33</v>
      </c>
      <c r="C884737" s="1" t="n">
        <v>915</v>
      </c>
      <c r="D884737" s="1" t="n">
        <v>915</v>
      </c>
    </row>
    <row r="884738" customFormat="false" ht="12" hidden="false" customHeight="true" outlineLevel="0" collapsed="false">
      <c r="B884738" s="1" t="s">
        <v>34</v>
      </c>
      <c r="C884738" s="1" t="s">
        <v>35</v>
      </c>
      <c r="D884738" s="1" t="s">
        <v>36</v>
      </c>
    </row>
    <row r="884739" customFormat="false" ht="12" hidden="false" customHeight="true" outlineLevel="0" collapsed="false">
      <c r="B884739" s="1" t="s">
        <v>37</v>
      </c>
      <c r="C884739" s="1" t="s">
        <v>38</v>
      </c>
      <c r="D884739" s="1" t="s">
        <v>38</v>
      </c>
    </row>
    <row r="884740" customFormat="false" ht="12" hidden="false" customHeight="true" outlineLevel="0" collapsed="false">
      <c r="B884740" s="1" t="s">
        <v>39</v>
      </c>
      <c r="C884740" s="1" t="s">
        <v>40</v>
      </c>
      <c r="D884740" s="1" t="s">
        <v>40</v>
      </c>
    </row>
    <row r="884741" customFormat="false" ht="12" hidden="false" customHeight="true" outlineLevel="0" collapsed="false">
      <c r="B884741" s="1" t="s">
        <v>41</v>
      </c>
      <c r="C884741" s="1" t="s">
        <v>42</v>
      </c>
      <c r="D884741" s="1" t="s">
        <v>43</v>
      </c>
    </row>
    <row r="884742" customFormat="false" ht="12" hidden="false" customHeight="true" outlineLevel="0" collapsed="false">
      <c r="B884742" s="1" t="s">
        <v>44</v>
      </c>
      <c r="C884742" s="1" t="s">
        <v>45</v>
      </c>
      <c r="D884742" s="1" t="s">
        <v>41</v>
      </c>
    </row>
    <row r="884743" customFormat="false" ht="12" hidden="false" customHeight="true" outlineLevel="0" collapsed="false">
      <c r="B884743" s="1" t="s">
        <v>46</v>
      </c>
      <c r="C884743" s="1" t="s">
        <v>47</v>
      </c>
      <c r="D884743" s="1" t="s">
        <v>48</v>
      </c>
    </row>
    <row r="884744" customFormat="false" ht="12" hidden="false" customHeight="tru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tru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tru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tru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tru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tru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tru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tru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tru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tru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tru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tru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tru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tru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tru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tru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tru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tru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tru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tru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tru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tru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tru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tru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tru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tru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tru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tru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true" outlineLevel="0" collapsed="false">
      <c r="B884772" s="1" t="s">
        <v>49</v>
      </c>
      <c r="C884772" s="1" t="n">
        <v>2024</v>
      </c>
      <c r="D884772" s="1" t="n">
        <v>2024</v>
      </c>
    </row>
    <row r="901121" customFormat="false" ht="12" hidden="false" customHeight="true" outlineLevel="0" collapsed="false">
      <c r="B901121" s="1" t="s">
        <v>33</v>
      </c>
      <c r="C901121" s="1" t="n">
        <v>915</v>
      </c>
      <c r="D901121" s="1" t="n">
        <v>915</v>
      </c>
    </row>
    <row r="901122" customFormat="false" ht="12" hidden="false" customHeight="true" outlineLevel="0" collapsed="false">
      <c r="B901122" s="1" t="s">
        <v>34</v>
      </c>
      <c r="C901122" s="1" t="s">
        <v>35</v>
      </c>
      <c r="D901122" s="1" t="s">
        <v>36</v>
      </c>
    </row>
    <row r="901123" customFormat="false" ht="12" hidden="false" customHeight="true" outlineLevel="0" collapsed="false">
      <c r="B901123" s="1" t="s">
        <v>37</v>
      </c>
      <c r="C901123" s="1" t="s">
        <v>38</v>
      </c>
      <c r="D901123" s="1" t="s">
        <v>38</v>
      </c>
    </row>
    <row r="901124" customFormat="false" ht="12" hidden="false" customHeight="true" outlineLevel="0" collapsed="false">
      <c r="B901124" s="1" t="s">
        <v>39</v>
      </c>
      <c r="C901124" s="1" t="s">
        <v>40</v>
      </c>
      <c r="D901124" s="1" t="s">
        <v>40</v>
      </c>
    </row>
    <row r="901125" customFormat="false" ht="12" hidden="false" customHeight="true" outlineLevel="0" collapsed="false">
      <c r="B901125" s="1" t="s">
        <v>41</v>
      </c>
      <c r="C901125" s="1" t="s">
        <v>42</v>
      </c>
      <c r="D901125" s="1" t="s">
        <v>43</v>
      </c>
    </row>
    <row r="901126" customFormat="false" ht="12" hidden="false" customHeight="true" outlineLevel="0" collapsed="false">
      <c r="B901126" s="1" t="s">
        <v>44</v>
      </c>
      <c r="C901126" s="1" t="s">
        <v>45</v>
      </c>
      <c r="D901126" s="1" t="s">
        <v>41</v>
      </c>
    </row>
    <row r="901127" customFormat="false" ht="12" hidden="false" customHeight="true" outlineLevel="0" collapsed="false">
      <c r="B901127" s="1" t="s">
        <v>46</v>
      </c>
      <c r="C901127" s="1" t="s">
        <v>47</v>
      </c>
      <c r="D901127" s="1" t="s">
        <v>48</v>
      </c>
    </row>
    <row r="901128" customFormat="false" ht="12" hidden="false" customHeight="tru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tru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tru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tru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tru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tru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tru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tru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tru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tru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tru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tru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tru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tru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tru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tru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tru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tru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tru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tru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tru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tru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tru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tru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tru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tru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tru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tru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true" outlineLevel="0" collapsed="false">
      <c r="B901156" s="1" t="s">
        <v>49</v>
      </c>
      <c r="C901156" s="1" t="n">
        <v>2024</v>
      </c>
      <c r="D901156" s="1" t="n">
        <v>2024</v>
      </c>
    </row>
    <row r="917505" customFormat="false" ht="12" hidden="false" customHeight="true" outlineLevel="0" collapsed="false">
      <c r="B917505" s="1" t="s">
        <v>33</v>
      </c>
      <c r="C917505" s="1" t="n">
        <v>915</v>
      </c>
      <c r="D917505" s="1" t="n">
        <v>915</v>
      </c>
    </row>
    <row r="917506" customFormat="false" ht="12" hidden="false" customHeight="true" outlineLevel="0" collapsed="false">
      <c r="B917506" s="1" t="s">
        <v>34</v>
      </c>
      <c r="C917506" s="1" t="s">
        <v>35</v>
      </c>
      <c r="D917506" s="1" t="s">
        <v>36</v>
      </c>
    </row>
    <row r="917507" customFormat="false" ht="12" hidden="false" customHeight="true" outlineLevel="0" collapsed="false">
      <c r="B917507" s="1" t="s">
        <v>37</v>
      </c>
      <c r="C917507" s="1" t="s">
        <v>38</v>
      </c>
      <c r="D917507" s="1" t="s">
        <v>38</v>
      </c>
    </row>
    <row r="917508" customFormat="false" ht="12" hidden="false" customHeight="true" outlineLevel="0" collapsed="false">
      <c r="B917508" s="1" t="s">
        <v>39</v>
      </c>
      <c r="C917508" s="1" t="s">
        <v>40</v>
      </c>
      <c r="D917508" s="1" t="s">
        <v>40</v>
      </c>
    </row>
    <row r="917509" customFormat="false" ht="12" hidden="false" customHeight="true" outlineLevel="0" collapsed="false">
      <c r="B917509" s="1" t="s">
        <v>41</v>
      </c>
      <c r="C917509" s="1" t="s">
        <v>42</v>
      </c>
      <c r="D917509" s="1" t="s">
        <v>43</v>
      </c>
    </row>
    <row r="917510" customFormat="false" ht="12" hidden="false" customHeight="true" outlineLevel="0" collapsed="false">
      <c r="B917510" s="1" t="s">
        <v>44</v>
      </c>
      <c r="C917510" s="1" t="s">
        <v>45</v>
      </c>
      <c r="D917510" s="1" t="s">
        <v>41</v>
      </c>
    </row>
    <row r="917511" customFormat="false" ht="12" hidden="false" customHeight="true" outlineLevel="0" collapsed="false">
      <c r="B917511" s="1" t="s">
        <v>46</v>
      </c>
      <c r="C917511" s="1" t="s">
        <v>47</v>
      </c>
      <c r="D917511" s="1" t="s">
        <v>48</v>
      </c>
    </row>
    <row r="917512" customFormat="false" ht="12" hidden="false" customHeight="tru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tru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tru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tru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tru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tru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tru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tru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tru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tru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tru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tru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tru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tru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tru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tru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tru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tru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tru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tru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tru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tru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tru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tru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tru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tru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tru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tru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true" outlineLevel="0" collapsed="false">
      <c r="B917540" s="1" t="s">
        <v>49</v>
      </c>
      <c r="C917540" s="1" t="n">
        <v>2024</v>
      </c>
      <c r="D917540" s="1" t="n">
        <v>2024</v>
      </c>
    </row>
    <row r="933889" customFormat="false" ht="12" hidden="false" customHeight="true" outlineLevel="0" collapsed="false">
      <c r="B933889" s="1" t="s">
        <v>33</v>
      </c>
      <c r="C933889" s="1" t="n">
        <v>915</v>
      </c>
      <c r="D933889" s="1" t="n">
        <v>915</v>
      </c>
    </row>
    <row r="933890" customFormat="false" ht="12" hidden="false" customHeight="true" outlineLevel="0" collapsed="false">
      <c r="B933890" s="1" t="s">
        <v>34</v>
      </c>
      <c r="C933890" s="1" t="s">
        <v>35</v>
      </c>
      <c r="D933890" s="1" t="s">
        <v>36</v>
      </c>
    </row>
    <row r="933891" customFormat="false" ht="12" hidden="false" customHeight="true" outlineLevel="0" collapsed="false">
      <c r="B933891" s="1" t="s">
        <v>37</v>
      </c>
      <c r="C933891" s="1" t="s">
        <v>38</v>
      </c>
      <c r="D933891" s="1" t="s">
        <v>38</v>
      </c>
    </row>
    <row r="933892" customFormat="false" ht="12" hidden="false" customHeight="true" outlineLevel="0" collapsed="false">
      <c r="B933892" s="1" t="s">
        <v>39</v>
      </c>
      <c r="C933892" s="1" t="s">
        <v>40</v>
      </c>
      <c r="D933892" s="1" t="s">
        <v>40</v>
      </c>
    </row>
    <row r="933893" customFormat="false" ht="12" hidden="false" customHeight="true" outlineLevel="0" collapsed="false">
      <c r="B933893" s="1" t="s">
        <v>41</v>
      </c>
      <c r="C933893" s="1" t="s">
        <v>42</v>
      </c>
      <c r="D933893" s="1" t="s">
        <v>43</v>
      </c>
    </row>
    <row r="933894" customFormat="false" ht="12" hidden="false" customHeight="true" outlineLevel="0" collapsed="false">
      <c r="B933894" s="1" t="s">
        <v>44</v>
      </c>
      <c r="C933894" s="1" t="s">
        <v>45</v>
      </c>
      <c r="D933894" s="1" t="s">
        <v>41</v>
      </c>
    </row>
    <row r="933895" customFormat="false" ht="12" hidden="false" customHeight="true" outlineLevel="0" collapsed="false">
      <c r="B933895" s="1" t="s">
        <v>46</v>
      </c>
      <c r="C933895" s="1" t="s">
        <v>47</v>
      </c>
      <c r="D933895" s="1" t="s">
        <v>48</v>
      </c>
    </row>
    <row r="933896" customFormat="false" ht="12" hidden="false" customHeight="tru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tru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tru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tru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tru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tru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tru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tru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tru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tru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tru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tru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tru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tru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tru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tru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tru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tru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tru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tru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tru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tru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tru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tru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tru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tru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tru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tru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true" outlineLevel="0" collapsed="false">
      <c r="B933924" s="1" t="s">
        <v>49</v>
      </c>
      <c r="C933924" s="1" t="n">
        <v>2024</v>
      </c>
      <c r="D933924" s="1" t="n">
        <v>2024</v>
      </c>
    </row>
    <row r="950273" customFormat="false" ht="12" hidden="false" customHeight="true" outlineLevel="0" collapsed="false">
      <c r="B950273" s="1" t="s">
        <v>33</v>
      </c>
      <c r="C950273" s="1" t="n">
        <v>915</v>
      </c>
      <c r="D950273" s="1" t="n">
        <v>915</v>
      </c>
    </row>
    <row r="950274" customFormat="false" ht="12" hidden="false" customHeight="true" outlineLevel="0" collapsed="false">
      <c r="B950274" s="1" t="s">
        <v>34</v>
      </c>
      <c r="C950274" s="1" t="s">
        <v>35</v>
      </c>
      <c r="D950274" s="1" t="s">
        <v>36</v>
      </c>
    </row>
    <row r="950275" customFormat="false" ht="12" hidden="false" customHeight="true" outlineLevel="0" collapsed="false">
      <c r="B950275" s="1" t="s">
        <v>37</v>
      </c>
      <c r="C950275" s="1" t="s">
        <v>38</v>
      </c>
      <c r="D950275" s="1" t="s">
        <v>38</v>
      </c>
    </row>
    <row r="950276" customFormat="false" ht="12" hidden="false" customHeight="true" outlineLevel="0" collapsed="false">
      <c r="B950276" s="1" t="s">
        <v>39</v>
      </c>
      <c r="C950276" s="1" t="s">
        <v>40</v>
      </c>
      <c r="D950276" s="1" t="s">
        <v>40</v>
      </c>
    </row>
    <row r="950277" customFormat="false" ht="12" hidden="false" customHeight="true" outlineLevel="0" collapsed="false">
      <c r="B950277" s="1" t="s">
        <v>41</v>
      </c>
      <c r="C950277" s="1" t="s">
        <v>42</v>
      </c>
      <c r="D950277" s="1" t="s">
        <v>43</v>
      </c>
    </row>
    <row r="950278" customFormat="false" ht="12" hidden="false" customHeight="true" outlineLevel="0" collapsed="false">
      <c r="B950278" s="1" t="s">
        <v>44</v>
      </c>
      <c r="C950278" s="1" t="s">
        <v>45</v>
      </c>
      <c r="D950278" s="1" t="s">
        <v>41</v>
      </c>
    </row>
    <row r="950279" customFormat="false" ht="12" hidden="false" customHeight="true" outlineLevel="0" collapsed="false">
      <c r="B950279" s="1" t="s">
        <v>46</v>
      </c>
      <c r="C950279" s="1" t="s">
        <v>47</v>
      </c>
      <c r="D950279" s="1" t="s">
        <v>48</v>
      </c>
    </row>
    <row r="950280" customFormat="false" ht="12" hidden="false" customHeight="tru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tru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tru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tru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tru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tru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tru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tru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tru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tru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tru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tru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tru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tru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tru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tru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tru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tru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tru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tru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tru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tru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tru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tru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tru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tru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tru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tru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true" outlineLevel="0" collapsed="false">
      <c r="B950308" s="1" t="s">
        <v>49</v>
      </c>
      <c r="C950308" s="1" t="n">
        <v>2024</v>
      </c>
      <c r="D950308" s="1" t="n">
        <v>2024</v>
      </c>
    </row>
    <row r="966657" customFormat="false" ht="12" hidden="false" customHeight="true" outlineLevel="0" collapsed="false">
      <c r="B966657" s="1" t="s">
        <v>33</v>
      </c>
      <c r="C966657" s="1" t="n">
        <v>915</v>
      </c>
      <c r="D966657" s="1" t="n">
        <v>915</v>
      </c>
    </row>
    <row r="966658" customFormat="false" ht="12" hidden="false" customHeight="true" outlineLevel="0" collapsed="false">
      <c r="B966658" s="1" t="s">
        <v>34</v>
      </c>
      <c r="C966658" s="1" t="s">
        <v>35</v>
      </c>
      <c r="D966658" s="1" t="s">
        <v>36</v>
      </c>
    </row>
    <row r="966659" customFormat="false" ht="12" hidden="false" customHeight="true" outlineLevel="0" collapsed="false">
      <c r="B966659" s="1" t="s">
        <v>37</v>
      </c>
      <c r="C966659" s="1" t="s">
        <v>38</v>
      </c>
      <c r="D966659" s="1" t="s">
        <v>38</v>
      </c>
    </row>
    <row r="966660" customFormat="false" ht="12" hidden="false" customHeight="true" outlineLevel="0" collapsed="false">
      <c r="B966660" s="1" t="s">
        <v>39</v>
      </c>
      <c r="C966660" s="1" t="s">
        <v>40</v>
      </c>
      <c r="D966660" s="1" t="s">
        <v>40</v>
      </c>
    </row>
    <row r="966661" customFormat="false" ht="12" hidden="false" customHeight="true" outlineLevel="0" collapsed="false">
      <c r="B966661" s="1" t="s">
        <v>41</v>
      </c>
      <c r="C966661" s="1" t="s">
        <v>42</v>
      </c>
      <c r="D966661" s="1" t="s">
        <v>43</v>
      </c>
    </row>
    <row r="966662" customFormat="false" ht="12" hidden="false" customHeight="true" outlineLevel="0" collapsed="false">
      <c r="B966662" s="1" t="s">
        <v>44</v>
      </c>
      <c r="C966662" s="1" t="s">
        <v>45</v>
      </c>
      <c r="D966662" s="1" t="s">
        <v>41</v>
      </c>
    </row>
    <row r="966663" customFormat="false" ht="12" hidden="false" customHeight="true" outlineLevel="0" collapsed="false">
      <c r="B966663" s="1" t="s">
        <v>46</v>
      </c>
      <c r="C966663" s="1" t="s">
        <v>47</v>
      </c>
      <c r="D966663" s="1" t="s">
        <v>48</v>
      </c>
    </row>
    <row r="966664" customFormat="false" ht="12" hidden="false" customHeight="tru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tru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tru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tru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tru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tru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tru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tru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tru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tru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tru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tru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tru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tru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tru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tru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tru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tru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tru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tru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tru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tru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tru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tru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tru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tru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tru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tru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true" outlineLevel="0" collapsed="false">
      <c r="B966692" s="1" t="s">
        <v>49</v>
      </c>
      <c r="C966692" s="1" t="n">
        <v>2024</v>
      </c>
      <c r="D966692" s="1" t="n">
        <v>2024</v>
      </c>
    </row>
    <row r="983041" customFormat="false" ht="12" hidden="false" customHeight="true" outlineLevel="0" collapsed="false">
      <c r="B983041" s="1" t="s">
        <v>33</v>
      </c>
      <c r="C983041" s="1" t="n">
        <v>915</v>
      </c>
      <c r="D983041" s="1" t="n">
        <v>915</v>
      </c>
    </row>
    <row r="983042" customFormat="false" ht="12" hidden="false" customHeight="true" outlineLevel="0" collapsed="false">
      <c r="B983042" s="1" t="s">
        <v>34</v>
      </c>
      <c r="C983042" s="1" t="s">
        <v>35</v>
      </c>
      <c r="D983042" s="1" t="s">
        <v>36</v>
      </c>
    </row>
    <row r="983043" customFormat="false" ht="12" hidden="false" customHeight="true" outlineLevel="0" collapsed="false">
      <c r="B983043" s="1" t="s">
        <v>37</v>
      </c>
      <c r="C983043" s="1" t="s">
        <v>38</v>
      </c>
      <c r="D983043" s="1" t="s">
        <v>38</v>
      </c>
    </row>
    <row r="983044" customFormat="false" ht="12" hidden="false" customHeight="true" outlineLevel="0" collapsed="false">
      <c r="B983044" s="1" t="s">
        <v>39</v>
      </c>
      <c r="C983044" s="1" t="s">
        <v>40</v>
      </c>
      <c r="D983044" s="1" t="s">
        <v>40</v>
      </c>
    </row>
    <row r="983045" customFormat="false" ht="12" hidden="false" customHeight="true" outlineLevel="0" collapsed="false">
      <c r="B983045" s="1" t="s">
        <v>41</v>
      </c>
      <c r="C983045" s="1" t="s">
        <v>42</v>
      </c>
      <c r="D983045" s="1" t="s">
        <v>43</v>
      </c>
    </row>
    <row r="983046" customFormat="false" ht="12" hidden="false" customHeight="true" outlineLevel="0" collapsed="false">
      <c r="B983046" s="1" t="s">
        <v>44</v>
      </c>
      <c r="C983046" s="1" t="s">
        <v>45</v>
      </c>
      <c r="D983046" s="1" t="s">
        <v>41</v>
      </c>
    </row>
    <row r="983047" customFormat="false" ht="12" hidden="false" customHeight="true" outlineLevel="0" collapsed="false">
      <c r="B983047" s="1" t="s">
        <v>46</v>
      </c>
      <c r="C983047" s="1" t="s">
        <v>47</v>
      </c>
      <c r="D983047" s="1" t="s">
        <v>48</v>
      </c>
    </row>
    <row r="983048" customFormat="false" ht="12" hidden="false" customHeight="tru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tru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tru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tru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tru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tru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tru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tru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tru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tru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tru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tru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tru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tru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tru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tru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tru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tru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tru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tru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tru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tru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tru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tru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tru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tru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tru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tru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true" outlineLevel="0" collapsed="false">
      <c r="B983076" s="1" t="s">
        <v>49</v>
      </c>
      <c r="C983076" s="1" t="n">
        <v>2024</v>
      </c>
      <c r="D983076" s="1" t="n">
        <v>2024</v>
      </c>
    </row>
    <row r="999425" customFormat="false" ht="12" hidden="false" customHeight="true" outlineLevel="0" collapsed="false">
      <c r="B999425" s="1" t="s">
        <v>33</v>
      </c>
      <c r="C999425" s="1" t="n">
        <v>915</v>
      </c>
      <c r="D999425" s="1" t="n">
        <v>915</v>
      </c>
    </row>
    <row r="999426" customFormat="false" ht="12" hidden="false" customHeight="true" outlineLevel="0" collapsed="false">
      <c r="B999426" s="1" t="s">
        <v>34</v>
      </c>
      <c r="C999426" s="1" t="s">
        <v>35</v>
      </c>
      <c r="D999426" s="1" t="s">
        <v>36</v>
      </c>
    </row>
    <row r="999427" customFormat="false" ht="12" hidden="false" customHeight="true" outlineLevel="0" collapsed="false">
      <c r="B999427" s="1" t="s">
        <v>37</v>
      </c>
      <c r="C999427" s="1" t="s">
        <v>38</v>
      </c>
      <c r="D999427" s="1" t="s">
        <v>38</v>
      </c>
    </row>
    <row r="999428" customFormat="false" ht="12" hidden="false" customHeight="true" outlineLevel="0" collapsed="false">
      <c r="B999428" s="1" t="s">
        <v>39</v>
      </c>
      <c r="C999428" s="1" t="s">
        <v>40</v>
      </c>
      <c r="D999428" s="1" t="s">
        <v>40</v>
      </c>
    </row>
    <row r="999429" customFormat="false" ht="12" hidden="false" customHeight="true" outlineLevel="0" collapsed="false">
      <c r="B999429" s="1" t="s">
        <v>41</v>
      </c>
      <c r="C999429" s="1" t="s">
        <v>42</v>
      </c>
      <c r="D999429" s="1" t="s">
        <v>43</v>
      </c>
    </row>
    <row r="999430" customFormat="false" ht="12" hidden="false" customHeight="true" outlineLevel="0" collapsed="false">
      <c r="B999430" s="1" t="s">
        <v>44</v>
      </c>
      <c r="C999430" s="1" t="s">
        <v>45</v>
      </c>
      <c r="D999430" s="1" t="s">
        <v>41</v>
      </c>
    </row>
    <row r="999431" customFormat="false" ht="12" hidden="false" customHeight="true" outlineLevel="0" collapsed="false">
      <c r="B999431" s="1" t="s">
        <v>46</v>
      </c>
      <c r="C999431" s="1" t="s">
        <v>47</v>
      </c>
      <c r="D999431" s="1" t="s">
        <v>48</v>
      </c>
    </row>
    <row r="999432" customFormat="false" ht="12" hidden="false" customHeight="tru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tru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tru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tru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tru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tru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tru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tru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tru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tru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tru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tru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tru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tru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tru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tru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tru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tru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tru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tru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tru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tru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tru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tru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tru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tru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tru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tru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true" outlineLevel="0" collapsed="false">
      <c r="B999460" s="1" t="s">
        <v>49</v>
      </c>
      <c r="C999460" s="1" t="n">
        <v>2024</v>
      </c>
      <c r="D999460" s="1" t="n">
        <v>2024</v>
      </c>
    </row>
    <row r="1015809" customFormat="false" ht="12" hidden="false" customHeight="true" outlineLevel="0" collapsed="false">
      <c r="B1015809" s="1" t="s">
        <v>33</v>
      </c>
      <c r="C1015809" s="1" t="n">
        <v>915</v>
      </c>
      <c r="D1015809" s="1" t="n">
        <v>915</v>
      </c>
    </row>
    <row r="1015810" customFormat="false" ht="12" hidden="false" customHeight="true" outlineLevel="0" collapsed="false">
      <c r="B1015810" s="1" t="s">
        <v>34</v>
      </c>
      <c r="C1015810" s="1" t="s">
        <v>35</v>
      </c>
      <c r="D1015810" s="1" t="s">
        <v>36</v>
      </c>
    </row>
    <row r="1015811" customFormat="false" ht="12" hidden="false" customHeight="true" outlineLevel="0" collapsed="false">
      <c r="B1015811" s="1" t="s">
        <v>37</v>
      </c>
      <c r="C1015811" s="1" t="s">
        <v>38</v>
      </c>
      <c r="D1015811" s="1" t="s">
        <v>38</v>
      </c>
    </row>
    <row r="1015812" customFormat="false" ht="12" hidden="false" customHeight="true" outlineLevel="0" collapsed="false">
      <c r="B1015812" s="1" t="s">
        <v>39</v>
      </c>
      <c r="C1015812" s="1" t="s">
        <v>40</v>
      </c>
      <c r="D1015812" s="1" t="s">
        <v>40</v>
      </c>
    </row>
    <row r="1015813" customFormat="false" ht="12" hidden="false" customHeight="true" outlineLevel="0" collapsed="false">
      <c r="B1015813" s="1" t="s">
        <v>41</v>
      </c>
      <c r="C1015813" s="1" t="s">
        <v>42</v>
      </c>
      <c r="D1015813" s="1" t="s">
        <v>43</v>
      </c>
    </row>
    <row r="1015814" customFormat="false" ht="12" hidden="false" customHeight="true" outlineLevel="0" collapsed="false">
      <c r="B1015814" s="1" t="s">
        <v>44</v>
      </c>
      <c r="C1015814" s="1" t="s">
        <v>45</v>
      </c>
      <c r="D1015814" s="1" t="s">
        <v>41</v>
      </c>
    </row>
    <row r="1015815" customFormat="false" ht="12" hidden="false" customHeight="true" outlineLevel="0" collapsed="false">
      <c r="B1015815" s="1" t="s">
        <v>46</v>
      </c>
      <c r="C1015815" s="1" t="s">
        <v>47</v>
      </c>
      <c r="D1015815" s="1" t="s">
        <v>48</v>
      </c>
    </row>
    <row r="1015816" customFormat="false" ht="12" hidden="false" customHeight="tru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tru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tru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tru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tru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tru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tru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tru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tru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tru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tru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tru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tru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tru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tru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tru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tru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tru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tru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tru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tru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tru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tru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tru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tru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tru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tru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tru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true" outlineLevel="0" collapsed="false">
      <c r="B1015844" s="1" t="s">
        <v>49</v>
      </c>
      <c r="C1015844" s="1" t="n">
        <v>2024</v>
      </c>
      <c r="D1015844" s="1" t="n">
        <v>2024</v>
      </c>
    </row>
    <row r="1032193" customFormat="false" ht="12" hidden="false" customHeight="true" outlineLevel="0" collapsed="false">
      <c r="B1032193" s="1" t="s">
        <v>33</v>
      </c>
      <c r="C1032193" s="1" t="n">
        <v>915</v>
      </c>
      <c r="D1032193" s="1" t="n">
        <v>915</v>
      </c>
    </row>
    <row r="1032194" customFormat="false" ht="12" hidden="false" customHeight="true" outlineLevel="0" collapsed="false">
      <c r="B1032194" s="1" t="s">
        <v>34</v>
      </c>
      <c r="C1032194" s="1" t="s">
        <v>35</v>
      </c>
      <c r="D1032194" s="1" t="s">
        <v>36</v>
      </c>
    </row>
    <row r="1032195" customFormat="false" ht="12" hidden="false" customHeight="true" outlineLevel="0" collapsed="false">
      <c r="B1032195" s="1" t="s">
        <v>37</v>
      </c>
      <c r="C1032195" s="1" t="s">
        <v>38</v>
      </c>
      <c r="D1032195" s="1" t="s">
        <v>38</v>
      </c>
    </row>
    <row r="1032196" customFormat="false" ht="12" hidden="false" customHeight="true" outlineLevel="0" collapsed="false">
      <c r="B1032196" s="1" t="s">
        <v>39</v>
      </c>
      <c r="C1032196" s="1" t="s">
        <v>40</v>
      </c>
      <c r="D1032196" s="1" t="s">
        <v>40</v>
      </c>
    </row>
    <row r="1032197" customFormat="false" ht="12" hidden="false" customHeight="true" outlineLevel="0" collapsed="false">
      <c r="B1032197" s="1" t="s">
        <v>41</v>
      </c>
      <c r="C1032197" s="1" t="s">
        <v>42</v>
      </c>
      <c r="D1032197" s="1" t="s">
        <v>43</v>
      </c>
    </row>
    <row r="1032198" customFormat="false" ht="12" hidden="false" customHeight="true" outlineLevel="0" collapsed="false">
      <c r="B1032198" s="1" t="s">
        <v>44</v>
      </c>
      <c r="C1032198" s="1" t="s">
        <v>45</v>
      </c>
      <c r="D1032198" s="1" t="s">
        <v>41</v>
      </c>
    </row>
    <row r="1032199" customFormat="false" ht="12" hidden="false" customHeight="true" outlineLevel="0" collapsed="false">
      <c r="B1032199" s="1" t="s">
        <v>46</v>
      </c>
      <c r="C1032199" s="1" t="s">
        <v>47</v>
      </c>
      <c r="D1032199" s="1" t="s">
        <v>48</v>
      </c>
    </row>
    <row r="1032200" customFormat="false" ht="12" hidden="false" customHeight="tru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tru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tru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tru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tru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tru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tru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tru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tru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tru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tru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tru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tru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tru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tru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tru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tru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tru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tru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tru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tru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tru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tru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tru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tru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tru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tru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tru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true" outlineLevel="0" collapsed="false">
      <c r="B1032228" s="1" t="s">
        <v>49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2026-10-17T19:49:40Z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