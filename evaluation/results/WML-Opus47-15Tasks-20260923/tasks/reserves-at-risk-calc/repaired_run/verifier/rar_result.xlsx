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<sst xmlns="http://schemas.openxmlformats.org/spreadsheetml/2006/main" count="871" uniqueCount="627">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</sst>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0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4.81332296229341</v>
      </c>
    </row>
    <row r="5" customFormat="false" ht="12.75" hidden="false" customHeight="true" outlineLevel="0" collapsed="false">
      <c r="B5" s="1" t="s">
        <v>3</v>
      </c>
      <c r="C5" s="1" t="n">
        <f aca="false">C4*SQRT(12)</f>
        <v>16.6738398478602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3.25907254969863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C12*$C$3*$C$4/100</f>
        <v>591.547524753787</v>
      </c>
      <c r="D13" s="1" t="n">
        <f aca="false">D12*$C$3*$C$4/100</f>
        <v>79.337521055186</v>
      </c>
      <c r="E13" s="1" t="n">
        <f aca="false">E12*$C$3*$C$4/100</f>
        <v>0.848008832835371</v>
      </c>
      <c r="F13" s="1" t="n">
        <f aca="false">F12*$C$3*$C$4/100</f>
        <v>307.028288567297</v>
      </c>
      <c r="G13" s="1" t="n">
        <f aca="false">G12*$C$3*$C$4/100</f>
        <v>4362.17168835444</v>
      </c>
      <c r="H13" s="1" t="n">
        <f aca="false">H12*$C$3*$C$4/100</f>
        <v>801.442775442392</v>
      </c>
      <c r="I13" s="1" t="n">
        <f aca="false">I12*$C$3*$C$4/100</f>
        <v>72.9461790396424</v>
      </c>
      <c r="J13" s="1" t="n">
        <f aca="false">J12*$C$3*$C$4/100</f>
        <v>63.9055022391623</v>
      </c>
      <c r="K13" s="1" t="n">
        <f aca="false">K12*$C$3*$C$4/100</f>
        <v>258.415232612844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tr">
        <f aca="false">C11</f>
        <v>Belarus</v>
      </c>
      <c r="D20" s="1" t="str">
        <f aca="false">D11</f>
        <v>Georgia</v>
      </c>
      <c r="E20" s="1" t="str">
        <f aca="false">E11</f>
        <v>Moldova</v>
      </c>
      <c r="F20" s="1" t="str">
        <f aca="false">G11</f>
        <v>Uzbekistan</v>
      </c>
      <c r="G20" s="1" t="str">
        <f aca="false">H11</f>
        <v>Czechia</v>
      </c>
      <c r="H20" s="1" t="str">
        <f aca="false">I11</f>
        <v>Latvia</v>
      </c>
      <c r="I20" s="1" t="str">
        <f aca="false">J11</f>
        <v>Lithuania</v>
      </c>
    </row>
    <row r="21" customFormat="false" ht="23.25" hidden="false" customHeight="true" outlineLevel="0" collapsed="false">
      <c r="B21" s="2" t="s">
        <v>16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G12</f>
        <v>55092.42</v>
      </c>
      <c r="G21" s="5" t="n">
        <f aca="false">H12</f>
        <v>10121.89</v>
      </c>
      <c r="H21" s="3" t="n">
        <f aca="false">I12</f>
        <v>921.28</v>
      </c>
      <c r="I21" s="3" t="n">
        <f aca="false">J12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C13</f>
        <v>591.547524753787</v>
      </c>
      <c r="D22" s="1" t="n">
        <f aca="false">D13</f>
        <v>79.337521055186</v>
      </c>
      <c r="E22" s="1" t="n">
        <f aca="false">E13</f>
        <v>0.848008832835371</v>
      </c>
      <c r="F22" s="1" t="n">
        <f aca="false">G13</f>
        <v>4362.17168835444</v>
      </c>
      <c r="G22" s="1" t="n">
        <f aca="false">H13</f>
        <v>801.442775442392</v>
      </c>
      <c r="H22" s="1" t="n">
        <f aca="false">I13</f>
        <v>72.9461790396424</v>
      </c>
      <c r="I22" s="1" t="n">
        <f aca="false">J13</f>
        <v>63.9055022391623</v>
      </c>
    </row>
    <row r="23" customFormat="false" ht="12.75" hidden="false" customHeight="true" outlineLevel="0" collapsed="false">
      <c r="B23" s="1" t="s">
        <v>19</v>
      </c>
      <c r="C23" s="3" t="n">
        <f aca="false">INDEX('Total Reserves'!$C$18:$P$18,MATCH("*"&amp;C20&amp;"*",'Total Reserves'!$C$1:$P$1,0))</f>
        <v>14425.9</v>
      </c>
      <c r="D23" s="5" t="n">
        <f aca="false">INDEX('Total Reserves'!$C$18:$P$18,MATCH("*"&amp;D20&amp;"*",'Total Reserves'!$C$1:$P$1,0))</f>
        <v>6158.7</v>
      </c>
      <c r="E23" s="5" t="n">
        <f aca="false">INDEX('Total Reserves'!$C$18:$P$18,MATCH("*"&amp;E20&amp;"*",'Total Reserves'!$C$1:$P$1,0))</f>
        <v>5999.34</v>
      </c>
      <c r="F23" s="5" t="n">
        <f aca="false">INDEX('Total Reserves'!$C$18:$P$18,MATCH("*"&amp;F20&amp;"*",'Total Reserves'!$C$1:$P$1,0))</f>
        <v>66311.75</v>
      </c>
      <c r="G23" s="5" t="n">
        <f aca="false">INDEX('Total Reserves'!$C$18:$P$18,MATCH("*"&amp;G20&amp;"*",'Total Reserves'!$C$1:$P$1,0))</f>
        <v>175830.49</v>
      </c>
      <c r="H23" s="5" t="n">
        <f aca="false">INDEX('Total Reserves'!$C$18:$P$18,MATCH("*"&amp;H20&amp;"*",'Total Reserves'!$C$1:$P$1,0))</f>
        <v>6076.9</v>
      </c>
      <c r="I23" s="3" t="n">
        <f aca="false">INDEX('Total Reserves'!$C$18:$P$18,MATCH("*"&amp;I20&amp;"*",'Total Reserves'!$C$1:$P$1,0))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4.10059354878231</v>
      </c>
      <c r="D24" s="1" t="n">
        <f aca="false">D22/D23*100</f>
        <v>1.28821863469865</v>
      </c>
      <c r="E24" s="1" t="n">
        <f aca="false">E22/E23*100</f>
        <v>0.0141350354011503</v>
      </c>
      <c r="F24" s="1" t="n">
        <f aca="false">F22/F23*100</f>
        <v>6.57827864345978</v>
      </c>
      <c r="G24" s="1" t="n">
        <f aca="false">G22/G23*100</f>
        <v>0.455804209749055</v>
      </c>
      <c r="H24" s="1" t="n">
        <f aca="false">H22/H23*100</f>
        <v>1.20038471983482</v>
      </c>
      <c r="I24" s="1" t="n">
        <f aca="false">I22/I23*100</f>
        <v>0.902275999818745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</v>
      </c>
      <c r="C158" s="6" t="n">
        <f aca="false">LN(B158/B157)*100</f>
        <v>7.20972691527601</v>
      </c>
      <c r="D158" s="6" t="n">
        <f aca="false">STDEV(C156:C158)</f>
        <v>3.01983541981306</v>
      </c>
      <c r="E158" s="6" t="n">
        <f aca="false">STDEV(C147:C158)</f>
        <v>2.80307869271783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0.589781900898942</v>
      </c>
      <c r="D159" s="6" t="n">
        <f aca="false">STDEV(C157:C159)</f>
        <v>3.31591012538359</v>
      </c>
      <c r="E159" s="6" t="n">
        <f aca="false">STDEV(C148:C159)</f>
        <v>2.66278972398218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6.24258816576378</v>
      </c>
      <c r="E160" s="6" t="n">
        <f aca="false">STDEV(C149:C160)</f>
        <v>3.29440852204667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3.03231617507302</v>
      </c>
      <c r="E161" s="6" t="n">
        <f aca="false">STDEV(C150:C161)</f>
        <v>3.53178444444771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4.04688852547126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4.03828131176143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3.94688350947306</v>
      </c>
    </row>
    <row r="166" customFormat="false" ht="15" hidden="false" customHeight="true" outlineLevel="0" collapsed="false">
      <c r="A166" s="6" t="s">
        <v>187</v>
      </c>
      <c r="B166" s="6" t="n">
        <v>378.945454545454</v>
      </c>
      <c r="C166" s="6" t="n">
        <f aca="false">LN(B166/B165)*100</f>
        <v>5.19342858432615</v>
      </c>
      <c r="D166" s="6" t="n">
        <f aca="false">STDEV(C164:C166)</f>
        <v>3.36961259266077</v>
      </c>
      <c r="E166" s="6" t="n">
        <f aca="false">STDEV(C155:C166)</f>
        <v>4.09067793135212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-0.00683217390907657</v>
      </c>
      <c r="D167" s="6" t="n">
        <f aca="false">STDEV(C165:C167)</f>
        <v>2.60124186318025</v>
      </c>
      <c r="E167" s="6" t="n">
        <f aca="false">STDEV(C156:C167)</f>
        <v>4.05702668365757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2.60465846647415</v>
      </c>
      <c r="E168" s="6" t="n">
        <f aca="false">STDEV(C157:C168)</f>
        <v>4.07433665753406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2.18280738571271</v>
      </c>
      <c r="E169" s="6" t="n">
        <f aca="false">STDEV(C158:C169)</f>
        <v>4.11044613323694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3.72809547603487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3.85491647545239</v>
      </c>
    </row>
    <row r="172" customFormat="false" ht="15" hidden="false" customHeight="true" outlineLevel="0" collapsed="false">
      <c r="A172" s="6" t="s">
        <v>193</v>
      </c>
      <c r="B172" s="6" t="n">
        <v>406.667391304347</v>
      </c>
      <c r="C172" s="6" t="n">
        <f aca="false">LN(B172/B171)*100</f>
        <v>0.441107873581887</v>
      </c>
      <c r="D172" s="6" t="n">
        <f aca="false">STDEV(C170:C172)</f>
        <v>1.96298847791893</v>
      </c>
      <c r="E172" s="6" t="n">
        <f aca="false">STDEV(C161:C172)</f>
        <v>3.32680443966623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-0.841411574361075</v>
      </c>
      <c r="D173" s="6" t="n">
        <f aca="false">STDEV(C171:C173)</f>
        <v>1.30911555580627</v>
      </c>
      <c r="E173" s="6" t="n">
        <f aca="false">STDEV(C162:C173)</f>
        <v>3.00949595614327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</v>
      </c>
      <c r="E174" s="6" t="n">
        <f aca="false">STDEV(C163:C174)</f>
        <v>2.85933323832943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3.59591217655202</v>
      </c>
      <c r="E175" s="6" t="n">
        <f aca="false">STDEV(C164:C175)</f>
        <v>2.89030628812672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2.80005003904944</v>
      </c>
    </row>
    <row r="177" customFormat="false" ht="15" hidden="false" customHeight="true" outlineLevel="0" collapsed="false">
      <c r="A177" s="6" t="s">
        <v>198</v>
      </c>
      <c r="B177" s="6" t="n">
        <v>400.509523809523</v>
      </c>
      <c r="C177" s="6" t="n">
        <f aca="false">LN(B177/B176)*100</f>
        <v>0.605715202170994</v>
      </c>
      <c r="D177" s="6" t="n">
        <f aca="false">STDEV(C175:C177)</f>
        <v>0.804695879637721</v>
      </c>
      <c r="E177" s="6" t="n">
        <f aca="false">STDEV(C166:C177)</f>
        <v>2.76595907046879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1.18283030028992</v>
      </c>
      <c r="D178" s="6" t="n">
        <f aca="false">STDEV(C176:C178)</f>
        <v>0.430155648067812</v>
      </c>
      <c r="E178" s="6" t="n">
        <f aca="false">STDEV(C167:C178)</f>
        <v>2.41987460807979</v>
      </c>
    </row>
    <row r="179" customFormat="false" ht="15" hidden="false" customHeight="true" outlineLevel="0" collapsed="false">
      <c r="A179" s="6" t="s">
        <v>200</v>
      </c>
      <c r="B179" s="6" t="n">
        <v>420.464285714285</v>
      </c>
      <c r="C179" s="6" t="n">
        <f aca="false">LN(B179/B178)*100</f>
        <v>3.67936938753544</v>
      </c>
      <c r="D179" s="6" t="n">
        <f aca="false">STDEV(C177:C179)</f>
        <v>1.63366251624124</v>
      </c>
      <c r="E179" s="6" t="n">
        <f aca="false">STDEV(C168:C179)</f>
        <v>2.57067685375946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4.39937196619383</v>
      </c>
      <c r="D180" s="6" t="n">
        <f aca="false">STDEV(C178:C180)</f>
        <v>1.68805861943611</v>
      </c>
      <c r="E180" s="6" t="n">
        <f aca="false">STDEV(C169:C180)</f>
        <v>2.7136591333403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2.01040987874833</v>
      </c>
      <c r="E181" s="6" t="n">
        <f aca="false">STDEV(C170:C181)</f>
        <v>2.50913742099151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4.29353936900126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2.75011796006254</v>
      </c>
    </row>
    <row r="184" customFormat="false" ht="15" hidden="false" customHeight="true" outlineLevel="0" collapsed="false">
      <c r="A184" s="6" t="s">
        <v>205</v>
      </c>
      <c r="B184" s="6" t="n">
        <v>434.321428571428</v>
      </c>
      <c r="C184" s="6" t="n">
        <f aca="false">LN(B184/B183)*100</f>
        <v>2.55856187175081</v>
      </c>
      <c r="D184" s="6" t="n">
        <f aca="false">STDEV(C182:C184)</f>
        <v>3.38401080607341</v>
      </c>
      <c r="E184" s="6" t="n">
        <f aca="false">STDEV(C173:C184)</f>
        <v>2.82196211483912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-1.17842071941666</v>
      </c>
      <c r="D185" s="6" t="n">
        <f aca="false">STDEV(C183:C185)</f>
        <v>1.9319455232899</v>
      </c>
      <c r="E185" s="6" t="n">
        <f aca="false">STDEV(C174:C185)</f>
        <v>2.83867663811903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2.33304723297576</v>
      </c>
      <c r="E186" s="6" t="n">
        <f aca="false">STDEV(C175:C186)</f>
        <v>2.39121993426234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2.04798136813607</v>
      </c>
      <c r="E187" s="6" t="n">
        <f aca="false">STDEV(C176:C187)</f>
        <v>2.38328580917228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2.45441214613704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2.56577273441672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2.46193250426551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3.02575214203378</v>
      </c>
    </row>
    <row r="194" customFormat="false" ht="15" hidden="false" customHeight="true" outlineLevel="0" collapsed="false">
      <c r="A194" s="6" t="s">
        <v>215</v>
      </c>
      <c r="B194" s="6" t="n">
        <v>549.864285714285</v>
      </c>
      <c r="C194" s="6" t="n">
        <f aca="false">LN(B194/B193)*100</f>
        <v>7.5070155172455</v>
      </c>
      <c r="D194" s="6" t="n">
        <f aca="false">STDEV(C192:C194)</f>
        <v>3.31826918269321</v>
      </c>
      <c r="E194" s="6" t="n">
        <f aca="false">STDEV(C183:C194)</f>
        <v>3.02231602029587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0.92876101656735</v>
      </c>
      <c r="D195" s="6" t="n">
        <f aca="false">STDEV(C193:C195)</f>
        <v>3.60610869190036</v>
      </c>
      <c r="E195" s="6" t="n">
        <f aca="false">STDEV(C184:C195)</f>
        <v>2.96185755179051</v>
      </c>
    </row>
    <row r="196" customFormat="false" ht="15" hidden="false" customHeight="true" outlineLevel="0" collapsed="false">
      <c r="A196" s="6" t="s">
        <v>217</v>
      </c>
      <c r="B196" s="6" t="n">
        <v>557.093478260869</v>
      </c>
      <c r="C196" s="6" t="n">
        <f aca="false">LN(B196/B195)*100</f>
        <v>0.377394567527674</v>
      </c>
      <c r="D196" s="6" t="n">
        <f aca="false">STDEV(C194:C196)</f>
        <v>3.96671426001156</v>
      </c>
      <c r="E196" s="6" t="n">
        <f aca="false">STDEV(C185:C196)</f>
        <v>3.00818893428597</v>
      </c>
    </row>
    <row r="197" customFormat="false" ht="15" hidden="false" customHeight="true" outlineLevel="0" collapsed="false">
      <c r="A197" s="6" t="s">
        <v>218</v>
      </c>
      <c r="B197" s="6" t="n">
        <v>610.652777777777</v>
      </c>
      <c r="C197" s="6" t="n">
        <f aca="false">LN(B197/B196)*100</f>
        <v>9.17954621215167</v>
      </c>
      <c r="D197" s="6" t="n">
        <f aca="false">STDEV(C195:C197)</f>
        <v>4.93047216940658</v>
      </c>
      <c r="E197" s="6" t="n">
        <f aca="false">STDEV(C186:C197)</f>
        <v>3.44435456219764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10.0766019658431</v>
      </c>
      <c r="D198" s="6" t="n">
        <f aca="false">STDEV(C196:C198)</f>
        <v>5.3596829314759</v>
      </c>
      <c r="E198" s="6" t="n">
        <f aca="false">STDEV(C187:C198)</f>
        <v>3.66880669654809</v>
      </c>
    </row>
    <row r="199" customFormat="false" ht="15" hidden="false" customHeight="true" outlineLevel="0" collapsed="false">
      <c r="A199" s="6" t="s">
        <v>220</v>
      </c>
      <c r="B199" s="6" t="n">
        <v>596.145454545454</v>
      </c>
      <c r="C199" s="6" t="n">
        <f aca="false">LN(B199/B198)*100</f>
        <v>-12.4809843611619</v>
      </c>
      <c r="D199" s="6" t="n">
        <f aca="false">STDEV(C197:C199)</f>
        <v>12.7725486535445</v>
      </c>
      <c r="E199" s="6" t="n">
        <f aca="false">STDEV(C188:C199)</f>
        <v>6.00016448484536</v>
      </c>
    </row>
    <row r="200" customFormat="false" ht="15" hidden="false" customHeight="true" outlineLevel="0" collapsed="false">
      <c r="A200" s="6" t="s">
        <v>221</v>
      </c>
      <c r="B200" s="6" t="n">
        <v>633.709523809523</v>
      </c>
      <c r="C200" s="6" t="n">
        <f aca="false">LN(B200/B199)*100</f>
        <v>6.11059965691348</v>
      </c>
      <c r="D200" s="6" t="n">
        <f aca="false">STDEV(C198:C200)</f>
        <v>12.0431230135423</v>
      </c>
      <c r="E200" s="6" t="n">
        <f aca="false">STDEV(C189:C200)</f>
        <v>5.9204413647442</v>
      </c>
    </row>
    <row r="201" customFormat="false" ht="15" hidden="false" customHeight="true" outlineLevel="0" collapsed="false">
      <c r="A201" s="6" t="s">
        <v>222</v>
      </c>
      <c r="B201" s="6" t="n">
        <v>632.593181818181</v>
      </c>
      <c r="C201" s="6" t="n">
        <f aca="false">LN(B201/B200)*100</f>
        <v>-0.176315232618395</v>
      </c>
      <c r="D201" s="6" t="n">
        <f aca="false">STDEV(C199:C201)</f>
        <v>9.45671875346049</v>
      </c>
      <c r="E201" s="6" t="n">
        <f aca="false">STDEV(C190:C201)</f>
        <v>6.00737902559161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-5.59262680400243</v>
      </c>
      <c r="D202" s="6" t="n">
        <f aca="false">STDEV(C200:C202)</f>
        <v>5.85700776082248</v>
      </c>
      <c r="E202" s="6" t="n">
        <f aca="false">STDEV(C191:C202)</f>
        <v>6.489092438831</v>
      </c>
    </row>
    <row r="203" customFormat="false" ht="15" hidden="false" customHeight="true" outlineLevel="0" collapsed="false">
      <c r="A203" s="6" t="s">
        <v>224</v>
      </c>
      <c r="B203" s="6" t="n">
        <v>585.779545454545</v>
      </c>
      <c r="C203" s="6" t="n">
        <f aca="false">LN(B203/B202)*100</f>
        <v>-2.09577482441983</v>
      </c>
      <c r="D203" s="6" t="n">
        <f aca="false">STDEV(C201:C203)</f>
        <v>2.74617096851774</v>
      </c>
      <c r="E203" s="6" t="n">
        <f aca="false">STDEV(C192:C203)</f>
        <v>6.60220876075625</v>
      </c>
    </row>
    <row r="204" customFormat="false" ht="15" hidden="false" customHeight="true" outlineLevel="0" collapsed="false">
      <c r="A204" s="6" t="s">
        <v>225</v>
      </c>
      <c r="B204" s="6" t="n">
        <v>627.827272727272</v>
      </c>
      <c r="C204" s="6" t="n">
        <f aca="false">LN(B204/B203)*100</f>
        <v>6.93215687097294</v>
      </c>
      <c r="D204" s="6" t="n">
        <f aca="false">STDEV(C202:C204)</f>
        <v>6.46273588310603</v>
      </c>
      <c r="E204" s="6" t="n">
        <f aca="false">STDEV(C193:C204)</f>
        <v>6.76054154541862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0.312321330999932</v>
      </c>
      <c r="D205" s="6" t="n">
        <f aca="false">STDEV(C203:C205)</f>
        <v>4.67483868468055</v>
      </c>
      <c r="E205" s="6" t="n">
        <f aca="false">STDEV(C194:C205)</f>
        <v>6.62710622258981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3.84946739544075</v>
      </c>
      <c r="E206" s="6" t="n">
        <f aca="false">STDEV(C195:C206)</f>
        <v>6.38161948757426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2.83996805538624</v>
      </c>
      <c r="E207" s="6" t="n">
        <f aca="false">STDEV(C196:C207)</f>
        <v>6.48560959514797</v>
      </c>
    </row>
    <row r="208" customFormat="false" ht="15" hidden="false" customHeight="true" outlineLevel="0" collapsed="false">
      <c r="A208" s="6" t="s">
        <v>229</v>
      </c>
      <c r="B208" s="6" t="n">
        <v>654.895454545454</v>
      </c>
      <c r="C208" s="6" t="n">
        <f aca="false">LN(B208/B207)*100</f>
        <v>-1.49278969551572</v>
      </c>
      <c r="D208" s="6" t="n">
        <f aca="false">STDEV(C206:C208)</f>
        <v>3.46782723696657</v>
      </c>
      <c r="E208" s="6" t="n">
        <f aca="false">STDEV(C197:C208)</f>
        <v>6.5373985889318</v>
      </c>
    </row>
    <row r="209" customFormat="false" ht="15" hidden="false" customHeight="true" outlineLevel="0" collapsed="false">
      <c r="A209" s="6" t="s">
        <v>230</v>
      </c>
      <c r="B209" s="6" t="n">
        <v>679.368421052631</v>
      </c>
      <c r="C209" s="6" t="n">
        <f aca="false">LN(B209/B208)*100</f>
        <v>3.66879624903975</v>
      </c>
      <c r="D209" s="6" t="n">
        <f aca="false">STDEV(C207:C209)</f>
        <v>3.50020788882855</v>
      </c>
      <c r="E209" s="6" t="n">
        <f aca="false">STDEV(C198:C209)</f>
        <v>6.1172933987482</v>
      </c>
    </row>
    <row r="210" customFormat="false" ht="15" hidden="false" customHeight="true" outlineLevel="0" collapsed="false">
      <c r="A210" s="6" t="s">
        <v>231</v>
      </c>
      <c r="B210" s="6" t="n">
        <v>666.859523809523</v>
      </c>
      <c r="C210" s="6" t="n">
        <f aca="false">LN(B210/B209)*100</f>
        <v>-1.85841592521982</v>
      </c>
      <c r="D210" s="6" t="n">
        <f aca="false">STDEV(C208:C210)</f>
        <v>3.09100108978098</v>
      </c>
      <c r="E210" s="6" t="n">
        <f aca="false">STDEV(C199:C210)</f>
        <v>5.41790802863388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-1.71956407313207</v>
      </c>
      <c r="D211" s="6" t="n">
        <f aca="false">STDEV(C209:C211)</f>
        <v>3.15181908368451</v>
      </c>
      <c r="E211" s="6" t="n">
        <f aca="false">STDEV(C200:C211)</f>
        <v>3.84592814513753</v>
      </c>
    </row>
    <row r="212" customFormat="false" ht="15" hidden="false" customHeight="true" outlineLevel="0" collapsed="false">
      <c r="A212" s="6" t="s">
        <v>233</v>
      </c>
      <c r="B212" s="6" t="n">
        <v>665.295454545454</v>
      </c>
      <c r="C212" s="6" t="n">
        <f aca="false">LN(B212/B211)*100</f>
        <v>1.48474605148062</v>
      </c>
      <c r="D212" s="6" t="n">
        <f aca="false">STDEV(C210:C212)</f>
        <v>1.89136701946763</v>
      </c>
      <c r="E212" s="6" t="n">
        <f aca="false">STDEV(C201:C212)</f>
        <v>3.47852001911675</v>
      </c>
    </row>
    <row r="213" customFormat="false" ht="15" hidden="false" customHeight="true" outlineLevel="0" collapsed="false">
      <c r="A213" s="6" t="s">
        <v>234</v>
      </c>
      <c r="B213" s="6" t="n">
        <v>665.411363636363</v>
      </c>
      <c r="C213" s="6" t="n">
        <f aca="false">LN(B213/B212)*100</f>
        <v>0.0174206804411644</v>
      </c>
      <c r="D213" s="6" t="n">
        <f aca="false">STDEV(C211:C213)</f>
        <v>1.60404505097464</v>
      </c>
      <c r="E213" s="6" t="n">
        <f aca="false">STDEV(C202:C213)</f>
        <v>3.47602369950807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6.85884829871733</v>
      </c>
      <c r="D214" s="6" t="n">
        <f aca="false">STDEV(C212:C214)</f>
        <v>3.60183172298861</v>
      </c>
      <c r="E214" s="6" t="n">
        <f aca="false">STDEV(C203:C214)</f>
        <v>3.37450842568973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3.66563305423016</v>
      </c>
      <c r="E215" s="6" t="n">
        <f aca="false">STDEV(C204:C215)</f>
        <v>3.38025875574092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0.600532488770446</v>
      </c>
      <c r="E216" s="6" t="n">
        <f aca="false">STDEV(C205:C216)</f>
        <v>3.34071847521985</v>
      </c>
    </row>
    <row r="217" customFormat="false" ht="15" hidden="false" customHeight="true" outlineLevel="0" collapsed="false">
      <c r="A217" s="6" t="s">
        <v>238</v>
      </c>
      <c r="B217" s="6" t="n">
        <v>803.20294117647</v>
      </c>
      <c r="C217" s="6" t="n">
        <f aca="false">LN(B217/B216)*100</f>
        <v>-0.378363846541457</v>
      </c>
      <c r="D217" s="6" t="n">
        <f aca="false">STDEV(C215:C217)</f>
        <v>3.80729099321328</v>
      </c>
      <c r="E217" s="6" t="n">
        <f aca="false">STDEV(C206:C217)</f>
        <v>3.37974669465662</v>
      </c>
    </row>
    <row r="218" customFormat="false" ht="15" hidden="false" customHeight="true" outlineLevel="0" collapsed="false">
      <c r="A218" s="6" t="s">
        <v>239</v>
      </c>
      <c r="B218" s="6" t="n">
        <v>889.595454545454</v>
      </c>
      <c r="C218" s="6" t="n">
        <f aca="false">LN(B218/B217)*100</f>
        <v>10.2159403180484</v>
      </c>
      <c r="D218" s="6" t="n">
        <f aca="false">STDEV(C216:C218)</f>
        <v>5.38741510835374</v>
      </c>
      <c r="E218" s="6" t="n">
        <f aca="false">STDEV(C207:C218)</f>
        <v>4.05764878337409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3.61011547659284</v>
      </c>
      <c r="D219" s="6" t="n">
        <f aca="false">STDEV(C217:C219)</f>
        <v>5.35076583115147</v>
      </c>
      <c r="E219" s="6" t="n">
        <f aca="false">STDEV(C208:C219)</f>
        <v>4.00076638020538</v>
      </c>
    </row>
    <row r="220" customFormat="false" ht="15" hidden="false" customHeight="true" outlineLevel="0" collapsed="false">
      <c r="A220" s="6" t="s">
        <v>241</v>
      </c>
      <c r="B220" s="6" t="n">
        <v>968.434210526315</v>
      </c>
      <c r="C220" s="6" t="n">
        <f aca="false">LN(B220/B219)*100</f>
        <v>4.88125825943884</v>
      </c>
      <c r="D220" s="6" t="n">
        <f aca="false">STDEV(C218:C220)</f>
        <v>3.50503348716349</v>
      </c>
      <c r="E220" s="6" t="n">
        <f aca="false">STDEV(C209:C220)</f>
        <v>3.8077922364689</v>
      </c>
    </row>
    <row r="221" customFormat="false" ht="15" hidden="false" customHeight="true" outlineLevel="0" collapsed="false">
      <c r="A221" s="6" t="s">
        <v>242</v>
      </c>
      <c r="B221" s="6" t="n">
        <v>909.704545454545</v>
      </c>
      <c r="C221" s="6" t="n">
        <f aca="false">LN(B221/B220)*100</f>
        <v>-6.25606798270802</v>
      </c>
      <c r="D221" s="6" t="n">
        <f aca="false">STDEV(C219:C221)</f>
        <v>6.09641172946535</v>
      </c>
      <c r="E221" s="6" t="n">
        <f aca="false">STDEV(C210:C221)</f>
        <v>4.68724355870386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-2.34023480803911</v>
      </c>
      <c r="D222" s="6" t="n">
        <f aca="false">STDEV(C220:C222)</f>
        <v>5.64983403000304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3.20319076024324</v>
      </c>
      <c r="E223" s="6" t="n">
        <f aca="false">STDEV(C212:C223)</f>
        <v>4.61347138380822</v>
      </c>
    </row>
    <row r="224" customFormat="false" ht="15" hidden="false" customHeight="true" outlineLevel="0" collapsed="false">
      <c r="A224" s="6" t="s">
        <v>245</v>
      </c>
      <c r="B224" s="6" t="n">
        <v>939.771739130434</v>
      </c>
      <c r="C224" s="6" t="n">
        <f aca="false">LN(B224/B223)*100</f>
        <v>5.49908917031458</v>
      </c>
      <c r="D224" s="6" t="n">
        <f aca="false">STDEV(C222:C224)</f>
        <v>4.01252756253203</v>
      </c>
      <c r="E224" s="6" t="n">
        <f aca="false">STDEV(C213:C224)</f>
        <v>4.67482718934202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</v>
      </c>
      <c r="D225" s="6" t="n">
        <f aca="false">STDEV(C223:C225)</f>
        <v>8.59721661836083</v>
      </c>
      <c r="E225" s="6" t="n">
        <f aca="false">STDEV(C214:C225)</f>
        <v>6.20566359986774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8.48544687842032</v>
      </c>
      <c r="E226" s="6" t="n">
        <f aca="false">STDEV(C215:C226)</f>
        <v>6.05433035461474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5.48096714526146</v>
      </c>
      <c r="E227" s="6" t="n">
        <f aca="false">STDEV(C216:C227)</f>
        <v>5.98667377243317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5.91939987773294</v>
      </c>
    </row>
    <row r="229" customFormat="false" ht="15" hidden="false" customHeight="true" outlineLevel="0" collapsed="false">
      <c r="A229" s="6" t="s">
        <v>250</v>
      </c>
      <c r="B229" s="6" t="n">
        <v>816.092105263157</v>
      </c>
      <c r="C229" s="6" t="n">
        <f aca="false">LN(B229/B228)*100</f>
        <v>7.00745644662541</v>
      </c>
      <c r="D229" s="6" t="n">
        <f aca="false">STDEV(C227:C229)</f>
        <v>6.72251496420066</v>
      </c>
      <c r="E229" s="6" t="n">
        <f aca="false">STDEV(C218:C229)</f>
        <v>6.30281114268783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5.08813039630929</v>
      </c>
      <c r="D230" s="6" t="n">
        <f aca="false">STDEV(C228:C230)</f>
        <v>6.93015767606345</v>
      </c>
      <c r="E230" s="6" t="n">
        <f aca="false">STDEV(C219:C230)</f>
        <v>5.70225398493798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2.15147272428226</v>
      </c>
      <c r="E231" s="6" t="n">
        <f aca="false">STDEV(C220:C231)</f>
        <v>6.27625672433841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5.76073361416713</v>
      </c>
      <c r="E232" s="6" t="n">
        <f aca="false">STDEV(C221:C232)</f>
        <v>6.12130035970628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5.94342494100886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6.02829804197408</v>
      </c>
    </row>
    <row r="235" customFormat="false" ht="15" hidden="false" customHeight="true" outlineLevel="0" collapsed="false">
      <c r="A235" s="6" t="s">
        <v>256</v>
      </c>
      <c r="B235" s="6" t="n">
        <v>945.670454545454</v>
      </c>
      <c r="C235" s="6" t="n">
        <f aca="false">LN(B235/B234)*100</f>
        <v>1.81679005636465</v>
      </c>
      <c r="D235" s="6" t="n">
        <f aca="false">STDEV(C233:C235)</f>
        <v>4.09506145702125</v>
      </c>
      <c r="E235" s="6" t="n">
        <f aca="false">STDEV(C224:C235)</f>
        <v>6.0417044995732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-1.21733526213521</v>
      </c>
      <c r="D236" s="6" t="n">
        <f aca="false">STDEV(C234:C236)</f>
        <v>2.72860386904058</v>
      </c>
      <c r="E236" s="6" t="n">
        <f aca="false">STDEV(C225:C236)</f>
        <v>5.84545652697404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1.69477816108052</v>
      </c>
      <c r="E237" s="6" t="n">
        <f aca="false">STDEV(C226:C237)</f>
        <v>4.6433516402453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3.03790907889295</v>
      </c>
      <c r="E238" s="6" t="n">
        <f aca="false">STDEV(C227:C238)</f>
        <v>4.71318324804132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4.57157393362892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4.06836907749633</v>
      </c>
    </row>
    <row r="241" customFormat="false" ht="15" hidden="false" customHeight="true" outlineLevel="0" collapsed="false">
      <c r="A241" s="6" t="s">
        <v>262</v>
      </c>
      <c r="B241" s="6" t="n">
        <v>1134.72368421052</v>
      </c>
      <c r="C241" s="6" t="n">
        <f aca="false">LN(B241/B240)*100</f>
        <v>0.679824700977271</v>
      </c>
      <c r="D241" s="6" t="n">
        <f aca="false">STDEV(C239:C241)</f>
        <v>3.53307097569803</v>
      </c>
      <c r="E241" s="6" t="n">
        <f aca="false">STDEV(C230:C241)</f>
        <v>3.94880645265463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-1.48813391288071</v>
      </c>
      <c r="D242" s="6" t="n">
        <f aca="false">STDEV(C240:C242)</f>
        <v>4.82182820838778</v>
      </c>
      <c r="E242" s="6" t="n">
        <f aca="false">STDEV(C231:C242)</f>
        <v>4.04938637869812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1.43683072556889</v>
      </c>
      <c r="E243" s="6" t="n">
        <f aca="false">STDEV(C232:C243)</f>
        <v>3.51410380741552</v>
      </c>
    </row>
    <row r="244" customFormat="false" ht="15" hidden="false" customHeight="true" outlineLevel="0" collapsed="false">
      <c r="A244" s="6" t="s">
        <v>265</v>
      </c>
      <c r="B244" s="6" t="n">
        <v>1113.33695652173</v>
      </c>
      <c r="C244" s="6" t="n">
        <f aca="false">LN(B244/B243)*100</f>
        <v>1.62307680170823</v>
      </c>
      <c r="D244" s="6" t="n">
        <f aca="false">STDEV(C242:C244)</f>
        <v>1.974115688388</v>
      </c>
      <c r="E244" s="6" t="n">
        <f aca="false">STDEV(C233:C244)</f>
        <v>3.35988936327571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3.12582135675167</v>
      </c>
      <c r="D245" s="6" t="n">
        <f aca="false">STDEV(C243:C245)</f>
        <v>2.6558481477752</v>
      </c>
      <c r="E245" s="6" t="n">
        <f aca="false">STDEV(C234:C245)</f>
        <v>2.93174727914243</v>
      </c>
    </row>
    <row r="246" customFormat="false" ht="15" hidden="false" customHeight="true" outlineLevel="0" collapsed="false">
      <c r="A246" s="6" t="s">
        <v>267</v>
      </c>
      <c r="B246" s="6" t="n">
        <v>1205.43421052631</v>
      </c>
      <c r="C246" s="6" t="n">
        <f aca="false">LN(B246/B245)*100</f>
        <v>4.8219856477684</v>
      </c>
      <c r="D246" s="6" t="n">
        <f aca="false">STDEV(C244:C246)</f>
        <v>1.60042870846298</v>
      </c>
      <c r="E246" s="6" t="n">
        <f aca="false">STDEV(C235:C246)</f>
        <v>2.97518444328102</v>
      </c>
    </row>
    <row r="247" customFormat="false" ht="15" hidden="false" customHeight="true" outlineLevel="0" collapsed="false">
      <c r="A247" s="6" t="s">
        <v>268</v>
      </c>
      <c r="B247" s="6" t="n">
        <v>1232.92045454545</v>
      </c>
      <c r="C247" s="6" t="n">
        <f aca="false">LN(B247/B246)*100</f>
        <v>2.2545865629217</v>
      </c>
      <c r="D247" s="6" t="n">
        <f aca="false">STDEV(C245:C247)</f>
        <v>1.30560084692655</v>
      </c>
      <c r="E247" s="6" t="n">
        <f aca="false">STDEV(C236:C247)</f>
        <v>2.97309070123585</v>
      </c>
    </row>
    <row r="248" customFormat="false" ht="15" hidden="false" customHeight="true" outlineLevel="0" collapsed="false">
      <c r="A248" s="6" t="s">
        <v>269</v>
      </c>
      <c r="B248" s="6" t="n">
        <v>1192.9659090909</v>
      </c>
      <c r="C248" s="6" t="n">
        <f aca="false">LN(B248/B247)*100</f>
        <v>-3.29431414259574</v>
      </c>
      <c r="D248" s="6" t="n">
        <f aca="false">STDEV(C246:C248)</f>
        <v>4.14841655308843</v>
      </c>
      <c r="E248" s="6" t="n">
        <f aca="false">STDEV(C237:C248)</f>
        <v>3.23931717248143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1.89675627458852</v>
      </c>
      <c r="D249" s="6" t="n">
        <f aca="false">STDEV(C247:C249)</f>
        <v>3.1055207193831</v>
      </c>
      <c r="E249" s="6" t="n">
        <f aca="false">STDEV(C238:C249)</f>
        <v>3.2369136886456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3.94092958823263</v>
      </c>
      <c r="E250" s="6" t="n">
        <f aca="false">STDEV(C239:C250)</f>
        <v>3.20637015714126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1.82613433291757</v>
      </c>
      <c r="E251" s="6" t="n">
        <f aca="false">STDEV(C240:C251)</f>
        <v>3.27828556795079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2.75989808384905</v>
      </c>
    </row>
    <row r="253" customFormat="false" ht="15" hidden="false" customHeight="true" outlineLevel="0" collapsed="false">
      <c r="A253" s="6" t="s">
        <v>274</v>
      </c>
      <c r="B253" s="6" t="n">
        <v>1390.55263157894</v>
      </c>
      <c r="C253" s="6" t="n">
        <f aca="false">LN(B253/B252)*100</f>
        <v>1.4973454656461</v>
      </c>
      <c r="D253" s="6" t="n">
        <f aca="false">STDEV(C251:C253)</f>
        <v>2.13321143639121</v>
      </c>
      <c r="E253" s="6" t="n">
        <f aca="false">STDEV(C242:C253)</f>
        <v>2.74446204759972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-2.48671135360855</v>
      </c>
      <c r="D254" s="6" t="n">
        <f aca="false">STDEV(C252:C254)</f>
        <v>2.47688714646563</v>
      </c>
      <c r="E254" s="6" t="n">
        <f aca="false">STDEV(C243:C254)</f>
        <v>2.8623353435842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2.21842182972115</v>
      </c>
      <c r="E255" s="6" t="n">
        <f aca="false">STDEV(C244:C255)</f>
        <v>2.63041136205904</v>
      </c>
    </row>
    <row r="256" customFormat="false" ht="15" hidden="false" customHeight="true" outlineLevel="0" collapsed="false">
      <c r="A256" s="6" t="s">
        <v>277</v>
      </c>
      <c r="B256" s="6" t="n">
        <v>1424.01086956521</v>
      </c>
      <c r="C256" s="6" t="n">
        <f aca="false">LN(B256/B255)*100</f>
        <v>3.66796306902897</v>
      </c>
      <c r="D256" s="6" t="n">
        <f aca="false">STDEV(C254:C256)</f>
        <v>3.09714583549113</v>
      </c>
      <c r="E256" s="6" t="n">
        <f aca="false">STDEV(C245:C256)</f>
        <v>2.6780210697482</v>
      </c>
    </row>
    <row r="257" customFormat="false" ht="15" hidden="false" customHeight="true" outlineLevel="0" collapsed="false">
      <c r="A257" s="6" t="s">
        <v>278</v>
      </c>
      <c r="B257" s="6" t="n">
        <v>1473.80555555555</v>
      </c>
      <c r="C257" s="6" t="n">
        <f aca="false">LN(B257/B256)*100</f>
        <v>3.43704228064565</v>
      </c>
      <c r="D257" s="6" t="n">
        <f aca="false">STDEV(C255:C257)</f>
        <v>1.36520596384416</v>
      </c>
      <c r="E257" s="6" t="n">
        <f aca="false">STDEV(C246:C257)</f>
        <v>2.69085299940477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2.45514750723179</v>
      </c>
      <c r="D258" s="6" t="n">
        <f aca="false">STDEV(C256:C258)</f>
        <v>0.643993186234974</v>
      </c>
      <c r="E258" s="6" t="n">
        <f aca="false">STDEV(C247:C258)</f>
        <v>2.5546451976324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1.12173540117846</v>
      </c>
      <c r="E259" s="6" t="n">
        <f aca="false">STDEV(C248:C259)</f>
        <v>2.55872876704921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0.860957504290495</v>
      </c>
      <c r="E260" s="6" t="n">
        <f aca="false">STDEV(C249:C260)</f>
        <v>2.00275530576728</v>
      </c>
    </row>
    <row r="261" customFormat="false" ht="15" hidden="false" customHeight="true" outlineLevel="0" collapsed="false">
      <c r="A261" s="6" t="s">
        <v>282</v>
      </c>
      <c r="B261" s="6" t="n">
        <v>1755.80681818181</v>
      </c>
      <c r="C261" s="6" t="n">
        <f aca="false">LN(B261/B260)*100</f>
        <v>11.0064951022331</v>
      </c>
      <c r="D261" s="6" t="n">
        <f aca="false">STDEV(C259:C261)</f>
        <v>5.25155850817202</v>
      </c>
      <c r="E261" s="6" t="n">
        <f aca="false">STDEV(C250:C261)</f>
        <v>3.20201985811751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0.909700443604554</v>
      </c>
      <c r="D262" s="6" t="n">
        <f aca="false">STDEV(C260:C262)</f>
        <v>5.35836627146202</v>
      </c>
      <c r="E262" s="6" t="n">
        <f aca="false">STDEV(C251:C262)</f>
        <v>3.22616858319951</v>
      </c>
    </row>
    <row r="263" customFormat="false" ht="15" hidden="false" customHeight="true" outlineLevel="0" collapsed="false">
      <c r="A263" s="6" t="s">
        <v>284</v>
      </c>
      <c r="B263" s="6" t="n">
        <v>1665.21428571428</v>
      </c>
      <c r="C263" s="6" t="n">
        <f aca="false">LN(B263/B262)*100</f>
        <v>-6.20716658922695</v>
      </c>
      <c r="D263" s="6" t="n">
        <f aca="false">STDEV(C261:C263)</f>
        <v>8.6497129776037</v>
      </c>
      <c r="E263" s="6" t="n">
        <f aca="false">STDEV(C252:C263)</f>
        <v>4.00703779741797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4.33433508447841</v>
      </c>
      <c r="D264" s="6" t="n">
        <f aca="false">STDEV(C262:C264)</f>
        <v>5.37744016429146</v>
      </c>
      <c r="E264" s="6" t="n">
        <f aca="false">STDEV(C253:C264)</f>
        <v>4.07378885936546</v>
      </c>
    </row>
    <row r="265" customFormat="false" ht="15" hidden="false" customHeight="true" outlineLevel="0" collapsed="false">
      <c r="A265" s="6" t="s">
        <v>286</v>
      </c>
      <c r="B265" s="6" t="n">
        <v>1652.30555555555</v>
      </c>
      <c r="C265" s="6" t="n">
        <f aca="false">LN(B265/B264)*100</f>
        <v>-5.11255471390832</v>
      </c>
      <c r="D265" s="6" t="n">
        <f aca="false">STDEV(C263:C265)</f>
        <v>5.79604979788224</v>
      </c>
      <c r="E265" s="6" t="n">
        <f aca="false">STDEV(C254:C265)</f>
        <v>4.56359688971327</v>
      </c>
    </row>
    <row r="266" customFormat="false" ht="15" hidden="false" customHeight="true" outlineLevel="0" collapsed="false">
      <c r="A266" s="6" t="s">
        <v>287</v>
      </c>
      <c r="B266" s="6" t="n">
        <v>1656.11904761904</v>
      </c>
      <c r="C266" s="6" t="n">
        <f aca="false">LN(B266/B265)*100</f>
        <v>0.230532305238895</v>
      </c>
      <c r="D266" s="6" t="n">
        <f aca="false">STDEV(C264:C266)</f>
        <v>4.73697341854368</v>
      </c>
      <c r="E266" s="6" t="n">
        <f aca="false">STDEV(C255:C266)</f>
        <v>4.41623014684848</v>
      </c>
    </row>
    <row r="267" customFormat="false" ht="15" hidden="false" customHeight="true" outlineLevel="0" collapsed="false">
      <c r="A267" s="6" t="s">
        <v>288</v>
      </c>
      <c r="B267" s="6" t="n">
        <v>1742.61904761904</v>
      </c>
      <c r="C267" s="6" t="n">
        <f aca="false">LN(B267/B266)*100</f>
        <v>5.09122392917204</v>
      </c>
      <c r="D267" s="6" t="n">
        <f aca="false">STDEV(C265:C267)</f>
        <v>5.10378945089065</v>
      </c>
      <c r="E267" s="6" t="n">
        <f aca="false">STDEV(C256:C267)</f>
        <v>4.52065377600934</v>
      </c>
    </row>
    <row r="268" customFormat="false" ht="15" hidden="false" customHeight="true" outlineLevel="0" collapsed="false">
      <c r="A268" s="6" t="s">
        <v>289</v>
      </c>
      <c r="B268" s="6" t="n">
        <v>1673.77272727272</v>
      </c>
      <c r="C268" s="6" t="n">
        <f aca="false">LN(B268/B267)*100</f>
        <v>-4.03089847443559</v>
      </c>
      <c r="D268" s="6" t="n">
        <f aca="false">STDEV(C266:C268)</f>
        <v>4.5643406332739</v>
      </c>
      <c r="E268" s="6" t="n">
        <f aca="false">STDEV(C257:C268)</f>
        <v>4.79837975872505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-1.42650370595103</v>
      </c>
      <c r="D269" s="6" t="n">
        <f aca="false">STDEV(C267:C269)</f>
        <v>4.69887863896194</v>
      </c>
      <c r="E269" s="6" t="n">
        <f aca="false">STDEV(C258:C269)</f>
        <v>4.81114978473527</v>
      </c>
    </row>
    <row r="270" customFormat="false" ht="15" hidden="false" customHeight="true" outlineLevel="0" collapsed="false">
      <c r="A270" s="6" t="s">
        <v>291</v>
      </c>
      <c r="B270" s="6" t="n">
        <v>1585.50454545454</v>
      </c>
      <c r="C270" s="6" t="n">
        <f aca="false">LN(B270/B269)*100</f>
        <v>-3.99124776434607</v>
      </c>
      <c r="D270" s="6" t="n">
        <f aca="false">STDEV(C268:C270)</f>
        <v>1.492333540354</v>
      </c>
      <c r="E270" s="6" t="n">
        <f aca="false">STDEV(C259:C270)</f>
        <v>4.98356653959723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0.703466934359989</v>
      </c>
      <c r="D271" s="6" t="n">
        <f aca="false">STDEV(C269:C271)</f>
        <v>2.35071028683908</v>
      </c>
      <c r="E271" s="6" t="n">
        <f aca="false">STDEV(C260:C271)</f>
        <v>4.97842991430589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2.49589954760651</v>
      </c>
      <c r="E272" s="6" t="n">
        <f aca="false">STDEV(C261:C272)</f>
        <v>4.9173933528807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1.09166468443052</v>
      </c>
      <c r="E273" s="6" t="n">
        <f aca="false">STDEV(C262:C273)</f>
        <v>3.61891444363096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4.2357733244585</v>
      </c>
    </row>
    <row r="275" customFormat="false" ht="15" hidden="false" customHeight="true" outlineLevel="0" collapsed="false">
      <c r="A275" s="6" t="s">
        <v>296</v>
      </c>
      <c r="B275" s="6" t="n">
        <v>1747.01086956521</v>
      </c>
      <c r="C275" s="6" t="n">
        <f aca="false">LN(B275/B274)*100</f>
        <v>0.146693325235825</v>
      </c>
      <c r="D275" s="6" t="n">
        <f aca="false">STDEV(C273:C275)</f>
        <v>3.56214938710605</v>
      </c>
      <c r="E275" s="6" t="n">
        <f aca="false">STDEV(C264:C275)</f>
        <v>3.77959085736113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-1.49215037712378</v>
      </c>
      <c r="D276" s="6" t="n">
        <f aca="false">STDEV(C274:C276)</f>
        <v>4.52176988545678</v>
      </c>
      <c r="E276" s="6" t="n">
        <f aca="false">STDEV(C265:C276)</f>
        <v>3.59805509262339</v>
      </c>
    </row>
    <row r="277" customFormat="false" ht="15" hidden="false" customHeight="true" outlineLevel="0" collapsed="false">
      <c r="A277" s="6" t="s">
        <v>298</v>
      </c>
      <c r="B277" s="6" t="n">
        <v>1688.5294117647</v>
      </c>
      <c r="C277" s="6" t="n">
        <f aca="false">LN(B277/B276)*100</f>
        <v>-1.91267696440875</v>
      </c>
      <c r="D277" s="6" t="n">
        <f aca="false">STDEV(C275:C277)</f>
        <v>1.08809139331584</v>
      </c>
      <c r="E277" s="6" t="n">
        <f aca="false">STDEV(C266:C277)</f>
        <v>3.29769656296815</v>
      </c>
    </row>
    <row r="278" customFormat="false" ht="15" hidden="false" customHeight="true" outlineLevel="0" collapsed="false">
      <c r="A278" s="6" t="s">
        <v>299</v>
      </c>
      <c r="B278" s="6" t="n">
        <v>1670.95454545454</v>
      </c>
      <c r="C278" s="6" t="n">
        <f aca="false">LN(B278/B277)*100</f>
        <v>-1.04629323221756</v>
      </c>
      <c r="D278" s="6" t="n">
        <f aca="false">STDEV(C276:C278)</f>
        <v>0.433253577727679</v>
      </c>
      <c r="E278" s="6" t="n">
        <f aca="false">STDEV(C267:C278)</f>
        <v>3.31648843930482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-2.62961901449594</v>
      </c>
      <c r="D279" s="6" t="n">
        <f aca="false">STDEV(C277:C279)</f>
        <v>0.792837436828022</v>
      </c>
      <c r="E279" s="6" t="n">
        <f aca="false">STDEV(C268:C279)</f>
        <v>2.98731190344803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0.812759407215578</v>
      </c>
      <c r="E280" s="6" t="n">
        <f aca="false">STDEV(C269:C280)</f>
        <v>2.83497174474902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2.67383464861819</v>
      </c>
      <c r="E281" s="6" t="n">
        <f aca="false">STDEV(C270:C281)</f>
        <v>3.41463881529488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3.50313749612512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3.65641923850442</v>
      </c>
    </row>
    <row r="284" customFormat="false" ht="15" hidden="false" customHeight="true" outlineLevel="0" collapsed="false">
      <c r="A284" s="6" t="s">
        <v>305</v>
      </c>
      <c r="B284" s="6" t="n">
        <v>1286.72391304347</v>
      </c>
      <c r="C284" s="6" t="n">
        <f aca="false">LN(B284/B283)*100</f>
        <v>-4.23317354773108</v>
      </c>
      <c r="D284" s="6" t="n">
        <f aca="false">STDEV(C282:C284)</f>
        <v>0.485780541512028</v>
      </c>
      <c r="E284" s="6" t="n">
        <f aca="false">STDEV(C273:C284)</f>
        <v>3.71537518688078</v>
      </c>
    </row>
    <row r="285" customFormat="false" ht="15" hidden="false" customHeight="true" outlineLevel="0" collapsed="false">
      <c r="A285" s="6" t="s">
        <v>306</v>
      </c>
      <c r="B285" s="6" t="n">
        <v>1347.09523809523</v>
      </c>
      <c r="C285" s="6" t="n">
        <f aca="false">LN(B285/B284)*100</f>
        <v>4.58512129641295</v>
      </c>
      <c r="D285" s="6" t="n">
        <f aca="false">STDEV(C283:C285)</f>
        <v>5.38004614871671</v>
      </c>
      <c r="E285" s="6" t="n">
        <f aca="false">STDEV(C274:C285)</f>
        <v>4.01776991642574</v>
      </c>
    </row>
    <row r="286" customFormat="false" ht="15" hidden="false" customHeight="true" outlineLevel="0" collapsed="false">
      <c r="A286" s="6" t="s">
        <v>307</v>
      </c>
      <c r="B286" s="6" t="n">
        <v>1348.79761904761</v>
      </c>
      <c r="C286" s="6" t="n">
        <f aca="false">LN(B286/B285)*100</f>
        <v>0.126294424064245</v>
      </c>
      <c r="D286" s="6" t="n">
        <f aca="false">STDEV(C284:C286)</f>
        <v>4.40924071379161</v>
      </c>
      <c r="E286" s="6" t="n">
        <f aca="false">STDEV(C275:C286)</f>
        <v>3.05324264565481</v>
      </c>
    </row>
    <row r="287" customFormat="false" ht="15" hidden="false" customHeight="true" outlineLevel="0" collapsed="false">
      <c r="A287" s="6" t="s">
        <v>308</v>
      </c>
      <c r="B287" s="6" t="n">
        <v>1316.18478260869</v>
      </c>
      <c r="C287" s="6" t="n">
        <f aca="false">LN(B287/B286)*100</f>
        <v>-2.44763076634862</v>
      </c>
      <c r="D287" s="6" t="n">
        <f aca="false">STDEV(C285:C287)</f>
        <v>3.55822590485057</v>
      </c>
      <c r="E287" s="6" t="n">
        <f aca="false">STDEV(C276:C287)</f>
        <v>2.96696326243306</v>
      </c>
    </row>
    <row r="288" customFormat="false" ht="15" hidden="false" customHeight="true" outlineLevel="0" collapsed="false">
      <c r="A288" s="6" t="s">
        <v>309</v>
      </c>
      <c r="B288" s="6" t="n">
        <v>1275.82142857142</v>
      </c>
      <c r="C288" s="6" t="n">
        <f aca="false">LN(B288/B287)*100</f>
        <v>-3.11470064943087</v>
      </c>
      <c r="D288" s="6" t="n">
        <f aca="false">STDEV(C286:C288)</f>
        <v>1.71143809807117</v>
      </c>
      <c r="E288" s="6" t="n">
        <f aca="false">STDEV(C277:C288)</f>
        <v>2.96079595924317</v>
      </c>
    </row>
    <row r="289" customFormat="false" ht="15" hidden="false" customHeight="true" outlineLevel="0" collapsed="false">
      <c r="A289" s="6" t="s">
        <v>310</v>
      </c>
      <c r="B289" s="6" t="n">
        <v>1225.40277777777</v>
      </c>
      <c r="C289" s="6" t="n">
        <f aca="false">LN(B289/B288)*100</f>
        <v>-4.03206407282166</v>
      </c>
      <c r="D289" s="6" t="n">
        <f aca="false">STDEV(C287:C289)</f>
        <v>0.795504743559264</v>
      </c>
      <c r="E289" s="6" t="n">
        <f aca="false">STDEV(C278:C289)</f>
        <v>2.98600953585315</v>
      </c>
    </row>
    <row r="290" customFormat="false" ht="15" hidden="false" customHeight="true" outlineLevel="0" collapsed="false">
      <c r="A290" s="6" t="s">
        <v>311</v>
      </c>
      <c r="B290" s="6" t="n">
        <v>1244.79545454545</v>
      </c>
      <c r="C290" s="6" t="n">
        <f aca="false">LN(B290/B289)*100</f>
        <v>1.57016347408708</v>
      </c>
      <c r="D290" s="6" t="n">
        <f aca="false">STDEV(C288:C290)</f>
        <v>3.00484223084851</v>
      </c>
      <c r="E290" s="6" t="n">
        <f aca="false">STDEV(C279:C290)</f>
        <v>3.20311032376361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4.41427604768189</v>
      </c>
      <c r="D291" s="6" t="n">
        <f aca="false">STDEV(C289:C291)</f>
        <v>4.2975689106333</v>
      </c>
      <c r="E291" s="6" t="n">
        <f aca="false">STDEV(C280:C291)</f>
        <v>3.76418707040827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1.43471472070812</v>
      </c>
      <c r="E292" s="6" t="n">
        <f aca="false">STDEV(C281:C292)</f>
        <v>3.98127151652501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3.77118288373323</v>
      </c>
      <c r="E293" s="6" t="n">
        <f aca="false">STDEV(C282:C293)</f>
        <v>3.61823985729262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3.41206771982871</v>
      </c>
    </row>
    <row r="295" customFormat="false" ht="15" hidden="false" customHeight="true" outlineLevel="0" collapsed="false">
      <c r="A295" s="6" t="s">
        <v>316</v>
      </c>
      <c r="B295" s="6" t="n">
        <v>1279.09523809523</v>
      </c>
      <c r="C295" s="6" t="n">
        <f aca="false">LN(B295/B294)*100</f>
        <v>-0.656878808241969</v>
      </c>
      <c r="D295" s="6" t="n">
        <f aca="false">STDEV(C293:C295)</f>
        <v>1.18495773077557</v>
      </c>
      <c r="E295" s="6" t="n">
        <f aca="false">STDEV(C284:C295)</f>
        <v>3.12104654292692</v>
      </c>
    </row>
    <row r="296" customFormat="false" ht="15" hidden="false" customHeight="true" outlineLevel="0" collapsed="false">
      <c r="A296" s="6" t="s">
        <v>317</v>
      </c>
      <c r="B296" s="6" t="n">
        <v>1310.96739130434</v>
      </c>
      <c r="C296" s="6" t="n">
        <f aca="false">LN(B296/B295)*100</f>
        <v>2.46123485647185</v>
      </c>
      <c r="D296" s="6" t="n">
        <f aca="false">STDEV(C294:C296)</f>
        <v>1.87031141368727</v>
      </c>
      <c r="E296" s="6" t="n">
        <f aca="false">STDEV(C285:C296)</f>
        <v>2.96862583918375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-1.14923785034238</v>
      </c>
      <c r="D297" s="6" t="n">
        <f aca="false">STDEV(C295:C297)</f>
        <v>1.95791400130613</v>
      </c>
      <c r="E297" s="6" t="n">
        <f aca="false">STDEV(C286:C297)</f>
        <v>2.63337422315823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2.88943126550637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1.89201440345059</v>
      </c>
      <c r="E299" s="6" t="n">
        <f aca="false">STDEV(C288:C299)</f>
        <v>2.8459022209584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2.91191026958419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2.81205717162565</v>
      </c>
    </row>
    <row r="302" customFormat="false" ht="15" hidden="false" customHeight="true" outlineLevel="0" collapsed="false">
      <c r="A302" s="6" t="s">
        <v>323</v>
      </c>
      <c r="B302" s="6" t="n">
        <v>1251.84523809523</v>
      </c>
      <c r="C302" s="6" t="n">
        <f aca="false">LN(B302/B301)*100</f>
        <v>4.03910194810441</v>
      </c>
      <c r="D302" s="6" t="n">
        <f aca="false">STDEV(C300:C302)</f>
        <v>4.12597667140519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-1.98936875021297</v>
      </c>
      <c r="D303" s="6" t="n">
        <f aca="false">STDEV(C301:C303)</f>
        <v>3.08780481926213</v>
      </c>
      <c r="E303" s="6" t="n">
        <f aca="false">STDEV(C292:C303)</f>
        <v>2.74302596662204</v>
      </c>
    </row>
    <row r="304" customFormat="false" ht="15" hidden="false" customHeight="true" outlineLevel="0" collapsed="false">
      <c r="A304" s="6" t="s">
        <v>325</v>
      </c>
      <c r="B304" s="6" t="n">
        <v>1178.62954545454</v>
      </c>
      <c r="C304" s="6" t="n">
        <f aca="false">LN(B304/B303)*100</f>
        <v>-4.03726044199161</v>
      </c>
      <c r="D304" s="6" t="n">
        <f aca="false">STDEV(C302:C304)</f>
        <v>4.19849077641567</v>
      </c>
      <c r="E304" s="6" t="n">
        <f aca="false">STDEV(C293:C304)</f>
        <v>2.72553018283347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1.6226010292261</v>
      </c>
      <c r="D305" s="6" t="n">
        <f aca="false">STDEV(C303:C305)</f>
        <v>2.86572323454923</v>
      </c>
      <c r="E305" s="6" t="n">
        <f aca="false">STDEV(C294:C305)</f>
        <v>2.76431939836122</v>
      </c>
    </row>
    <row r="306" customFormat="false" ht="15" hidden="false" customHeight="true" outlineLevel="0" collapsed="false">
      <c r="A306" s="6" t="s">
        <v>327</v>
      </c>
      <c r="B306" s="6" t="n">
        <v>1199.05263157894</v>
      </c>
      <c r="C306" s="6" t="n">
        <f aca="false">LN(B306/B305)*100</f>
        <v>0.0953399648737062</v>
      </c>
      <c r="D306" s="6" t="n">
        <f aca="false">STDEV(C304:C306)</f>
        <v>2.92816621667569</v>
      </c>
      <c r="E306" s="6" t="n">
        <f aca="false">STDEV(C295:C306)</f>
        <v>2.772006761478</v>
      </c>
    </row>
    <row r="307" customFormat="false" ht="15" hidden="false" customHeight="true" outlineLevel="0" collapsed="false">
      <c r="A307" s="6" t="s">
        <v>328</v>
      </c>
      <c r="B307" s="6" t="n">
        <v>1181.50454545454</v>
      </c>
      <c r="C307" s="6" t="n">
        <f aca="false">LN(B307/B306)*100</f>
        <v>-1.47431064842252</v>
      </c>
      <c r="D307" s="6" t="n">
        <f aca="false">STDEV(C305:C307)</f>
        <v>1.54850418929928</v>
      </c>
      <c r="E307" s="6" t="n">
        <f aca="false">STDEV(C296:C307)</f>
        <v>2.78373151606234</v>
      </c>
    </row>
    <row r="308" customFormat="false" ht="15" hidden="false" customHeight="true" outlineLevel="0" collapsed="false">
      <c r="A308" s="6" t="s">
        <v>329</v>
      </c>
      <c r="B308" s="6" t="n">
        <v>1130.03695652173</v>
      </c>
      <c r="C308" s="6" t="n">
        <f aca="false">LN(B308/B307)*100</f>
        <v>-4.45383277511057</v>
      </c>
      <c r="D308" s="6" t="n">
        <f aca="false">STDEV(C306:C308)</f>
        <v>2.31071157039922</v>
      </c>
      <c r="E308" s="6" t="n">
        <f aca="false">STDEV(C297:C308)</f>
        <v>2.7942806565314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-1.11786611852519</v>
      </c>
      <c r="D309" s="6" t="n">
        <f aca="false">STDEV(C307:C309)</f>
        <v>1.83181505344502</v>
      </c>
      <c r="E309" s="6" t="n">
        <f aca="false">STDEV(C298:C309)</f>
        <v>2.79438554223413</v>
      </c>
    </row>
    <row r="310" customFormat="false" ht="15" hidden="false" customHeight="true" outlineLevel="0" collapsed="false">
      <c r="A310" s="6" t="s">
        <v>331</v>
      </c>
      <c r="B310" s="6" t="n">
        <v>1124.53181818181</v>
      </c>
      <c r="C310" s="6" t="n">
        <f aca="false">LN(B310/B309)*100</f>
        <v>0.629511153024581</v>
      </c>
      <c r="D310" s="6" t="n">
        <f aca="false">STDEV(C308:C310)</f>
        <v>2.58271131289989</v>
      </c>
      <c r="E310" s="6" t="n">
        <f aca="false">STDEV(C299:C310)</f>
        <v>2.63599172869685</v>
      </c>
    </row>
    <row r="311" customFormat="false" ht="15" hidden="false" customHeight="true" outlineLevel="0" collapsed="false">
      <c r="A311" s="6" t="s">
        <v>332</v>
      </c>
      <c r="B311" s="6" t="n">
        <v>1159.24545454545</v>
      </c>
      <c r="C311" s="6" t="n">
        <f aca="false">LN(B311/B310)*100</f>
        <v>3.04025358303586</v>
      </c>
      <c r="D311" s="6" t="n">
        <f aca="false">STDEV(C309:C311)</f>
        <v>2.08786038188603</v>
      </c>
      <c r="E311" s="6" t="n">
        <f aca="false">STDEV(C300:C311)</f>
        <v>2.85037762424464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-6.55421899867197</v>
      </c>
      <c r="D312" s="6" t="n">
        <f aca="false">STDEV(C310:C312)</f>
        <v>4.99118493074531</v>
      </c>
      <c r="E312" s="6" t="n">
        <f aca="false">STDEV(C301:C312)</f>
        <v>3.22621801968314</v>
      </c>
    </row>
    <row r="313" customFormat="false" ht="15" hidden="false" customHeight="true" outlineLevel="0" collapsed="false">
      <c r="A313" s="6" t="s">
        <v>334</v>
      </c>
      <c r="B313" s="6" t="n">
        <v>1068.25263157894</v>
      </c>
      <c r="C313" s="6" t="n">
        <f aca="false">LN(B313/B312)*100</f>
        <v>-1.62028742770377</v>
      </c>
      <c r="D313" s="6" t="n">
        <f aca="false">STDEV(C311:C313)</f>
        <v>4.79788542625683</v>
      </c>
      <c r="E313" s="6" t="n">
        <f aca="false">STDEV(C302:C313)</f>
        <v>3.10501574457544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2.68967052766979</v>
      </c>
      <c r="D314" s="6" t="n">
        <f aca="false">STDEV(C312:C314)</f>
        <v>4.62545334533628</v>
      </c>
      <c r="E314" s="6" t="n">
        <f aca="false">STDEV(C303:C314)</f>
        <v>2.9257808688616</v>
      </c>
    </row>
    <row r="315" customFormat="false" ht="15" hidden="false" customHeight="true" outlineLevel="0" collapsed="false">
      <c r="A315" s="6" t="s">
        <v>336</v>
      </c>
      <c r="B315" s="6" t="n">
        <v>1199.9119047619</v>
      </c>
      <c r="C315" s="6" t="n">
        <f aca="false">LN(B315/B314)*100</f>
        <v>8.9327177136458</v>
      </c>
      <c r="D315" s="6" t="n">
        <f aca="false">STDEV(C313:C315)</f>
        <v>5.30592896762294</v>
      </c>
      <c r="E315" s="6" t="n">
        <f aca="false">STDEV(C304:C315)</f>
        <v>4.09023837635899</v>
      </c>
    </row>
    <row r="316" customFormat="false" ht="15" hidden="false" customHeight="true" outlineLevel="0" collapsed="false">
      <c r="A316" s="6" t="s">
        <v>337</v>
      </c>
      <c r="B316" s="6" t="n">
        <v>1246.33809523809</v>
      </c>
      <c r="C316" s="6" t="n">
        <f aca="false">LN(B316/B315)*100</f>
        <v>3.79615866501579</v>
      </c>
      <c r="D316" s="6" t="n">
        <f aca="false">STDEV(C314:C316)</f>
        <v>3.33127085420548</v>
      </c>
      <c r="E316" s="6" t="n">
        <f aca="false">STDEV(C305:C316)</f>
        <v>4.04478190199533</v>
      </c>
    </row>
    <row r="317" customFormat="false" ht="15" hidden="false" customHeight="true" outlineLevel="0" collapsed="false">
      <c r="A317" s="6" t="s">
        <v>338</v>
      </c>
      <c r="B317" s="6" t="n">
        <v>1242.2619047619</v>
      </c>
      <c r="C317" s="6" t="n">
        <f aca="false">LN(B317/B316)*100</f>
        <v>-0.327589337095945</v>
      </c>
      <c r="D317" s="6" t="n">
        <f aca="false">STDEV(C315:C317)</f>
        <v>4.63937537316898</v>
      </c>
      <c r="E317" s="6" t="n">
        <f aca="false">STDEV(C306:C317)</f>
        <v>4.03322510724998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1.36995973183861</v>
      </c>
      <c r="D318" s="6" t="n">
        <f aca="false">STDEV(C316:C318)</f>
        <v>2.07257535808758</v>
      </c>
      <c r="E318" s="6" t="n">
        <f aca="false">STDEV(C307:C318)</f>
        <v>4.04402973217697</v>
      </c>
    </row>
    <row r="319" customFormat="false" ht="15" hidden="false" customHeight="true" outlineLevel="0" collapsed="false">
      <c r="A319" s="6" t="s">
        <v>340</v>
      </c>
      <c r="B319" s="6" t="n">
        <v>1276.40454545454</v>
      </c>
      <c r="C319" s="6" t="n">
        <f aca="false">LN(B319/B318)*100</f>
        <v>1.34137445694319</v>
      </c>
      <c r="D319" s="6" t="n">
        <f aca="false">STDEV(C317:C319)</f>
        <v>0.971933648729424</v>
      </c>
      <c r="E319" s="6" t="n">
        <f aca="false">STDEV(C308:C319)</f>
        <v>4.00632130407041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4.66250637301065</v>
      </c>
      <c r="D320" s="6" t="n">
        <f aca="false">STDEV(C318:C320)</f>
        <v>1.90925804551384</v>
      </c>
      <c r="E320" s="6" t="n">
        <f aca="false">STDEV(C309:C320)</f>
        <v>3.81140438272531</v>
      </c>
    </row>
    <row r="321" customFormat="false" ht="15" hidden="false" customHeight="true" outlineLevel="0" collapsed="false">
      <c r="A321" s="6" t="s">
        <v>342</v>
      </c>
      <c r="B321" s="6" t="n">
        <v>1341.08863636363</v>
      </c>
      <c r="C321" s="6" t="n">
        <f aca="false">LN(B321/B320)*100</f>
        <v>0.280945903114374</v>
      </c>
      <c r="D321" s="6" t="n">
        <f aca="false">STDEV(C319:C321)</f>
        <v>2.28591695945176</v>
      </c>
      <c r="E321" s="6" t="n">
        <f aca="false">STDEV(C310:C321)</f>
        <v>3.74814592984081</v>
      </c>
    </row>
    <row r="322" customFormat="false" ht="15" hidden="false" customHeight="true" outlineLevel="0" collapsed="false">
      <c r="A322" s="6" t="s">
        <v>343</v>
      </c>
      <c r="B322" s="6" t="n">
        <v>1326.02954545454</v>
      </c>
      <c r="C322" s="6" t="n">
        <f aca="false">LN(B322/B321)*100</f>
        <v>-1.1292526173597</v>
      </c>
      <c r="D322" s="6" t="n">
        <f aca="false">STDEV(C320:C322)</f>
        <v>3.02024293231082</v>
      </c>
      <c r="E322" s="6" t="n">
        <f aca="false">STDEV(C311:C322)</f>
        <v>3.81983661062051</v>
      </c>
    </row>
    <row r="323" customFormat="false" ht="15" hidden="false" customHeight="true" outlineLevel="0" collapsed="false">
      <c r="A323" s="6" t="s">
        <v>344</v>
      </c>
      <c r="B323" s="6" t="n">
        <v>1266.56904761904</v>
      </c>
      <c r="C323" s="6" t="n">
        <f aca="false">LN(B323/B322)*100</f>
        <v>-4.58774657301773</v>
      </c>
      <c r="D323" s="6" t="n">
        <f aca="false">STDEV(C321:C323)</f>
        <v>2.50512829796586</v>
      </c>
      <c r="E323" s="6" t="n">
        <f aca="false">STDEV(C312:C323)</f>
        <v>4.13864822048988</v>
      </c>
    </row>
    <row r="324" customFormat="false" ht="15" hidden="false" customHeight="true" outlineLevel="0" collapsed="false">
      <c r="A324" s="6" t="s">
        <v>345</v>
      </c>
      <c r="B324" s="6" t="n">
        <v>1235.97954545454</v>
      </c>
      <c r="C324" s="6" t="n">
        <f aca="false">LN(B324/B323)*100</f>
        <v>-2.44478975116231</v>
      </c>
      <c r="D324" s="6" t="n">
        <f aca="false">STDEV(C322:C324)</f>
        <v>1.74566521857588</v>
      </c>
      <c r="E324" s="6" t="n">
        <f aca="false">STDEV(C313:C324)</f>
        <v>3.61763502798748</v>
      </c>
    </row>
    <row r="325" customFormat="false" ht="15" hidden="false" customHeight="true" outlineLevel="0" collapsed="false">
      <c r="A325" s="6" t="s">
        <v>346</v>
      </c>
      <c r="B325" s="6" t="n">
        <v>1151.40277777777</v>
      </c>
      <c r="C325" s="6" t="n">
        <f aca="false">LN(B325/B324)*100</f>
        <v>-7.08828041349537</v>
      </c>
      <c r="D325" s="6" t="n">
        <f aca="false">STDEV(C323:C325)</f>
        <v>2.32403883210833</v>
      </c>
      <c r="E325" s="6" t="n">
        <f aca="false">STDEV(C314:C325)</f>
        <v>4.27360962391868</v>
      </c>
    </row>
    <row r="326" customFormat="false" ht="15" hidden="false" customHeight="true" outlineLevel="0" collapsed="false">
      <c r="A326" s="6" t="s">
        <v>347</v>
      </c>
      <c r="B326" s="6" t="n">
        <v>1192.61666666666</v>
      </c>
      <c r="C326" s="6" t="n">
        <f aca="false">LN(B326/B325)*100</f>
        <v>3.5168766899081</v>
      </c>
      <c r="D326" s="6" t="n">
        <f aca="false">STDEV(C324:C326)</f>
        <v>5.31621465383075</v>
      </c>
      <c r="E326" s="6" t="n">
        <f aca="false">STDEV(C315:C326)</f>
        <v>4.31640413912776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3.44008191139718</v>
      </c>
      <c r="D327" s="6" t="n">
        <f aca="false">STDEV(C325:C327)</f>
        <v>6.1008423990748</v>
      </c>
      <c r="E327" s="6" t="n">
        <f aca="false">STDEV(C316:C327)</f>
        <v>3.59406726168916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2.161513453101</v>
      </c>
      <c r="E328" s="6" t="n">
        <f aca="false">STDEV(C317:C328)</f>
        <v>3.41508830129168</v>
      </c>
    </row>
    <row r="329" customFormat="false" ht="15" hidden="false" customHeight="true" outlineLevel="0" collapsed="false">
      <c r="A329" s="6" t="s">
        <v>350</v>
      </c>
      <c r="B329" s="6" t="n">
        <v>1265.62777777777</v>
      </c>
      <c r="C329" s="6" t="n">
        <f aca="false">LN(B329/B328)*100</f>
        <v>2.76654849296746</v>
      </c>
      <c r="D329" s="6" t="n">
        <f aca="false">STDEV(C327:C329)</f>
        <v>1.97351698721962</v>
      </c>
      <c r="E329" s="6" t="n">
        <f aca="false">STDEV(C318:C329)</f>
        <v>3.51198511647031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-1.64289113652755</v>
      </c>
      <c r="D330" s="6" t="n">
        <f aca="false">STDEV(C328:C330)</f>
        <v>2.25578161234957</v>
      </c>
      <c r="E330" s="6" t="n">
        <f aca="false">STDEV(C319:C330)</f>
        <v>3.52492435998039</v>
      </c>
    </row>
    <row r="331" customFormat="false" ht="15" hidden="false" customHeight="true" outlineLevel="0" collapsed="false">
      <c r="A331" s="6" t="s">
        <v>352</v>
      </c>
      <c r="B331" s="6" t="n">
        <v>1260.25681818181</v>
      </c>
      <c r="C331" s="6" t="n">
        <f aca="false">LN(B331/B330)*100</f>
        <v>1.21761694154676</v>
      </c>
      <c r="D331" s="6" t="n">
        <f aca="false">STDEV(C329:C331)</f>
        <v>2.23699401213161</v>
      </c>
      <c r="E331" s="6" t="n">
        <f aca="false">STDEV(C320:C331)</f>
        <v>3.52051559319295</v>
      </c>
    </row>
    <row r="332" customFormat="false" ht="15" hidden="false" customHeight="true" outlineLevel="0" collapsed="false">
      <c r="A332" s="6" t="s">
        <v>353</v>
      </c>
      <c r="B332" s="6" t="n">
        <v>1236.22142857142</v>
      </c>
      <c r="C332" s="6" t="n">
        <f aca="false">LN(B332/B331)*100</f>
        <v>-1.92560318281222</v>
      </c>
      <c r="D332" s="6" t="n">
        <f aca="false">STDEV(C330:C332)</f>
        <v>1.73888207938406</v>
      </c>
      <c r="E332" s="6" t="n">
        <f aca="false">STDEV(C321:C332)</f>
        <v>3.20919731431477</v>
      </c>
    </row>
    <row r="333" customFormat="false" ht="15" hidden="false" customHeight="true" outlineLevel="0" collapsed="false">
      <c r="A333" s="6" t="s">
        <v>354</v>
      </c>
      <c r="B333" s="6" t="n">
        <v>1282.3159090909</v>
      </c>
      <c r="C333" s="6" t="n">
        <f aca="false">LN(B333/B332)*100</f>
        <v>3.66082547701742</v>
      </c>
      <c r="D333" s="6" t="n">
        <f aca="false">STDEV(C331:C333)</f>
        <v>2.80051441314324</v>
      </c>
      <c r="E333" s="6" t="n">
        <f aca="false">STDEV(C322:C333)</f>
        <v>3.43891537941799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2.5152622915397</v>
      </c>
      <c r="D334" s="6" t="n">
        <f aca="false">STDEV(C332:C334)</f>
        <v>2.95075657938149</v>
      </c>
      <c r="E334" s="6" t="n">
        <f aca="false">STDEV(C323:C334)</f>
        <v>3.52593086334268</v>
      </c>
    </row>
    <row r="335" customFormat="false" ht="15" hidden="false" customHeight="true" outlineLevel="0" collapsed="false">
      <c r="A335" s="6" t="s">
        <v>356</v>
      </c>
      <c r="B335" s="6" t="n">
        <v>1279.51363636363</v>
      </c>
      <c r="C335" s="6" t="n">
        <f aca="false">LN(B335/B334)*100</f>
        <v>-2.73403358722581</v>
      </c>
      <c r="D335" s="6" t="n">
        <f aca="false">STDEV(C333:C335)</f>
        <v>3.40983002231001</v>
      </c>
      <c r="E335" s="6" t="n">
        <f aca="false">STDEV(C324:C335)</f>
        <v>3.34601249368345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0.216289958884145</v>
      </c>
      <c r="D336" s="6" t="n">
        <f aca="false">STDEV(C334:C336)</f>
        <v>2.63137448354376</v>
      </c>
      <c r="E336" s="6" t="n">
        <f aca="false">STDEV(C325:C336)</f>
        <v>3.24992991820394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1.49265271366799</v>
      </c>
      <c r="E337" s="6" t="n">
        <f aca="false">STDEV(C326:C337)</f>
        <v>2.39089137041959</v>
      </c>
    </row>
    <row r="338" customFormat="false" ht="15" hidden="false" customHeight="true" outlineLevel="0" collapsed="false">
      <c r="A338" s="6" t="s">
        <v>359</v>
      </c>
      <c r="B338" s="6" t="n">
        <v>1331.6659090909</v>
      </c>
      <c r="C338" s="6" t="n">
        <f aca="false">LN(B338/B337)*100</f>
        <v>5.43227650750322</v>
      </c>
      <c r="D338" s="6" t="n">
        <f aca="false">STDEV(C336:C338)</f>
        <v>3.67221136680835</v>
      </c>
      <c r="E338" s="6" t="n">
        <f aca="false">STDEV(C327:C338)</f>
        <v>2.64242275098838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-0.0105819744690796</v>
      </c>
      <c r="D339" s="6" t="n">
        <f aca="false">STDEV(C337:C339)</f>
        <v>3.70882004821012</v>
      </c>
      <c r="E339" s="6" t="n">
        <f aca="false">STDEV(C328:C339)</f>
        <v>2.52842826481276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3.2983999807415</v>
      </c>
      <c r="E340" s="6" t="n">
        <f aca="false">STDEV(C329:C340)</f>
        <v>2.53759246161425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0.642184833376782</v>
      </c>
      <c r="E341" s="6" t="n">
        <f aca="false">STDEV(C330:C341)</f>
        <v>2.44707668315181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2.51505084994586</v>
      </c>
    </row>
    <row r="343" customFormat="false" ht="15" hidden="false" customHeight="true" outlineLevel="0" collapsed="false">
      <c r="A343" s="6" t="s">
        <v>364</v>
      </c>
      <c r="B343" s="6" t="n">
        <v>1281.56666666666</v>
      </c>
      <c r="C343" s="6" t="n">
        <f aca="false">LN(B343/B342)*100</f>
        <v>-1.6606110237436</v>
      </c>
      <c r="D343" s="6" t="n">
        <f aca="false">STDEV(C341:C343)</f>
        <v>1.6537479370157</v>
      </c>
      <c r="E343" s="6" t="n">
        <f aca="false">STDEV(C332:C343)</f>
        <v>2.5646200079383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-3.41621323864189</v>
      </c>
      <c r="D344" s="6" t="n">
        <f aca="false">STDEV(C342:C344)</f>
        <v>0.881188614783755</v>
      </c>
      <c r="E344" s="6" t="n">
        <f aca="false">STDEV(C333:C344)</f>
        <v>2.70595318446722</v>
      </c>
    </row>
    <row r="345" customFormat="false" ht="15" hidden="false" customHeight="true" outlineLevel="0" collapsed="false">
      <c r="A345" s="6" t="s">
        <v>366</v>
      </c>
      <c r="B345" s="6" t="n">
        <v>1201.24545454545</v>
      </c>
      <c r="C345" s="6" t="n">
        <f aca="false">LN(B345/B344)*100</f>
        <v>-3.05622580940513</v>
      </c>
      <c r="D345" s="6" t="n">
        <f aca="false">STDEV(C343:C345)</f>
        <v>0.927314286539484</v>
      </c>
      <c r="E345" s="6" t="n">
        <f aca="false">STDEV(C334:C345)</f>
        <v>2.57490332811111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-0.231106807731418</v>
      </c>
      <c r="D346" s="6" t="n">
        <f aca="false">STDEV(C344:C346)</f>
        <v>1.74431415839453</v>
      </c>
      <c r="E346" s="6" t="n">
        <f aca="false">STDEV(C335:C346)</f>
        <v>2.3939383530258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2.25551797535238</v>
      </c>
      <c r="E347" s="6" t="n">
        <f aca="false">STDEV(C336:C347)</f>
        <v>2.38366864197248</v>
      </c>
    </row>
    <row r="348" customFormat="false" ht="15" hidden="false" customHeight="true" outlineLevel="0" collapsed="false">
      <c r="A348" s="6" t="s">
        <v>369</v>
      </c>
      <c r="B348" s="6" t="n">
        <v>1220.94545454545</v>
      </c>
      <c r="C348" s="6" t="n">
        <f aca="false">LN(B348/B347)*100</f>
        <v>0.455764657400789</v>
      </c>
      <c r="D348" s="6" t="n">
        <f aca="false">STDEV(C346:C348)</f>
        <v>0.819981204337461</v>
      </c>
      <c r="E348" s="6" t="n">
        <f aca="false">STDEV(C337:C348)</f>
        <v>2.39054953230244</v>
      </c>
    </row>
    <row r="349" customFormat="false" ht="15" hidden="false" customHeight="true" outlineLevel="0" collapsed="false">
      <c r="A349" s="6" t="s">
        <v>370</v>
      </c>
      <c r="B349" s="6" t="n">
        <v>1247.92352941176</v>
      </c>
      <c r="C349" s="6" t="n">
        <f aca="false">LN(B349/B348)*100</f>
        <v>2.18554722013082</v>
      </c>
      <c r="D349" s="6" t="n">
        <f aca="false">STDEV(C347:C349)</f>
        <v>0.866165569691943</v>
      </c>
      <c r="E349" s="6" t="n">
        <f aca="false">STDEV(C338:C349)</f>
        <v>2.46452475598141</v>
      </c>
    </row>
    <row r="350" customFormat="false" ht="15" hidden="false" customHeight="true" outlineLevel="0" collapsed="false">
      <c r="A350" s="6" t="s">
        <v>371</v>
      </c>
      <c r="B350" s="6" t="n">
        <v>1291.74545454545</v>
      </c>
      <c r="C350" s="6" t="n">
        <f aca="false">LN(B350/B349)*100</f>
        <v>3.45133757843315</v>
      </c>
      <c r="D350" s="6" t="n">
        <f aca="false">STDEV(C348:C350)</f>
        <v>1.50376361566118</v>
      </c>
      <c r="E350" s="6" t="n">
        <f aca="false">STDEV(C339:C350)</f>
        <v>2.10058307984063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2.16866084657532</v>
      </c>
      <c r="D351" s="6" t="n">
        <f aca="false">STDEV(C349:C351)</f>
        <v>0.735727528735163</v>
      </c>
      <c r="E351" s="6" t="n">
        <f aca="false">STDEV(C340:C351)</f>
        <v>2.21461327801787</v>
      </c>
    </row>
    <row r="352" customFormat="false" ht="15" hidden="false" customHeight="true" outlineLevel="0" collapsed="false">
      <c r="A352" s="6" t="s">
        <v>373</v>
      </c>
      <c r="B352" s="6" t="n">
        <v>1300.89761904761</v>
      </c>
      <c r="C352" s="6" t="n">
        <f aca="false">LN(B352/B351)*100</f>
        <v>-1.46264754212049</v>
      </c>
      <c r="D352" s="6" t="n">
        <f aca="false">STDEV(C350:C352)</f>
        <v>2.54882031461892</v>
      </c>
      <c r="E352" s="6" t="n">
        <f aca="false">STDEV(C341:C352)</f>
        <v>2.24845066075915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-1.11719022149331</v>
      </c>
      <c r="D353" s="6" t="n">
        <f aca="false">STDEV(C351:C353)</f>
        <v>2.00426872016185</v>
      </c>
      <c r="E353" s="6" t="n">
        <f aca="false">STDEV(C342:C353)</f>
        <v>2.2446925761109</v>
      </c>
    </row>
    <row r="354" customFormat="false" ht="15" hidden="false" customHeight="true" outlineLevel="0" collapsed="false">
      <c r="A354" s="6" t="s">
        <v>375</v>
      </c>
      <c r="B354" s="6" t="n">
        <v>1283.94761904761</v>
      </c>
      <c r="C354" s="6" t="n">
        <f aca="false">LN(B354/B353)*100</f>
        <v>-0.194319087265032</v>
      </c>
      <c r="D354" s="6" t="n">
        <f aca="false">STDEV(C352:C354)</f>
        <v>0.655704323630036</v>
      </c>
      <c r="E354" s="6" t="n">
        <f aca="false">STDEV(C343:C354)</f>
        <v>2.14541274104805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5.68409983735007</v>
      </c>
      <c r="D355" s="6" t="n">
        <f aca="false">STDEV(C353:C355)</f>
        <v>3.68928734419415</v>
      </c>
      <c r="E355" s="6" t="n">
        <f aca="false">STDEV(C344:C355)</f>
        <v>2.65419550139508</v>
      </c>
    </row>
    <row r="356" customFormat="false" ht="15" hidden="false" customHeight="true" outlineLevel="0" collapsed="false">
      <c r="A356" s="6" t="s">
        <v>377</v>
      </c>
      <c r="B356" s="6" t="n">
        <v>1412.97826086956</v>
      </c>
      <c r="C356" s="6" t="n">
        <f aca="false">LN(B356/B355)*100</f>
        <v>3.89193108203972</v>
      </c>
      <c r="D356" s="6" t="n">
        <f aca="false">STDEV(C354:C356)</f>
        <v>3.01289225238603</v>
      </c>
      <c r="E356" s="6" t="n">
        <f aca="false">STDEV(C345:C356)</f>
        <v>2.51122403772555</v>
      </c>
    </row>
    <row r="357" customFormat="false" ht="15" hidden="false" customHeight="true" outlineLevel="0" collapsed="false">
      <c r="A357" s="6" t="s">
        <v>378</v>
      </c>
      <c r="B357" s="6" t="n">
        <v>1498.79761904761</v>
      </c>
      <c r="C357" s="6" t="n">
        <f aca="false">LN(B357/B356)*100</f>
        <v>5.8963480868419</v>
      </c>
      <c r="D357" s="6" t="n">
        <f aca="false">STDEV(C355:C357)</f>
        <v>1.1011059361738</v>
      </c>
      <c r="E357" s="6" t="n">
        <f aca="false">STDEV(C346:C357)</f>
        <v>2.49460221035306</v>
      </c>
    </row>
    <row r="358" customFormat="false" ht="15" hidden="false" customHeight="true" outlineLevel="0" collapsed="false">
      <c r="A358" s="6" t="s">
        <v>379</v>
      </c>
      <c r="B358" s="6" t="n">
        <v>1511.31428571428</v>
      </c>
      <c r="C358" s="6" t="n">
        <f aca="false">LN(B358/B357)*100</f>
        <v>0.831646078551411</v>
      </c>
      <c r="D358" s="6" t="n">
        <f aca="false">STDEV(C356:C358)</f>
        <v>2.55062862397022</v>
      </c>
      <c r="E358" s="6" t="n">
        <f aca="false">STDEV(C347:C358)</f>
        <v>2.43231433949249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-1.09872415200045</v>
      </c>
      <c r="D359" s="6" t="n">
        <f aca="false">STDEV(C357:C359)</f>
        <v>3.61267609228038</v>
      </c>
      <c r="E359" s="6" t="n">
        <f aca="false">STDEV(C348:C359)</f>
        <v>2.58430169245576</v>
      </c>
    </row>
    <row r="360" customFormat="false" ht="15" hidden="false" customHeight="true" outlineLevel="0" collapsed="false">
      <c r="A360" s="6" t="s">
        <v>381</v>
      </c>
      <c r="B360" s="6" t="n">
        <v>1470.01666666666</v>
      </c>
      <c r="C360" s="6" t="n">
        <f aca="false">LN(B360/B359)*100</f>
        <v>-1.67186800343437</v>
      </c>
      <c r="D360" s="6" t="n">
        <f aca="false">STDEV(C358:C360)</f>
        <v>1.3116405668817</v>
      </c>
      <c r="E360" s="6" t="n">
        <f aca="false">STDEV(C349:C360)</f>
        <v>2.74710774706464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0.409209854231555</v>
      </c>
      <c r="D361" s="6" t="n">
        <f aca="false">STDEV(C359:C361)</f>
        <v>1.07496076604799</v>
      </c>
      <c r="E361" s="6" t="n">
        <f aca="false">STDEV(C350:C361)</f>
        <v>2.75741529143574</v>
      </c>
    </row>
    <row r="362" customFormat="false" ht="15" hidden="false" customHeight="true" outlineLevel="0" collapsed="false">
      <c r="A362" s="6" t="s">
        <v>383</v>
      </c>
      <c r="B362" s="6" t="n">
        <v>1560.67272727272</v>
      </c>
      <c r="C362" s="6" t="n">
        <f aca="false">LN(B362/B361)*100</f>
        <v>5.57511266002373</v>
      </c>
      <c r="D362" s="6" t="n">
        <f aca="false">STDEV(C360:C362)</f>
        <v>3.73131267306593</v>
      </c>
      <c r="E362" s="6" t="n">
        <f aca="false">STDEV(C351:C362)</f>
        <v>2.96170278985326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2.30740862786745</v>
      </c>
      <c r="D363" s="6" t="n">
        <f aca="false">STDEV(C361:C363)</f>
        <v>2.61303144594213</v>
      </c>
      <c r="E363" s="6" t="n">
        <f aca="false">STDEV(C352:C363)</f>
        <v>2.96449626299647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2.9555418427702</v>
      </c>
      <c r="E364" s="6" t="n">
        <f aca="false">STDEV(C353:C364)</f>
        <v>2.87489261707638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2.94726260409284</v>
      </c>
      <c r="E365" s="6" t="n">
        <f aca="false">STDEV(C354:C365)</f>
        <v>2.92934059405653</v>
      </c>
    </row>
    <row r="366" customFormat="false" ht="15" hidden="false" customHeight="true" outlineLevel="0" collapsed="false">
      <c r="A366" s="6" t="s">
        <v>387</v>
      </c>
      <c r="B366" s="6" t="n">
        <v>1716.38157894736</v>
      </c>
      <c r="C366" s="6" t="n">
        <f aca="false">LN(B366/B365)*100</f>
        <v>1.96820197510512</v>
      </c>
      <c r="D366" s="6" t="n">
        <f aca="false">STDEV(C364:C366)</f>
        <v>2.96559951551891</v>
      </c>
      <c r="E366" s="6" t="n">
        <f aca="false">STDEV(C355:C366)</f>
        <v>2.83091582151988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0.918443153302368</v>
      </c>
      <c r="D367" s="6" t="n">
        <f aca="false">STDEV(C365:C367)</f>
        <v>2.4335195381141</v>
      </c>
      <c r="E367" s="6" t="n">
        <f aca="false">STDEV(C356:C367)</f>
        <v>2.66036589662697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2.80515074712422</v>
      </c>
      <c r="E368" s="6" t="n">
        <f aca="false">STDEV(C357:C368)</f>
        <v>2.88409399437955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3.15845090291012</v>
      </c>
      <c r="E369" s="6" t="n">
        <f aca="false">STDEV(C358:C369)</f>
        <v>2.96456418216812</v>
      </c>
    </row>
    <row r="370" customFormat="false" ht="15" hidden="false" customHeight="true" outlineLevel="0" collapsed="false">
      <c r="A370" s="6" t="s">
        <v>391</v>
      </c>
      <c r="B370" s="6" t="n">
        <v>1922.21363636363</v>
      </c>
      <c r="C370" s="6" t="n">
        <f aca="false">LN(B370/B369)*100</f>
        <v>-2.35560688163283</v>
      </c>
      <c r="D370" s="6" t="n">
        <f aca="false">STDEV(C368:C370)</f>
        <v>5.04710245060682</v>
      </c>
      <c r="E370" s="6" t="n">
        <f aca="false">STDEV(C359:C370)</f>
        <v>3.2355173957811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-1.14788449847669</v>
      </c>
      <c r="D371" s="6" t="n">
        <f aca="false">STDEV(C369:C371)</f>
        <v>4.82912954236873</v>
      </c>
      <c r="E371" s="6" t="n">
        <f aca="false">STDEV(C360:C371)</f>
        <v>3.23983154609602</v>
      </c>
    </row>
    <row r="372" customFormat="false" ht="15" hidden="false" customHeight="true" outlineLevel="0" collapsed="false">
      <c r="A372" s="6" t="s">
        <v>393</v>
      </c>
      <c r="B372" s="6" t="n">
        <v>1863.49285714285</v>
      </c>
      <c r="C372" s="6" t="n">
        <f aca="false">LN(B372/B371)*100</f>
        <v>-1.95460056443869</v>
      </c>
      <c r="D372" s="6" t="n">
        <f aca="false">STDEV(C370:C372)</f>
        <v>0.615113842076834</v>
      </c>
      <c r="E372" s="6" t="n">
        <f aca="false">STDEV(C361:C372)</f>
        <v>3.26985142308282</v>
      </c>
    </row>
    <row r="373" customFormat="false" ht="15" hidden="false" customHeight="true" outlineLevel="0" collapsed="false">
      <c r="A373" s="6" t="s">
        <v>394</v>
      </c>
      <c r="B373" s="6" t="n">
        <v>1855.95526315789</v>
      </c>
      <c r="C373" s="6" t="n">
        <f aca="false">LN(B373/B372)*100</f>
        <v>-0.405307672524092</v>
      </c>
      <c r="D373" s="6" t="n">
        <f aca="false">STDEV(C371:C373)</f>
        <v>0.774867689615473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0.592530007621136</v>
      </c>
      <c r="D374" s="6" t="n">
        <f aca="false">STDEV(C372:C374)</f>
        <v>1.28347592186066</v>
      </c>
      <c r="E374" s="6" t="n">
        <f aca="false">STDEV(C363:C374)</f>
        <v>3.11874888454675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1.96630802577821</v>
      </c>
      <c r="E375" s="6" t="n">
        <f aca="false">STDEV(C364:C375)</f>
        <v>3.38225363118659</v>
      </c>
    </row>
    <row r="376" customFormat="false" ht="15" hidden="false" customHeight="true" outlineLevel="0" collapsed="false">
      <c r="A376" s="6" t="s">
        <v>397</v>
      </c>
      <c r="B376" s="6" t="n">
        <v>1718.22826086956</v>
      </c>
      <c r="C376" s="6" t="n">
        <f aca="false">LN(B376/B375)*100</f>
        <v>-5.10243702836948</v>
      </c>
      <c r="D376" s="6" t="n">
        <f aca="false">STDEV(C374:C376)</f>
        <v>2.89936097219503</v>
      </c>
      <c r="E376" s="6" t="n">
        <f aca="false">STDEV(C365:C376)</f>
        <v>3.8108410103118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2.49728010772014</v>
      </c>
      <c r="D377" s="6" t="n">
        <f aca="false">STDEV(C375:C377)</f>
        <v>3.95472534341806</v>
      </c>
      <c r="E377" s="6" t="n">
        <f aca="false">STDEV(C366:C377)</f>
        <v>3.54446239232866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5.33842670514591</v>
      </c>
      <c r="E378" s="6" t="n">
        <f aca="false">STDEV(C367:C378)</f>
        <v>3.78940262003945</v>
      </c>
    </row>
    <row r="379" customFormat="false" ht="15" hidden="false" customHeight="true" outlineLevel="0" collapsed="false">
      <c r="A379" s="6" t="s">
        <v>400</v>
      </c>
      <c r="B379" s="6" t="n">
        <v>1834.5659090909</v>
      </c>
      <c r="C379" s="6" t="n">
        <f aca="false">LN(B379/B378)*100</f>
        <v>-1.137864557515</v>
      </c>
      <c r="D379" s="6" t="n">
        <f aca="false">STDEV(C377:C379)</f>
        <v>3.17655685068422</v>
      </c>
      <c r="E379" s="6" t="n">
        <f aca="false">STDEV(C368:C379)</f>
        <v>3.82249603788673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-1.5088314299603</v>
      </c>
      <c r="D380" s="6" t="n">
        <f aca="false">STDEV(C378:C380)</f>
        <v>3.7662114607943</v>
      </c>
      <c r="E380" s="6" t="n">
        <f aca="false">STDEV(C369:C380)</f>
        <v>3.39491489932221</v>
      </c>
    </row>
    <row r="381" customFormat="false" ht="15" hidden="false" customHeight="true" outlineLevel="0" collapsed="false">
      <c r="A381" s="6" t="s">
        <v>402</v>
      </c>
      <c r="B381" s="6" t="n">
        <v>1783.96904761904</v>
      </c>
      <c r="C381" s="6" t="n">
        <f aca="false">LN(B381/B380)*100</f>
        <v>-1.28788934004719</v>
      </c>
      <c r="D381" s="6" t="n">
        <f aca="false">STDEV(C379:C381)</f>
        <v>0.186609781326729</v>
      </c>
      <c r="E381" s="6" t="n">
        <f aca="false">STDEV(C370:C381)</f>
        <v>2.66065597455869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-0.377217940260986</v>
      </c>
      <c r="D382" s="6" t="n">
        <f aca="false">STDEV(C380:C382)</f>
        <v>0.599817596656573</v>
      </c>
      <c r="E382" s="6" t="n">
        <f aca="false">STDEV(C371:C382)</f>
        <v>2.61768392796785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0.652786538064798</v>
      </c>
      <c r="E383" s="6" t="n">
        <f aca="false">STDEV(C372:C383)</f>
        <v>2.61851967480686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1.51833907676333</v>
      </c>
      <c r="E384" s="6" t="n">
        <f aca="false">STDEV(C373:C384)</f>
        <v>2.70888827316483</v>
      </c>
    </row>
    <row r="385" customFormat="false" ht="15" hidden="false" customHeight="true" outlineLevel="0" collapsed="false">
      <c r="A385" s="6" t="s">
        <v>406</v>
      </c>
      <c r="B385" s="6" t="n">
        <v>1786.65263157894</v>
      </c>
      <c r="C385" s="6" t="n">
        <f aca="false">LN(B385/B384)*100</f>
        <v>-1.86212832721064</v>
      </c>
      <c r="D385" s="6" t="n">
        <f aca="false">STDEV(C383:C385)</f>
        <v>2.14396218612382</v>
      </c>
      <c r="E385" s="6" t="n">
        <f aca="false">STDEV(C374:C385)</f>
        <v>2.75144482864377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1.67136160583207</v>
      </c>
      <c r="D386" s="6" t="n">
        <f aca="false">STDEV(C384:C386)</f>
        <v>2.28409612812819</v>
      </c>
      <c r="E386" s="6" t="n">
        <f aca="false">STDEV(C375:C386)</f>
        <v>2.80104793078091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2.19219800701436</v>
      </c>
      <c r="E387" s="6" t="n">
        <f aca="false">STDEV(C376:C387)</f>
        <v>2.70921440355674</v>
      </c>
    </row>
    <row r="388" customFormat="false" ht="15" hidden="false" customHeight="true" outlineLevel="0" collapsed="false">
      <c r="A388" s="6" t="s">
        <v>409</v>
      </c>
      <c r="B388" s="6" t="n">
        <v>1947.82826086956</v>
      </c>
      <c r="C388" s="6" t="n">
        <f aca="false">LN(B388/B387)*100</f>
        <v>4.81324738633206</v>
      </c>
      <c r="D388" s="6" t="n">
        <f aca="false">STDEV(C386:C388)</f>
        <v>1.69226009205562</v>
      </c>
      <c r="E388" s="6" t="n">
        <f aca="false">STDEV(C377:C388)</f>
        <v>2.43715269021392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-0.717635017647705</v>
      </c>
      <c r="D389" s="6" t="n">
        <f aca="false">STDEV(C387:C389)</f>
        <v>2.76610185435206</v>
      </c>
      <c r="E389" s="6" t="n">
        <f aca="false">STDEV(C378:C389)</f>
        <v>2.43971772242723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4.6579942655701</v>
      </c>
      <c r="E390" s="6" t="n">
        <f aca="false">STDEV(C379:C390)</f>
        <v>2.44040459443248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2.1588449689073</v>
      </c>
      <c r="E391" s="6" t="n">
        <f aca="false">STDEV(C380:C391)</f>
        <v>2.42529857633876</v>
      </c>
    </row>
    <row r="392" customFormat="false" ht="15" hidden="false" customHeight="true" outlineLevel="0" collapsed="false">
      <c r="A392" s="6" t="s">
        <v>413</v>
      </c>
      <c r="B392" s="6" t="n">
        <v>1737.38047619047</v>
      </c>
      <c r="C392" s="6" t="n">
        <f aca="false">LN(B392/B391)*100</f>
        <v>-5.57901891153919</v>
      </c>
      <c r="D392" s="6" t="n">
        <f aca="false">STDEV(C390:C392)</f>
        <v>2.55730067525771</v>
      </c>
      <c r="E392" s="6" t="n">
        <f aca="false">STDEV(C381:C392)</f>
        <v>2.89613317892471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1.52806243477563</v>
      </c>
      <c r="D393" s="6" t="n">
        <f aca="false">STDEV(C391:C393)</f>
        <v>3.63590032342038</v>
      </c>
      <c r="E393" s="6" t="n">
        <f aca="false">STDEV(C382:C393)</f>
        <v>2.9252094636591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3.87355645194111</v>
      </c>
      <c r="E394" s="6" t="n">
        <f aca="false">STDEV(C383:C394)</f>
        <v>3.21465690309316</v>
      </c>
    </row>
    <row r="395" customFormat="false" ht="15" hidden="false" customHeight="true" outlineLevel="0" collapsed="false">
      <c r="A395" s="6" t="s">
        <v>416</v>
      </c>
      <c r="B395" s="6" t="n">
        <v>1666.62666666666</v>
      </c>
      <c r="C395" s="6" t="n">
        <f aca="false">LN(B395/B394)*100</f>
        <v>-0.989998094252464</v>
      </c>
      <c r="D395" s="6" t="n">
        <f aca="false">STDEV(C393:C395)</f>
        <v>3.13073786705905</v>
      </c>
      <c r="E395" s="6" t="n">
        <f aca="false">STDEV(C384:C395)</f>
        <v>3.21500736969382</v>
      </c>
    </row>
    <row r="396" customFormat="false" ht="15" hidden="false" customHeight="true" outlineLevel="0" collapsed="false">
      <c r="A396" s="6" t="s">
        <v>417</v>
      </c>
      <c r="B396" s="6" t="n">
        <v>1727.89863636363</v>
      </c>
      <c r="C396" s="6" t="n">
        <f aca="false">LN(B396/B395)*100</f>
        <v>3.61043856715571</v>
      </c>
      <c r="D396" s="6" t="n">
        <f aca="false">STDEV(C394:C396)</f>
        <v>4.16111852036113</v>
      </c>
      <c r="E396" s="6" t="n">
        <f aca="false">STDEV(C385:C396)</f>
        <v>3.33133684709551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3.94397191119348</v>
      </c>
      <c r="D397" s="6" t="n">
        <f aca="false">STDEV(C395:C397)</f>
        <v>2.75739375684884</v>
      </c>
      <c r="E397" s="6" t="n">
        <f aca="false">STDEV(C386:C397)</f>
        <v>3.52125609447668</v>
      </c>
    </row>
    <row r="398" customFormat="false" ht="15" hidden="false" customHeight="true" outlineLevel="0" collapsed="false">
      <c r="A398" s="6" t="s">
        <v>419</v>
      </c>
      <c r="B398" s="6" t="n">
        <v>1896.05954545454</v>
      </c>
      <c r="C398" s="6" t="n">
        <f aca="false">LN(B398/B397)*100</f>
        <v>5.34320809086569</v>
      </c>
      <c r="D398" s="6" t="n">
        <f aca="false">STDEV(C396:C398)</f>
        <v>0.919383543503182</v>
      </c>
      <c r="E398" s="6" t="n">
        <f aca="false">STDEV(C387:C398)</f>
        <v>3.82167590064322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-2.27511630710331</v>
      </c>
      <c r="D399" s="6" t="n">
        <f aca="false">STDEV(C397:C399)</f>
        <v>4.05532133511331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1913.64826086956</v>
      </c>
      <c r="C400" s="6" t="n">
        <f aca="false">LN(B400/B399)*100</f>
        <v>3.19848582930764</v>
      </c>
      <c r="D400" s="6" t="n">
        <f aca="false">STDEV(C398:C400)</f>
        <v>3.928507361998</v>
      </c>
      <c r="E400" s="6" t="n">
        <f aca="false">STDEV(C389:C400)</f>
        <v>3.68686563266326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4.39699124297218</v>
      </c>
      <c r="D401" s="6" t="n">
        <f aca="false">STDEV(C399:C401)</f>
        <v>3.55700610846819</v>
      </c>
      <c r="E401" s="6" t="n">
        <f aca="false">STDEV(C390:C401)</f>
        <v>3.90419888241539</v>
      </c>
    </row>
    <row r="402" customFormat="false" ht="15" hidden="false" customHeight="true" outlineLevel="0" collapsed="false">
      <c r="A402" s="6" t="s">
        <v>423</v>
      </c>
      <c r="B402" s="6" t="n">
        <v>1989.82695652173</v>
      </c>
      <c r="C402" s="6" t="n">
        <f aca="false">LN(B402/B401)*100</f>
        <v>-0.493373838817626</v>
      </c>
      <c r="D402" s="6" t="n">
        <f aca="false">STDEV(C400:C402)</f>
        <v>2.54891851801577</v>
      </c>
      <c r="E402" s="6" t="n">
        <f aca="false">STDEV(C391:C402)</f>
        <v>3.62640397906051</v>
      </c>
    </row>
    <row r="403" customFormat="false" ht="15" hidden="false" customHeight="true" outlineLevel="0" collapsed="false">
      <c r="A403" s="6" t="s">
        <v>424</v>
      </c>
      <c r="B403" s="6" t="n">
        <v>1944.72863636363</v>
      </c>
      <c r="C403" s="6" t="n">
        <f aca="false">LN(B403/B402)*100</f>
        <v>-2.29252296760431</v>
      </c>
      <c r="D403" s="6" t="n">
        <f aca="false">STDEV(C401:C403)</f>
        <v>3.46174832019669</v>
      </c>
      <c r="E403" s="6" t="n">
        <f aca="false">STDEV(C392:C403)</f>
        <v>3.70707722849818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0.284537577152613</v>
      </c>
      <c r="D404" s="6" t="n">
        <f aca="false">STDEV(C402:C404)</f>
        <v>1.32182479991699</v>
      </c>
      <c r="E404" s="6" t="n">
        <f aca="false">STDEV(C393:C404)</f>
        <v>3.18649393864921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1.33377779710489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0.978705469836407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1913.98454545454</v>
      </c>
      <c r="C407" s="6" t="n">
        <f aca="false">LN(B407/B406)*100</f>
        <v>-0.0757408057540966</v>
      </c>
      <c r="D407" s="6" t="n">
        <f aca="false">STDEV(C405:C407)</f>
        <v>0.846370952111116</v>
      </c>
      <c r="E407" s="6" t="n">
        <f aca="false">STDEV(C396:C407)</f>
        <v>2.76520052222703</v>
      </c>
    </row>
    <row r="408" customFormat="false" ht="15" hidden="false" customHeight="true" outlineLevel="0" collapsed="false">
      <c r="A408" s="6" t="s">
        <v>429</v>
      </c>
      <c r="B408" s="6" t="n">
        <v>1985.77772727272</v>
      </c>
      <c r="C408" s="6" t="n">
        <f aca="false">LN(B408/B407)*100</f>
        <v>3.6823421034235</v>
      </c>
      <c r="D408" s="6" t="n">
        <f aca="false">STDEV(C406:C408)</f>
        <v>2.20699153687263</v>
      </c>
      <c r="E408" s="6" t="n">
        <f aca="false">STDEV(C397:C408)</f>
        <v>2.77108083373557</v>
      </c>
    </row>
    <row r="409" customFormat="false" ht="15" hidden="false" customHeight="true" outlineLevel="0" collapsed="false">
      <c r="A409" s="6" t="s">
        <v>430</v>
      </c>
      <c r="B409" s="6" t="n">
        <v>2034.70428571428</v>
      </c>
      <c r="C409" s="6" t="n">
        <f aca="false">LN(B409/B408)*100</f>
        <v>2.43398546328813</v>
      </c>
      <c r="D409" s="6" t="n">
        <f aca="false">STDEV(C407:C409)</f>
        <v>1.91399701317877</v>
      </c>
      <c r="E409" s="6" t="n">
        <f aca="false">STDEV(C398:C409)</f>
        <v>2.66539973431381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-0.0343203964235529</v>
      </c>
      <c r="D410" s="6" t="n">
        <f aca="false">STDEV(C408:C410)</f>
        <v>1.89140636634165</v>
      </c>
      <c r="E410" s="6" t="n">
        <f aca="false">STDEV(C399:C410)</f>
        <v>2.30223975275555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1.56646669747568</v>
      </c>
      <c r="E411" s="6" t="n">
        <f aca="false">STDEV(C400:C411)</f>
        <v>2.1525123435852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3.95654058802231</v>
      </c>
      <c r="E412" s="6" t="n">
        <f aca="false">STDEV(C401:C412)</f>
        <v>2.66651954399004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3.15525337345307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3.11201710110205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2.98971812533074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2.98436199175656</v>
      </c>
    </row>
    <row r="417" customFormat="false" ht="15" hidden="false" customHeight="true" outlineLevel="0" collapsed="false">
      <c r="A417" s="6" t="s">
        <v>438</v>
      </c>
      <c r="B417" s="6" t="n">
        <v>2468.32863636363</v>
      </c>
      <c r="C417" s="6" t="n">
        <f aca="false">LN(B417/B416)*100</f>
        <v>3.0591449518211</v>
      </c>
      <c r="D417" s="6" t="n">
        <f aca="false">STDEV(C415:C417)</f>
        <v>2.24186190493064</v>
      </c>
      <c r="E417" s="6" t="n">
        <f aca="false">STDEV(C406:C417)</f>
        <v>2.8129260514119</v>
      </c>
    </row>
    <row r="418" customFormat="false" ht="15" hidden="false" customHeight="true" outlineLevel="0" collapsed="false">
      <c r="A418" s="6" t="s">
        <v>439</v>
      </c>
      <c r="B418" s="6" t="n">
        <v>2569.04904761904</v>
      </c>
      <c r="C418" s="6" t="n">
        <f aca="false">LN(B418/B417)*100</f>
        <v>3.99945538923262</v>
      </c>
      <c r="D418" s="6" t="n">
        <f aca="false">STDEV(C416:C418)</f>
        <v>0.637827341912458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4.56814261321882</v>
      </c>
      <c r="D419" s="6" t="n">
        <f aca="false">STDEV(C417:C419)</f>
        <v>0.762087354959384</v>
      </c>
      <c r="E419" s="6" t="n">
        <f aca="false">STDEV(C408:C419)</f>
        <v>2.70098402283225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3.2839417595487</v>
      </c>
      <c r="E420" s="6" t="n">
        <f aca="false">STDEV(C409:C420)</f>
        <v>2.94136542213277</v>
      </c>
    </row>
    <row r="421" customFormat="false" ht="15" hidden="false" customHeight="true" outlineLevel="0" collapsed="false">
      <c r="A421" s="6" t="s">
        <v>442</v>
      </c>
      <c r="B421" s="6" t="n">
        <v>2640.60545454545</v>
      </c>
      <c r="C421" s="6" t="n">
        <f aca="false">LN(B421/B420)*100</f>
        <v>-0.438107500881543</v>
      </c>
      <c r="D421" s="6" t="n">
        <f aca="false">STDEV(C419:C421)</f>
        <v>3.19814028234762</v>
      </c>
      <c r="E421" s="6" t="n">
        <f aca="false">STDEV(C410:C421)</f>
        <v>3.05406167103514</v>
      </c>
    </row>
    <row r="422" customFormat="false" ht="15" hidden="false" customHeight="true" outlineLevel="0" collapsed="false">
      <c r="A422" s="6" t="s">
        <v>443</v>
      </c>
      <c r="B422" s="6" t="n">
        <v>2707.46739130434</v>
      </c>
      <c r="C422" s="6" t="n">
        <f aca="false">LN(B422/B421)*100</f>
        <v>2.50054262738362</v>
      </c>
      <c r="D422" s="6" t="n">
        <f aca="false">STDEV(C420:C422)</f>
        <v>2.02519103133263</v>
      </c>
      <c r="E422" s="6" t="n">
        <f aca="false">STDEV(C411:C422)</f>
        <v>2.97419354993852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6.67572697591486</v>
      </c>
      <c r="D423" s="6" t="n">
        <f aca="false">STDEV(C421:C423)</f>
        <v>3.57478367373072</v>
      </c>
      <c r="E423" s="6" t="n">
        <f aca="false">STDEV(C412:C423)</f>
        <v>3.06481037739527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2.25203711055502</v>
      </c>
      <c r="E424" s="6" t="n">
        <f aca="false">STDEV(C413:C424)</f>
        <v>2.84934847074104</v>
      </c>
    </row>
    <row r="425" customFormat="false" ht="15" hidden="false" customHeight="true" outlineLevel="0" collapsed="false">
      <c r="A425" s="6" t="s">
        <v>446</v>
      </c>
      <c r="B425" s="6" t="n">
        <v>3222.01181818181</v>
      </c>
      <c r="C425" s="6" t="n">
        <f aca="false">LN(B425/B424)*100</f>
        <v>7.59854600635988</v>
      </c>
      <c r="D425" s="6" t="n">
        <f aca="false">STDEV(C423:C425)</f>
        <v>2.3619400903829</v>
      </c>
      <c r="E425" s="6" t="n">
        <f aca="false">STDEV(C414:C425)</f>
        <v>2.84602485533569</v>
      </c>
    </row>
    <row r="426" customFormat="false" ht="15" hidden="false" customHeight="true" outlineLevel="0" collapsed="false">
      <c r="A426" s="6" t="s">
        <v>447</v>
      </c>
      <c r="B426" s="6" t="n">
        <v>3288.00954545454</v>
      </c>
      <c r="C426" s="6" t="n">
        <f aca="false">LN(B426/B425)*100</f>
        <v>2.02764275958818</v>
      </c>
      <c r="D426" s="6" t="n">
        <f aca="false">STDEV(C424:C426)</f>
        <v>2.95104676942952</v>
      </c>
      <c r="E426" s="6" t="n">
        <f aca="false">STDEV(C415:C426)</f>
        <v>2.78877982535791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1.92326091266407</v>
      </c>
      <c r="D427" s="6" t="n">
        <f aca="false">STDEV(C425:C427)</f>
        <v>3.24691441858227</v>
      </c>
      <c r="E427" s="6" t="n">
        <f aca="false">STDEV(C416:C427)</f>
        <v>2.55039333233886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1.31768538568841</v>
      </c>
      <c r="E428" s="6" t="n">
        <f aca="false">STDEV(C417:C428)</f>
        <v>2.72792427021373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1.11447078987819</v>
      </c>
      <c r="E429" s="6" t="n">
        <f aca="false">STDEV(C418:C429)</f>
        <v>2.78638963954445</v>
      </c>
    </row>
    <row r="430" customFormat="false" ht="15" hidden="false" customHeight="true" outlineLevel="0" collapsed="false">
      <c r="A430" s="6" t="s">
        <v>451</v>
      </c>
      <c r="B430" s="6" t="n">
        <v>3666.52363636363</v>
      </c>
      <c r="C430" s="6" t="n">
        <f aca="false">LN(B430/B429)*100</f>
        <v>8.5145749173094</v>
      </c>
      <c r="D430" s="6" t="n">
        <f aca="false">STDEV(C428:C430)</f>
        <v>4.81332296229341</v>
      </c>
      <c r="E430" s="6" t="n">
        <f aca="false">STDEV(C419:C430)</f>
        <v>3.25907254969863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LibreOffice/24.2.7.2$Linux_AARCH64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2026-09-23T09:25:58Z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