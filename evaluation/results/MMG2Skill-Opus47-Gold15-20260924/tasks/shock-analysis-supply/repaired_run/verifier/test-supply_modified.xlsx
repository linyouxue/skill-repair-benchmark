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Average depreciation rate of most recent 8 years for which CFC and K data overlap (2012-2019, since PWT rnna ends in 2019).</t>
        </r>
      </text>
    </comment>
    <comment ref="P5" authorId="0">
      <text>
        <r>
          <rPr>
            <sz val="10"/>
            <rFont val="Arial"/>
            <family val="2"/>
          </rPr>
          <t xml:space="preserve">HP filter objective. Run Excel Solver: Set Objective P5 to Min, By Changing L6:L27, no constraints, GRG Nonlinear engine. Adjustable cells L6:L27 are seeded with =K{row} placeholders and MUST be modified by Excel Solver.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ECB IDCM series in millions of national currency (GEL). Values entered as displayed on the ECB Data Portal (raw API OBS_VALUE / 1e6).</t>
        </r>
      </text>
    </comment>
  </commentList>
</comments>
</file>

<file path=xl/sharedStrings.xml><?xml version="1.0" encoding="utf-8"?>
<sst xmlns="http://schemas.openxmlformats.org/spreadsheetml/2006/main" count="58" uniqueCount="54">
  <si>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</si>
  <si>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</si>
  <si>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</si>
  <si>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</si>
  <si>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lambda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</si>
  <si>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</si>
  <si>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</si>
  <si>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</si>
  <si>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</si>
  <si>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</si>
  <si>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</si>
  <si>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</si>
  <si>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</si>
  <si>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</si>
  <si>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HP filter Solver setup:</t>
  </si>
  <si>
    <t xml:space="preserve">Data -&gt; Solver: Set Objective P5 to Min, By Changing Variable Cells L6:L27, no constraints, Solving Method: GRG Nonlinear. Lambda in P4 (default 100).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</si>
  <si>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</si>
  <si>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</si>
  <si>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</si>
  <si>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</si>
  <si>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</si>
  <si>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</si>
  <si>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</si>
  <si>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</si>
  <si>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</si>
  <si>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</si>
  <si>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</si>
  <si>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</si>
  <si>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</si>
  <si>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</si>
  <si>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</si>
  <si>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</si>
  <si>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</si>
  <si>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</si>
  <si>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</si>
  <si>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</si>
  <si>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</si>
  <si>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delta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</si>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</sst>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4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AVERAGE('CFC data'!E18:E25)</f>
        <v>0.015248297916494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  <c r="O4" s="1" t="s">
        <v>4</v>
      </c>
      <c r="P4" s="1" t="n">
        <v>100</v>
      </c>
    </row>
    <row r="5" customFormat="false" ht="12" hidden="false" customHeight="true" outlineLevel="0" collapsed="false">
      <c r="D5" s="1" t="s">
        <v>5</v>
      </c>
      <c r="E5" s="1" t="s">
        <v>6</v>
      </c>
      <c r="F5" s="1" t="s">
        <v>7</v>
      </c>
      <c r="G5" s="1" t="s">
        <v>8</v>
      </c>
      <c r="K5" s="5" t="s">
        <v>9</v>
      </c>
      <c r="L5" s="1" t="s">
        <v>10</v>
      </c>
      <c r="M5" s="1" t="s">
        <v>11</v>
      </c>
      <c r="N5" s="6" t="s">
        <v>12</v>
      </c>
      <c r="O5" s="13" t="s">
        <v>13</v>
      </c>
      <c r="P5" s="14" t="n">
        <f aca="false">SUMSQ(N6:N27)+P4*SUMSQ(M7:M26)</f>
        <v>7.99435744079593</v>
      </c>
    </row>
    <row r="6" customFormat="false" ht="12" hidden="false" customHeight="true" outlineLevel="0" collapsed="false">
      <c r="C6" s="1" t="n">
        <v>2002</v>
      </c>
      <c r="D6" s="15" t="n">
        <f aca="false">PWT!B14</f>
        <v>197317.59375</v>
      </c>
      <c r="E6" s="16" t="n">
        <f aca="false">WEO_Data!C10</f>
        <v>18.747</v>
      </c>
      <c r="F6" s="1" t="n">
        <f aca="false">LN(D6)</f>
        <v>12.1925698606149</v>
      </c>
      <c r="G6" s="1" t="n">
        <f aca="false">LN(E6)</f>
        <v>2.93103373961505</v>
      </c>
      <c r="K6" s="5" t="n">
        <f aca="false">G6-$B$2*F6</f>
        <v>-1.33636571160016</v>
      </c>
      <c r="L6" s="17" t="n">
        <f aca="false">K6</f>
        <v>-1.33636571160016</v>
      </c>
      <c r="N6" s="6" t="n">
        <f aca="false">K6-L6</f>
        <v>0</v>
      </c>
    </row>
    <row r="7" customFormat="false" ht="12" hidden="false" customHeight="true" outlineLevel="0" collapsed="false">
      <c r="C7" s="1" t="n">
        <v>2003</v>
      </c>
      <c r="D7" s="15" t="n">
        <f aca="false">PWT!B15</f>
        <v>199678.921875</v>
      </c>
      <c r="E7" s="16" t="n">
        <f aca="false">WEO_Data!C11</f>
        <v>20.852</v>
      </c>
      <c r="F7" s="1" t="n">
        <f aca="false">LN(D7)</f>
        <v>12.2044659648848</v>
      </c>
      <c r="G7" s="1" t="n">
        <f aca="false">LN(E7)</f>
        <v>3.03744986690586</v>
      </c>
      <c r="K7" s="5" t="n">
        <f aca="false">G7-$B$2*F7</f>
        <v>-1.23411322080382</v>
      </c>
      <c r="L7" s="17" t="n">
        <f aca="false">K7</f>
        <v>-1.23411322080382</v>
      </c>
      <c r="M7" s="1" t="n">
        <f aca="false">L8-2*L7+L6</f>
        <v>-0.0510756173749765</v>
      </c>
      <c r="N7" s="6" t="n">
        <f aca="false">K7-L7</f>
        <v>0</v>
      </c>
    </row>
    <row r="8" customFormat="false" ht="12" hidden="false" customHeight="true" outlineLevel="0" collapsed="false">
      <c r="C8" s="1" t="n">
        <v>2004</v>
      </c>
      <c r="D8" s="15" t="n">
        <f aca="false">PWT!B16</f>
        <v>202658.8125</v>
      </c>
      <c r="E8" s="16" t="n">
        <f aca="false">WEO_Data!C12</f>
        <v>22.061</v>
      </c>
      <c r="F8" s="1" t="n">
        <f aca="false">LN(D8)</f>
        <v>12.2192791174174</v>
      </c>
      <c r="G8" s="1" t="n">
        <f aca="false">LN(E8)</f>
        <v>3.09381134371363</v>
      </c>
      <c r="K8" s="5" t="n">
        <f aca="false">G8-$B$2*F8</f>
        <v>-1.18293634738246</v>
      </c>
      <c r="L8" s="17" t="n">
        <f aca="false">K8</f>
        <v>-1.18293634738246</v>
      </c>
      <c r="M8" s="1" t="n">
        <f aca="false">L9-2*L8+L7</f>
        <v>0.0339690722179524</v>
      </c>
      <c r="N8" s="6" t="n">
        <f aca="false">K8-L8</f>
        <v>0</v>
      </c>
    </row>
    <row r="9" customFormat="false" ht="12" hidden="false" customHeight="true" outlineLevel="0" collapsed="false">
      <c r="C9" s="1" t="n">
        <v>2005</v>
      </c>
      <c r="D9" s="15" t="n">
        <f aca="false">PWT!B17</f>
        <v>206400.5</v>
      </c>
      <c r="E9" s="16" t="n">
        <f aca="false">WEO_Data!C13</f>
        <v>24.176</v>
      </c>
      <c r="F9" s="1" t="n">
        <f aca="false">LN(D9)</f>
        <v>12.2375737350672</v>
      </c>
      <c r="G9" s="1" t="n">
        <f aca="false">LN(E9)</f>
        <v>3.18536040553038</v>
      </c>
      <c r="K9" s="5" t="n">
        <f aca="false">G9-$B$2*F9</f>
        <v>-1.09779040174315</v>
      </c>
      <c r="L9" s="17" t="n">
        <f aca="false">K9</f>
        <v>-1.09779040174315</v>
      </c>
      <c r="M9" s="1" t="n">
        <f aca="false">L10-2*L9+L8</f>
        <v>-0.000583443136722206</v>
      </c>
      <c r="N9" s="6" t="n">
        <f aca="false">K9-L9</f>
        <v>0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209660.25</v>
      </c>
      <c r="E10" s="16" t="n">
        <f aca="false">WEO_Data!C14</f>
        <v>26.454</v>
      </c>
      <c r="F10" s="1" t="n">
        <f aca="false">LN(D10)</f>
        <v>12.2532436424126</v>
      </c>
      <c r="G10" s="1" t="n">
        <f aca="false">LN(E10)</f>
        <v>3.27540737560386</v>
      </c>
      <c r="K10" s="5" t="n">
        <f aca="false">G10-$B$2*F10</f>
        <v>-1.01322789924056</v>
      </c>
      <c r="L10" s="17" t="n">
        <f aca="false">K10</f>
        <v>-1.01322789924056</v>
      </c>
      <c r="M10" s="1" t="n">
        <f aca="false">L11-2*L10+L9</f>
        <v>0.0270223157973657</v>
      </c>
      <c r="N10" s="6" t="n">
        <f aca="false">K10-L10</f>
        <v>0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213821.375</v>
      </c>
      <c r="E11" s="16" t="n">
        <f aca="false">WEO_Data!C15</f>
        <v>29.781</v>
      </c>
      <c r="F11" s="1" t="n">
        <f aca="false">LN(D11)</f>
        <v>12.2728962491894</v>
      </c>
      <c r="G11" s="1" t="n">
        <f aca="false">LN(E11)</f>
        <v>3.39387060627569</v>
      </c>
      <c r="K11" s="5" t="n">
        <f aca="false">G11-$B$2*F11</f>
        <v>-0.901643080940599</v>
      </c>
      <c r="L11" s="17" t="n">
        <f aca="false">K11</f>
        <v>-0.901643080940599</v>
      </c>
      <c r="M11" s="1" t="n">
        <f aca="false">L12-2*L11+L10</f>
        <v>-0.0909290623599208</v>
      </c>
      <c r="N11" s="6" t="n">
        <f aca="false">K11-L11</f>
        <v>0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215825.90625</v>
      </c>
      <c r="E12" s="16" t="n">
        <f aca="false">WEO_Data!C16</f>
        <v>30.502</v>
      </c>
      <c r="F12" s="1" t="n">
        <f aca="false">LN(D12)</f>
        <v>12.2822273720987</v>
      </c>
      <c r="G12" s="1" t="n">
        <f aca="false">LN(E12)</f>
        <v>3.41779225523399</v>
      </c>
      <c r="K12" s="5" t="n">
        <f aca="false">G12-$B$2*F12</f>
        <v>-0.880987325000563</v>
      </c>
      <c r="L12" s="17" t="n">
        <f aca="false">K12</f>
        <v>-0.880987325000563</v>
      </c>
      <c r="M12" s="1" t="n">
        <f aca="false">L13-2*L12+L11</f>
        <v>-0.0557143963590985</v>
      </c>
      <c r="N12" s="6" t="n">
        <f aca="false">K12-L12</f>
        <v>0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214505.90625</v>
      </c>
      <c r="E13" s="16" t="n">
        <f aca="false">WEO_Data!C17</f>
        <v>29.388</v>
      </c>
      <c r="F13" s="1" t="n">
        <f aca="false">LN(D13)</f>
        <v>12.2760925519362</v>
      </c>
      <c r="G13" s="1" t="n">
        <f aca="false">LN(E13)</f>
        <v>3.38058642775803</v>
      </c>
      <c r="K13" s="5" t="n">
        <f aca="false">G13-$B$2*F13</f>
        <v>-0.916045965419626</v>
      </c>
      <c r="L13" s="17" t="n">
        <f aca="false">K13</f>
        <v>-0.916045965419626</v>
      </c>
      <c r="M13" s="1" t="n">
        <f aca="false">L14-2*L13+L12</f>
        <v>0.100163124598873</v>
      </c>
      <c r="N13" s="6" t="n">
        <f aca="false">K13-L13</f>
        <v>0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215740.28125</v>
      </c>
      <c r="E14" s="16" t="n">
        <f aca="false">WEO_Data!C18</f>
        <v>31.428</v>
      </c>
      <c r="F14" s="1" t="n">
        <f aca="false">LN(D14)</f>
        <v>12.2818305615811</v>
      </c>
      <c r="G14" s="1" t="n">
        <f aca="false">LN(E14)</f>
        <v>3.44769921531358</v>
      </c>
      <c r="K14" s="5" t="n">
        <f aca="false">G14-$B$2*F14</f>
        <v>-0.850941481239815</v>
      </c>
      <c r="L14" s="17" t="n">
        <f aca="false">K14</f>
        <v>-0.850941481239815</v>
      </c>
      <c r="M14" s="1" t="n">
        <f aca="false">L15-2*L14+L13</f>
        <v>0.00722518273975714</v>
      </c>
      <c r="N14" s="6" t="n">
        <f aca="false">K14-L14</f>
        <v>0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218333.703125</v>
      </c>
      <c r="E15" s="16" t="n">
        <f aca="false">WEO_Data!C19</f>
        <v>33.927</v>
      </c>
      <c r="F15" s="1" t="n">
        <f aca="false">LN(D15)</f>
        <v>12.2937799196501</v>
      </c>
      <c r="G15" s="1" t="n">
        <f aca="false">LN(E15)</f>
        <v>3.5242111575573</v>
      </c>
      <c r="K15" s="5" t="n">
        <f aca="false">G15-$B$2*F15</f>
        <v>-0.778611814320247</v>
      </c>
      <c r="L15" s="17" t="n">
        <f aca="false">K15</f>
        <v>-0.778611814320247</v>
      </c>
      <c r="M15" s="1" t="n">
        <f aca="false">L16-2*L15+L14</f>
        <v>-0.0137649663861326</v>
      </c>
      <c r="N15" s="6" t="n">
        <f aca="false">K15-L15</f>
        <v>0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221570.09375</v>
      </c>
      <c r="E16" s="16" t="n">
        <f aca="false">WEO_Data!C20</f>
        <v>36.159</v>
      </c>
      <c r="F16" s="1" t="n">
        <f aca="false">LN(D16)</f>
        <v>12.3084942687461</v>
      </c>
      <c r="G16" s="1" t="n">
        <f aca="false">LN(E16)</f>
        <v>3.58792588027432</v>
      </c>
      <c r="K16" s="5" t="n">
        <f aca="false">G16-$B$2*F16</f>
        <v>-0.720047113786812</v>
      </c>
      <c r="L16" s="17" t="n">
        <f aca="false">K16</f>
        <v>-0.720047113786812</v>
      </c>
      <c r="M16" s="1" t="n">
        <f aca="false">L17-2*L16+L15</f>
        <v>-0.0114384109211629</v>
      </c>
      <c r="N16" s="6" t="n">
        <f aca="false">K16-L16</f>
        <v>0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223431.875</v>
      </c>
      <c r="E17" s="16" t="n">
        <f aca="false">WEO_Data!C21</f>
        <v>38.015</v>
      </c>
      <c r="F17" s="1" t="n">
        <f aca="false">LN(D17)</f>
        <v>12.3168618367284</v>
      </c>
      <c r="G17" s="1" t="n">
        <f aca="false">LN(E17)</f>
        <v>3.6379808186804</v>
      </c>
      <c r="K17" s="5" t="n">
        <f aca="false">G17-$B$2*F17</f>
        <v>-0.672920824174539</v>
      </c>
      <c r="L17" s="17" t="n">
        <f aca="false">K17</f>
        <v>-0.672920824174539</v>
      </c>
      <c r="M17" s="1" t="n">
        <f aca="false">L18-2*L17+L16</f>
        <v>-0.0139843660326173</v>
      </c>
      <c r="N17" s="6" t="n">
        <f aca="false">K17-L17</f>
        <v>0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227911.96875</v>
      </c>
      <c r="E18" s="16" t="n">
        <f aca="false">WEO_Data!C22</f>
        <v>39.57</v>
      </c>
      <c r="F18" s="1" t="n">
        <f aca="false">LN(D18)</f>
        <v>12.3367147314063</v>
      </c>
      <c r="G18" s="1" t="n">
        <f aca="false">LN(E18)</f>
        <v>3.67807125539733</v>
      </c>
      <c r="K18" s="5" t="n">
        <f aca="false">G18-$B$2*F18</f>
        <v>-0.639778900594884</v>
      </c>
      <c r="L18" s="17" t="n">
        <f aca="false">K18</f>
        <v>-0.639778900594884</v>
      </c>
      <c r="M18" s="1" t="n">
        <f aca="false">L19-2*L18+L17</f>
        <v>-0.00965399996191607</v>
      </c>
      <c r="N18" s="6" t="n">
        <f aca="false">K18-L18</f>
        <v>0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234164.859375</v>
      </c>
      <c r="E19" s="16" t="n">
        <f aca="false">WEO_Data!C23</f>
        <v>40.896</v>
      </c>
      <c r="F19" s="1" t="n">
        <f aca="false">LN(D19)</f>
        <v>12.3637806735206</v>
      </c>
      <c r="G19" s="1" t="n">
        <f aca="false">LN(E19)</f>
        <v>3.71103225875507</v>
      </c>
      <c r="K19" s="5" t="n">
        <f aca="false">G19-$B$2*F19</f>
        <v>-0.616290976977145</v>
      </c>
      <c r="L19" s="17" t="n">
        <f aca="false">K19</f>
        <v>-0.616290976977145</v>
      </c>
      <c r="M19" s="1" t="n">
        <f aca="false">L20-2*L19+L18</f>
        <v>0.000161434115500292</v>
      </c>
      <c r="N19" s="6" t="n">
        <f aca="false">K19-L19</f>
        <v>0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241138.375</v>
      </c>
      <c r="E20" s="16" t="n">
        <f aca="false">WEO_Data!C24</f>
        <v>42.307</v>
      </c>
      <c r="F20" s="1" t="n">
        <f aca="false">LN(D20)</f>
        <v>12.3931262178247</v>
      </c>
      <c r="G20" s="1" t="n">
        <f aca="false">LN(E20)</f>
        <v>3.74495255699473</v>
      </c>
      <c r="K20" s="5" t="n">
        <f aca="false">G20-$B$2*F20</f>
        <v>-0.592641619243906</v>
      </c>
      <c r="L20" s="17" t="n">
        <f aca="false">K20</f>
        <v>-0.592641619243906</v>
      </c>
      <c r="M20" s="1" t="n">
        <f aca="false">L21-2*L20+L19</f>
        <v>0.016795595753945</v>
      </c>
      <c r="N20" s="6" t="n">
        <f aca="false">K20-L20</f>
        <v>0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248033.09375</v>
      </c>
      <c r="E21" s="16" t="n">
        <f aca="false">WEO_Data!C25</f>
        <v>44.49</v>
      </c>
      <c r="F21" s="1" t="n">
        <f aca="false">LN(D21)</f>
        <v>12.4213174587848</v>
      </c>
      <c r="G21" s="1" t="n">
        <f aca="false">LN(E21)</f>
        <v>3.79526444481795</v>
      </c>
      <c r="K21" s="5" t="n">
        <f aca="false">G21-$B$2*F21</f>
        <v>-0.552196665756722</v>
      </c>
      <c r="L21" s="17" t="n">
        <f aca="false">K21</f>
        <v>-0.552196665756722</v>
      </c>
      <c r="M21" s="1" t="n">
        <f aca="false">L22-2*L21+L20</f>
        <v>0.00897471527092675</v>
      </c>
      <c r="N21" s="6" t="n">
        <f aca="false">K21-L21</f>
        <v>0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254809.796875</v>
      </c>
      <c r="E22" s="16" t="n">
        <f aca="false">WEO_Data!C26</f>
        <v>47.187</v>
      </c>
      <c r="F22" s="1" t="n">
        <f aca="false">LN(D22)</f>
        <v>12.4482726512149</v>
      </c>
      <c r="G22" s="1" t="n">
        <f aca="false">LN(E22)</f>
        <v>3.85411843092662</v>
      </c>
      <c r="K22" s="5" t="n">
        <f aca="false">G22-$B$2*F22</f>
        <v>-0.502776996998611</v>
      </c>
      <c r="L22" s="17" t="n">
        <f aca="false">K22</f>
        <v>-0.502776996998611</v>
      </c>
      <c r="M22" s="1" t="n">
        <f aca="false">L23-2*L22+L21</f>
        <v>-0.00957769621967275</v>
      </c>
      <c r="N22" s="6" t="n">
        <f aca="false">K22-L22</f>
        <v>0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264125.5625</v>
      </c>
      <c r="E23" s="16" t="n">
        <f aca="false">WEO_Data!C27</f>
        <v>49.726</v>
      </c>
      <c r="F23" s="1" t="n">
        <f aca="false">LN(D23)</f>
        <v>12.4841798845895</v>
      </c>
      <c r="G23" s="1" t="n">
        <f aca="false">LN(E23)</f>
        <v>3.90652793514617</v>
      </c>
      <c r="K23" s="5" t="n">
        <f aca="false">G23-$B$2*F23</f>
        <v>-0.462935024460172</v>
      </c>
      <c r="L23" s="17" t="n">
        <f aca="false">K23</f>
        <v>-0.462935024460172</v>
      </c>
      <c r="M23" s="1" t="n">
        <f aca="false">L24-2*L23+L22</f>
        <v>-0.14707274437856</v>
      </c>
      <c r="N23" s="6" t="n">
        <f aca="false">K23-L23</f>
        <v>0</v>
      </c>
    </row>
    <row r="24" customFormat="false" ht="12" hidden="false" customHeight="true" outlineLevel="0" collapsed="false">
      <c r="C24" s="1" t="n">
        <v>2020</v>
      </c>
      <c r="D24" s="15" t="n">
        <f aca="false">D23*'CFC data'!C26/'CFC data'!C25</f>
        <v>298022.436102605</v>
      </c>
      <c r="E24" s="16" t="n">
        <f aca="false">WEO_Data!C28</f>
        <v>46.598</v>
      </c>
      <c r="F24" s="1" t="n">
        <f aca="false">LN(D24)</f>
        <v>12.6049240515884</v>
      </c>
      <c r="G24" s="1" t="n">
        <f aca="false">LN(E24)</f>
        <v>3.84155762175564</v>
      </c>
      <c r="K24" s="5" t="n">
        <f aca="false">G24-$B$2*F24</f>
        <v>-0.570165796300294</v>
      </c>
      <c r="L24" s="17" t="n">
        <f aca="false">K24</f>
        <v>-0.570165796300294</v>
      </c>
      <c r="M24" s="1" t="n">
        <f aca="false">L25-2*L24+L23</f>
        <v>0.159615219452483</v>
      </c>
      <c r="N24" s="6" t="n">
        <f aca="false">K24-L24</f>
        <v>0</v>
      </c>
    </row>
    <row r="25" customFormat="false" ht="12" hidden="false" customHeight="true" outlineLevel="0" collapsed="false">
      <c r="C25" s="1" t="n">
        <v>2021</v>
      </c>
      <c r="D25" s="15" t="n">
        <f aca="false">D24*'CFC data'!C27/'CFC data'!C26</f>
        <v>342577.617735234</v>
      </c>
      <c r="E25" s="16" t="n">
        <f aca="false">WEO_Data!C29</f>
        <v>51.558</v>
      </c>
      <c r="F25" s="1" t="n">
        <f aca="false">LN(D25)</f>
        <v>12.7442535321345</v>
      </c>
      <c r="G25" s="1" t="n">
        <f aca="false">LN(E25)</f>
        <v>3.94270738755914</v>
      </c>
      <c r="K25" s="5" t="n">
        <f aca="false">G25-$B$2*F25</f>
        <v>-0.517781348687934</v>
      </c>
      <c r="L25" s="17" t="n">
        <f aca="false">K25</f>
        <v>-0.517781348687934</v>
      </c>
      <c r="M25" s="1" t="n">
        <f aca="false">L26-2*L25+L24</f>
        <v>0.0236126535501287</v>
      </c>
      <c r="N25" s="6" t="n">
        <f aca="false">K25-L25</f>
        <v>0</v>
      </c>
    </row>
    <row r="26" customFormat="false" ht="12" hidden="false" customHeight="true" outlineLevel="0" collapsed="false">
      <c r="C26" s="1" t="n">
        <v>2022</v>
      </c>
      <c r="D26" s="15" t="n">
        <f aca="false">D25*'CFC data'!C28/'CFC data'!C27</f>
        <v>371098.515395682</v>
      </c>
      <c r="E26" s="16" t="n">
        <f aca="false">WEO_Data!C30</f>
        <v>57.208</v>
      </c>
      <c r="F26" s="1" t="n">
        <f aca="false">LN(D26)</f>
        <v>12.8242228464901</v>
      </c>
      <c r="G26" s="1" t="n">
        <f aca="false">LN(E26)</f>
        <v>4.0466937487461</v>
      </c>
      <c r="K26" s="5" t="n">
        <f aca="false">G26-$B$2*F26</f>
        <v>-0.441784247525444</v>
      </c>
      <c r="L26" s="17" t="n">
        <f aca="false">K26</f>
        <v>-0.441784247525444</v>
      </c>
      <c r="M26" s="1" t="n">
        <f aca="false">L27-2*L26+L25</f>
        <v>-0.0725598463209116</v>
      </c>
      <c r="N26" s="6" t="n">
        <f aca="false">K26-L26</f>
        <v>0</v>
      </c>
    </row>
    <row r="27" customFormat="false" ht="12" hidden="false" customHeight="true" outlineLevel="0" collapsed="false">
      <c r="C27" s="1" t="n">
        <v>2023</v>
      </c>
      <c r="D27" s="15" t="n">
        <f aca="false">D26*'CFC data'!C29/'CFC data'!C28</f>
        <v>455825.183207521</v>
      </c>
      <c r="E27" s="16" t="n">
        <f aca="false">WEO_Data!C31</f>
        <v>61.689</v>
      </c>
      <c r="F27" s="1" t="n">
        <f aca="false">LN(D27)</f>
        <v>13.0298646448325</v>
      </c>
      <c r="G27" s="1" t="n">
        <f aca="false">LN(E27)</f>
        <v>4.12210563300749</v>
      </c>
      <c r="K27" s="7" t="n">
        <f aca="false">G27-$B$2*F27</f>
        <v>-0.438346992683866</v>
      </c>
      <c r="L27" s="18" t="n">
        <f aca="false">K27</f>
        <v>-0.438346992683866</v>
      </c>
      <c r="M27" s="8"/>
      <c r="N27" s="9" t="n">
        <f aca="false">K27-L27</f>
        <v>0</v>
      </c>
    </row>
    <row r="30" customFormat="false" ht="13.8" hidden="false" customHeight="false" outlineLevel="0" collapsed="false">
      <c r="C30" s="19" t="s">
        <v>14</v>
      </c>
    </row>
    <row r="31" customFormat="false" ht="225.35" hidden="false" customHeight="false" outlineLevel="0" collapsed="false">
      <c r="C31" s="20" t="s">
        <v>15</v>
      </c>
    </row>
    <row r="35" customFormat="false" ht="12" hidden="false" customHeight="true" outlineLevel="0" collapsed="false">
      <c r="D35" s="1" t="s">
        <v>16</v>
      </c>
      <c r="E35" s="1" t="s">
        <v>5</v>
      </c>
      <c r="F35" s="1" t="s">
        <v>17</v>
      </c>
      <c r="G35" s="1" t="s">
        <v>18</v>
      </c>
      <c r="H35" s="1" t="s">
        <v>19</v>
      </c>
      <c r="I35" s="1" t="s">
        <v>20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25</v>
      </c>
      <c r="O35" s="1" t="s">
        <v>26</v>
      </c>
      <c r="P35" s="1" t="s">
        <v>27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10525.2890462474</v>
      </c>
      <c r="E36" s="21" t="n">
        <f aca="false">D6</f>
        <v>197317.59375</v>
      </c>
      <c r="F36" s="16" t="n">
        <f aca="false">WEO_Data!C10</f>
        <v>18.747</v>
      </c>
      <c r="G36" s="1" t="n">
        <f aca="false">L6</f>
        <v>-1.33636571160016</v>
      </c>
      <c r="H36" s="1" t="n">
        <f aca="false">EXP(G36)*E36^$B$2</f>
        <v>18.747</v>
      </c>
      <c r="I36" s="1" t="n">
        <v>0</v>
      </c>
      <c r="J36" s="1" t="n">
        <f aca="false">I36</f>
        <v>0</v>
      </c>
      <c r="K36" s="21" t="n">
        <f aca="false">E36+J36</f>
        <v>197317.59375</v>
      </c>
      <c r="L36" s="1" t="n">
        <f aca="false">EXP(G36)*K36^$B$2</f>
        <v>18.747</v>
      </c>
      <c r="M36" s="1" t="n">
        <f aca="false">L36-H36</f>
        <v>0</v>
      </c>
      <c r="N36" s="1" t="n">
        <f aca="false">L36</f>
        <v>18.747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9576.00814670056</v>
      </c>
      <c r="E37" s="21" t="n">
        <f aca="false">D7</f>
        <v>199678.921875</v>
      </c>
      <c r="F37" s="16" t="n">
        <f aca="false">WEO_Data!C11</f>
        <v>20.852</v>
      </c>
      <c r="G37" s="1" t="n">
        <f aca="false">L7</f>
        <v>-1.23411322080382</v>
      </c>
      <c r="H37" s="1" t="n">
        <f aca="false">EXP(G37)*E37^$B$2</f>
        <v>20.852</v>
      </c>
      <c r="I37" s="1" t="n">
        <v>0</v>
      </c>
      <c r="J37" s="1" t="n">
        <f aca="false">J36*(1-$B$3)+I37</f>
        <v>0</v>
      </c>
      <c r="K37" s="21" t="n">
        <f aca="false">E37+J37</f>
        <v>199678.921875</v>
      </c>
      <c r="L37" s="1" t="n">
        <f aca="false">EXP(G37)*K37^$B$2</f>
        <v>20.852</v>
      </c>
      <c r="M37" s="1" t="n">
        <f aca="false">L37-H37</f>
        <v>0</v>
      </c>
      <c r="N37" s="1" t="n">
        <f aca="false">L37</f>
        <v>20.852</v>
      </c>
      <c r="O37" s="1" t="n">
        <f aca="false">N37/N36-1</f>
        <v>0.112284632207819</v>
      </c>
      <c r="P37" s="1" t="n">
        <f aca="false">H37/H36-1</f>
        <v>0.112284632207819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9186.29311907892</v>
      </c>
      <c r="E38" s="21" t="n">
        <f aca="false">D8</f>
        <v>202658.8125</v>
      </c>
      <c r="F38" s="16" t="n">
        <f aca="false">WEO_Data!C12</f>
        <v>22.061</v>
      </c>
      <c r="G38" s="1" t="n">
        <f aca="false">L8</f>
        <v>-1.18293634738246</v>
      </c>
      <c r="H38" s="1" t="n">
        <f aca="false">EXP(G38)*E38^$B$2</f>
        <v>22.061</v>
      </c>
      <c r="I38" s="1" t="n">
        <v>0</v>
      </c>
      <c r="J38" s="1" t="n">
        <f aca="false">J37*(1-$B$3)+I38</f>
        <v>0</v>
      </c>
      <c r="K38" s="21" t="n">
        <f aca="false">E38+J38</f>
        <v>202658.8125</v>
      </c>
      <c r="L38" s="1" t="n">
        <f aca="false">EXP(G38)*K38^$B$2</f>
        <v>22.061</v>
      </c>
      <c r="M38" s="1" t="n">
        <f aca="false">L38-H38</f>
        <v>0</v>
      </c>
      <c r="N38" s="1" t="n">
        <f aca="false">L38</f>
        <v>22.061</v>
      </c>
      <c r="O38" s="1" t="n">
        <f aca="false">N38/N37-1</f>
        <v>0.0579800498753129</v>
      </c>
      <c r="P38" s="1" t="n">
        <f aca="false">H38/H37-1</f>
        <v>0.0579800498753129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8537.41313699537</v>
      </c>
      <c r="E39" s="21" t="n">
        <f aca="false">D9</f>
        <v>206400.5</v>
      </c>
      <c r="F39" s="16" t="n">
        <f aca="false">WEO_Data!C13</f>
        <v>24.176</v>
      </c>
      <c r="G39" s="1" t="n">
        <f aca="false">L9</f>
        <v>-1.09779040174315</v>
      </c>
      <c r="H39" s="1" t="n">
        <f aca="false">EXP(G39)*E39^$B$2</f>
        <v>24.176</v>
      </c>
      <c r="I39" s="1" t="n">
        <v>0</v>
      </c>
      <c r="J39" s="1" t="n">
        <f aca="false">J38*(1-$B$3)+I39</f>
        <v>0</v>
      </c>
      <c r="K39" s="21" t="n">
        <f aca="false">E39+J39</f>
        <v>206400.5</v>
      </c>
      <c r="L39" s="1" t="n">
        <f aca="false">EXP(G39)*K39^$B$2</f>
        <v>24.176</v>
      </c>
      <c r="M39" s="1" t="n">
        <f aca="false">L39-H39</f>
        <v>0</v>
      </c>
      <c r="N39" s="1" t="n">
        <f aca="false">L39</f>
        <v>24.176</v>
      </c>
      <c r="O39" s="1" t="n">
        <f aca="false">N39/N38-1</f>
        <v>0.0958705407733091</v>
      </c>
      <c r="P39" s="1" t="n">
        <f aca="false">H39/H38-1</f>
        <v>0.0958705407733091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7925.46495804037</v>
      </c>
      <c r="E40" s="21" t="n">
        <f aca="false">D10</f>
        <v>209660.25</v>
      </c>
      <c r="F40" s="16" t="n">
        <f aca="false">WEO_Data!C14</f>
        <v>26.454</v>
      </c>
      <c r="G40" s="1" t="n">
        <f aca="false">L10</f>
        <v>-1.01322789924056</v>
      </c>
      <c r="H40" s="1" t="n">
        <f aca="false">EXP(G40)*E40^$B$2</f>
        <v>26.454</v>
      </c>
      <c r="I40" s="1" t="n">
        <v>0</v>
      </c>
      <c r="J40" s="1" t="n">
        <f aca="false">J39*(1-$B$3)+I40</f>
        <v>0</v>
      </c>
      <c r="K40" s="21" t="n">
        <f aca="false">E40+J40</f>
        <v>209660.25</v>
      </c>
      <c r="L40" s="1" t="n">
        <f aca="false">EXP(G40)*K40^$B$2</f>
        <v>26.454</v>
      </c>
      <c r="M40" s="1" t="n">
        <f aca="false">L40-H40</f>
        <v>0</v>
      </c>
      <c r="N40" s="1" t="n">
        <f aca="false">L40</f>
        <v>26.454</v>
      </c>
      <c r="O40" s="1" t="n">
        <f aca="false">N40/N39-1</f>
        <v>0.0942256783587039</v>
      </c>
      <c r="P40" s="1" t="n">
        <f aca="false">H40/H39-1</f>
        <v>0.0942256783587039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7179.79164568013</v>
      </c>
      <c r="E41" s="21" t="n">
        <f aca="false">D11</f>
        <v>213821.375</v>
      </c>
      <c r="F41" s="16" t="n">
        <f aca="false">WEO_Data!C15</f>
        <v>29.781</v>
      </c>
      <c r="G41" s="1" t="n">
        <f aca="false">L11</f>
        <v>-0.901643080940599</v>
      </c>
      <c r="H41" s="1" t="n">
        <f aca="false">EXP(G41)*E41^$B$2</f>
        <v>29.781</v>
      </c>
      <c r="I41" s="1" t="n">
        <v>0</v>
      </c>
      <c r="J41" s="1" t="n">
        <f aca="false">J40*(1-$B$3)+I41</f>
        <v>0</v>
      </c>
      <c r="K41" s="21" t="n">
        <f aca="false">E41+J41</f>
        <v>213821.375</v>
      </c>
      <c r="L41" s="1" t="n">
        <f aca="false">EXP(G41)*K41^$B$2</f>
        <v>29.781</v>
      </c>
      <c r="M41" s="1" t="n">
        <f aca="false">L41-H41</f>
        <v>0</v>
      </c>
      <c r="N41" s="1" t="n">
        <f aca="false">L41</f>
        <v>29.781</v>
      </c>
      <c r="O41" s="1" t="n">
        <f aca="false">N41/N40-1</f>
        <v>0.125765479700612</v>
      </c>
      <c r="P41" s="1" t="n">
        <f aca="false">H41/H40-1</f>
        <v>0.125765479700612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7075.79523473871</v>
      </c>
      <c r="E42" s="21" t="n">
        <f aca="false">D12</f>
        <v>215825.90625</v>
      </c>
      <c r="F42" s="16" t="n">
        <f aca="false">WEO_Data!C16</f>
        <v>30.502</v>
      </c>
      <c r="G42" s="1" t="n">
        <f aca="false">L12</f>
        <v>-0.880987325000563</v>
      </c>
      <c r="H42" s="1" t="n">
        <f aca="false">EXP(G42)*E42^$B$2</f>
        <v>30.502</v>
      </c>
      <c r="I42" s="1" t="n">
        <v>0</v>
      </c>
      <c r="J42" s="1" t="n">
        <f aca="false">J41*(1-$B$3)+I42</f>
        <v>0</v>
      </c>
      <c r="K42" s="21" t="n">
        <f aca="false">E42+J42</f>
        <v>215825.90625</v>
      </c>
      <c r="L42" s="1" t="n">
        <f aca="false">EXP(G42)*K42^$B$2</f>
        <v>30.502</v>
      </c>
      <c r="M42" s="1" t="n">
        <f aca="false">L42-H42</f>
        <v>0</v>
      </c>
      <c r="N42" s="1" t="n">
        <f aca="false">L42</f>
        <v>30.502</v>
      </c>
      <c r="O42" s="1" t="n">
        <f aca="false">N42/N41-1</f>
        <v>0.0242100668211276</v>
      </c>
      <c r="P42" s="1" t="n">
        <f aca="false">H42/H41-1</f>
        <v>0.0242100668211276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7299.09848407513</v>
      </c>
      <c r="E43" s="21" t="n">
        <f aca="false">D13</f>
        <v>214505.90625</v>
      </c>
      <c r="F43" s="16" t="n">
        <f aca="false">WEO_Data!C17</f>
        <v>29.388</v>
      </c>
      <c r="G43" s="1" t="n">
        <f aca="false">L13</f>
        <v>-0.916045965419626</v>
      </c>
      <c r="H43" s="1" t="n">
        <f aca="false">EXP(G43)*E43^$B$2</f>
        <v>29.388</v>
      </c>
      <c r="I43" s="1" t="n">
        <v>0</v>
      </c>
      <c r="J43" s="1" t="n">
        <f aca="false">J42*(1-$B$3)+I43</f>
        <v>0</v>
      </c>
      <c r="K43" s="21" t="n">
        <f aca="false">E43+J43</f>
        <v>214505.90625</v>
      </c>
      <c r="L43" s="1" t="n">
        <f aca="false">EXP(G43)*K43^$B$2</f>
        <v>29.388</v>
      </c>
      <c r="M43" s="1" t="n">
        <f aca="false">L43-H43</f>
        <v>0</v>
      </c>
      <c r="N43" s="1" t="n">
        <f aca="false">L43</f>
        <v>29.388</v>
      </c>
      <c r="O43" s="1" t="n">
        <f aca="false">N43/N42-1</f>
        <v>-0.0365221952658837</v>
      </c>
      <c r="P43" s="1" t="n">
        <f aca="false">H43/H42-1</f>
        <v>-0.0365221952658837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6864.58830501464</v>
      </c>
      <c r="E44" s="21" t="n">
        <f aca="false">D14</f>
        <v>215740.28125</v>
      </c>
      <c r="F44" s="16" t="n">
        <f aca="false">WEO_Data!C18</f>
        <v>31.428</v>
      </c>
      <c r="G44" s="1" t="n">
        <f aca="false">L14</f>
        <v>-0.850941481239815</v>
      </c>
      <c r="H44" s="1" t="n">
        <f aca="false">EXP(G44)*E44^$B$2</f>
        <v>31.428</v>
      </c>
      <c r="I44" s="1" t="n">
        <v>0</v>
      </c>
      <c r="J44" s="1" t="n">
        <f aca="false">J43*(1-$B$3)+I44</f>
        <v>0</v>
      </c>
      <c r="K44" s="21" t="n">
        <f aca="false">E44+J44</f>
        <v>215740.28125</v>
      </c>
      <c r="L44" s="1" t="n">
        <f aca="false">EXP(G44)*K44^$B$2</f>
        <v>31.428</v>
      </c>
      <c r="M44" s="1" t="n">
        <f aca="false">L44-H44</f>
        <v>0</v>
      </c>
      <c r="N44" s="1" t="n">
        <f aca="false">L44</f>
        <v>31.428</v>
      </c>
      <c r="O44" s="1" t="n">
        <f aca="false">N44/N43-1</f>
        <v>0.0694160881992645</v>
      </c>
      <c r="P44" s="1" t="n">
        <f aca="false">H44/H43-1</f>
        <v>0.0694160881992645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6435.39667889881</v>
      </c>
      <c r="E45" s="21" t="n">
        <f aca="false">D15</f>
        <v>218333.703125</v>
      </c>
      <c r="F45" s="16" t="n">
        <f aca="false">WEO_Data!C19</f>
        <v>33.927</v>
      </c>
      <c r="G45" s="1" t="n">
        <f aca="false">L15</f>
        <v>-0.778611814320247</v>
      </c>
      <c r="H45" s="1" t="n">
        <f aca="false">EXP(G45)*E45^$B$2</f>
        <v>33.927</v>
      </c>
      <c r="I45" s="1" t="n">
        <v>0</v>
      </c>
      <c r="J45" s="1" t="n">
        <f aca="false">J44*(1-$B$3)+I45</f>
        <v>0</v>
      </c>
      <c r="K45" s="21" t="n">
        <f aca="false">E45+J45</f>
        <v>218333.703125</v>
      </c>
      <c r="L45" s="1" t="n">
        <f aca="false">EXP(G45)*K45^$B$2</f>
        <v>33.927</v>
      </c>
      <c r="M45" s="1" t="n">
        <f aca="false">L45-H45</f>
        <v>0</v>
      </c>
      <c r="N45" s="1" t="n">
        <f aca="false">L45</f>
        <v>33.927</v>
      </c>
      <c r="O45" s="1" t="n">
        <f aca="false">N45/N44-1</f>
        <v>0.079515082092402</v>
      </c>
      <c r="P45" s="1" t="n">
        <f aca="false">H45/H44-1</f>
        <v>0.079515082092402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6127.66099034819</v>
      </c>
      <c r="E46" s="21" t="n">
        <f aca="false">D16</f>
        <v>221570.09375</v>
      </c>
      <c r="F46" s="16" t="n">
        <f aca="false">WEO_Data!C20</f>
        <v>36.159</v>
      </c>
      <c r="G46" s="1" t="n">
        <f aca="false">L16</f>
        <v>-0.720047113786812</v>
      </c>
      <c r="H46" s="1" t="n">
        <f aca="false">EXP(G46)*E46^$B$2</f>
        <v>36.159</v>
      </c>
      <c r="I46" s="1" t="n">
        <v>0</v>
      </c>
      <c r="J46" s="1" t="n">
        <f aca="false">J45*(1-$B$3)+I46</f>
        <v>0</v>
      </c>
      <c r="K46" s="21" t="n">
        <f aca="false">E46+J46</f>
        <v>221570.09375</v>
      </c>
      <c r="L46" s="1" t="n">
        <f aca="false">EXP(G46)*K46^$B$2</f>
        <v>36.159</v>
      </c>
      <c r="M46" s="1" t="n">
        <f aca="false">L46-H46</f>
        <v>0</v>
      </c>
      <c r="N46" s="1" t="n">
        <f aca="false">L46</f>
        <v>36.159</v>
      </c>
      <c r="O46" s="1" t="n">
        <f aca="false">N46/N45-1</f>
        <v>0.0657883101954189</v>
      </c>
      <c r="P46" s="1" t="n">
        <f aca="false">H46/H45-1</f>
        <v>0.0657883101954189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5877.46613179008</v>
      </c>
      <c r="E47" s="21" t="n">
        <f aca="false">D17</f>
        <v>223431.875</v>
      </c>
      <c r="F47" s="16" t="n">
        <f aca="false">WEO_Data!C21</f>
        <v>38.015</v>
      </c>
      <c r="G47" s="1" t="n">
        <f aca="false">L17</f>
        <v>-0.672920824174539</v>
      </c>
      <c r="H47" s="1" t="n">
        <f aca="false">EXP(G47)*E47^$B$2</f>
        <v>38.015</v>
      </c>
      <c r="I47" s="1" t="n">
        <v>0</v>
      </c>
      <c r="J47" s="1" t="n">
        <f aca="false">J46*(1-$B$3)+I47</f>
        <v>0</v>
      </c>
      <c r="K47" s="21" t="n">
        <f aca="false">E47+J47</f>
        <v>223431.875</v>
      </c>
      <c r="L47" s="1" t="n">
        <f aca="false">EXP(G47)*K47^$B$2</f>
        <v>38.015</v>
      </c>
      <c r="M47" s="1" t="n">
        <f aca="false">L47-H47</f>
        <v>0</v>
      </c>
      <c r="N47" s="1" t="n">
        <f aca="false">L47</f>
        <v>38.015</v>
      </c>
      <c r="O47" s="1" t="n">
        <f aca="false">N47/N46-1</f>
        <v>0.0513288531209382</v>
      </c>
      <c r="P47" s="1" t="n">
        <f aca="false">H47/H46-1</f>
        <v>0.0513288531209382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5759.71616755118</v>
      </c>
      <c r="E48" s="21" t="n">
        <f aca="false">D18</f>
        <v>227911.96875</v>
      </c>
      <c r="F48" s="16" t="n">
        <f aca="false">WEO_Data!C22</f>
        <v>39.57</v>
      </c>
      <c r="G48" s="1" t="n">
        <f aca="false">L18</f>
        <v>-0.639778900594884</v>
      </c>
      <c r="H48" s="1" t="n">
        <f aca="false">EXP(G48)*E48^$B$2</f>
        <v>39.57</v>
      </c>
      <c r="I48" s="1" t="n">
        <v>0</v>
      </c>
      <c r="J48" s="1" t="n">
        <f aca="false">J47*(1-$B$3)+I48</f>
        <v>0</v>
      </c>
      <c r="K48" s="21" t="n">
        <f aca="false">E48+J48</f>
        <v>227911.96875</v>
      </c>
      <c r="L48" s="1" t="n">
        <f aca="false">EXP(G48)*K48^$B$2</f>
        <v>39.57</v>
      </c>
      <c r="M48" s="1" t="n">
        <f aca="false">L48-H48</f>
        <v>0</v>
      </c>
      <c r="N48" s="1" t="n">
        <f aca="false">L48</f>
        <v>39.57</v>
      </c>
      <c r="O48" s="1" t="n">
        <f aca="false">N48/N47-1</f>
        <v>0.0409049059581743</v>
      </c>
      <c r="P48" s="1" t="n">
        <f aca="false">H48/H47-1</f>
        <v>0.0409049059581743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5725.86217172829</v>
      </c>
      <c r="E49" s="21" t="n">
        <f aca="false">D19</f>
        <v>234164.859375</v>
      </c>
      <c r="F49" s="16" t="n">
        <f aca="false">WEO_Data!C23</f>
        <v>40.896</v>
      </c>
      <c r="G49" s="1" t="n">
        <f aca="false">L19</f>
        <v>-0.616290976977145</v>
      </c>
      <c r="H49" s="1" t="n">
        <f aca="false">EXP(G49)*E49^$B$2</f>
        <v>40.896</v>
      </c>
      <c r="I49" s="1" t="n">
        <v>0</v>
      </c>
      <c r="J49" s="1" t="n">
        <f aca="false">J48*(1-$B$3)+I49</f>
        <v>0</v>
      </c>
      <c r="K49" s="21" t="n">
        <f aca="false">E49+J49</f>
        <v>234164.859375</v>
      </c>
      <c r="L49" s="1" t="n">
        <f aca="false">EXP(G49)*K49^$B$2</f>
        <v>40.896</v>
      </c>
      <c r="M49" s="1" t="n">
        <f aca="false">L49-H49</f>
        <v>0</v>
      </c>
      <c r="N49" s="1" t="n">
        <f aca="false">L49</f>
        <v>40.896</v>
      </c>
      <c r="O49" s="1" t="n">
        <f aca="false">N49/N48-1</f>
        <v>0.0335102350265353</v>
      </c>
      <c r="P49" s="1" t="n">
        <f aca="false">H49/H48-1</f>
        <v>0.0335102350265353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5699.72758645141</v>
      </c>
      <c r="E50" s="21" t="n">
        <f aca="false">D20</f>
        <v>241138.375</v>
      </c>
      <c r="F50" s="16" t="n">
        <f aca="false">WEO_Data!C24</f>
        <v>42.307</v>
      </c>
      <c r="G50" s="1" t="n">
        <f aca="false">L20</f>
        <v>-0.592641619243906</v>
      </c>
      <c r="H50" s="1" t="n">
        <f aca="false">EXP(G50)*E50^$B$2</f>
        <v>42.307</v>
      </c>
      <c r="I50" s="1" t="n">
        <v>0</v>
      </c>
      <c r="J50" s="1" t="n">
        <f aca="false">J49*(1-$B$3)+I50</f>
        <v>0</v>
      </c>
      <c r="K50" s="21" t="n">
        <f aca="false">E50+J50</f>
        <v>241138.375</v>
      </c>
      <c r="L50" s="1" t="n">
        <f aca="false">EXP(G50)*K50^$B$2</f>
        <v>42.307</v>
      </c>
      <c r="M50" s="1" t="n">
        <f aca="false">L50-H50</f>
        <v>0</v>
      </c>
      <c r="N50" s="1" t="n">
        <f aca="false">L50</f>
        <v>42.307</v>
      </c>
      <c r="O50" s="1" t="n">
        <f aca="false">N50/N49-1</f>
        <v>0.0345021517996871</v>
      </c>
      <c r="P50" s="1" t="n">
        <f aca="false">H50/H49-1</f>
        <v>0.0345021517996871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5575.0302034165</v>
      </c>
      <c r="E51" s="21" t="n">
        <f aca="false">D21</f>
        <v>248033.09375</v>
      </c>
      <c r="F51" s="16" t="n">
        <f aca="false">WEO_Data!C25</f>
        <v>44.49</v>
      </c>
      <c r="G51" s="1" t="n">
        <f aca="false">L21</f>
        <v>-0.552196665756722</v>
      </c>
      <c r="H51" s="1" t="n">
        <f aca="false">EXP(G51)*E51^$B$2</f>
        <v>44.49</v>
      </c>
      <c r="I51" s="1" t="n">
        <v>0</v>
      </c>
      <c r="J51" s="1" t="n">
        <f aca="false">J50*(1-$B$3)+I51</f>
        <v>0</v>
      </c>
      <c r="K51" s="21" t="n">
        <f aca="false">E51+J51</f>
        <v>248033.09375</v>
      </c>
      <c r="L51" s="1" t="n">
        <f aca="false">EXP(G51)*K51^$B$2</f>
        <v>44.49</v>
      </c>
      <c r="M51" s="1" t="n">
        <f aca="false">L51-H51</f>
        <v>0</v>
      </c>
      <c r="N51" s="1" t="n">
        <f aca="false">L51</f>
        <v>44.49</v>
      </c>
      <c r="O51" s="1" t="n">
        <f aca="false">N51/N50-1</f>
        <v>0.051599026165883</v>
      </c>
      <c r="P51" s="1" t="n">
        <f aca="false">H51/H50-1</f>
        <v>0.051599026165883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5399.99993377413</v>
      </c>
      <c r="E52" s="21" t="n">
        <f aca="false">D22</f>
        <v>254809.796875</v>
      </c>
      <c r="F52" s="16" t="n">
        <f aca="false">WEO_Data!C26</f>
        <v>47.187</v>
      </c>
      <c r="G52" s="1" t="n">
        <f aca="false">L22</f>
        <v>-0.502776996998611</v>
      </c>
      <c r="H52" s="1" t="n">
        <f aca="false">EXP(G52)*E52^$B$2</f>
        <v>47.187</v>
      </c>
      <c r="I52" s="1" t="n">
        <v>0</v>
      </c>
      <c r="J52" s="1" t="n">
        <f aca="false">J51*(1-$B$3)+I52</f>
        <v>0</v>
      </c>
      <c r="K52" s="21" t="n">
        <f aca="false">E52+J52</f>
        <v>254809.796875</v>
      </c>
      <c r="L52" s="1" t="n">
        <f aca="false">EXP(G52)*K52^$B$2</f>
        <v>47.187</v>
      </c>
      <c r="M52" s="1" t="n">
        <f aca="false">L52-H52</f>
        <v>0</v>
      </c>
      <c r="N52" s="1" t="n">
        <f aca="false">L52</f>
        <v>47.187</v>
      </c>
      <c r="O52" s="1" t="n">
        <f aca="false">N52/N51-1</f>
        <v>0.06062036412677</v>
      </c>
      <c r="P52" s="1" t="n">
        <f aca="false">H52/H51-1</f>
        <v>0.06062036412677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5311.61892169087</v>
      </c>
      <c r="E53" s="21" t="n">
        <f aca="false">D23</f>
        <v>264125.5625</v>
      </c>
      <c r="F53" s="16" t="n">
        <f aca="false">WEO_Data!C27</f>
        <v>49.726</v>
      </c>
      <c r="G53" s="1" t="n">
        <f aca="false">L23</f>
        <v>-0.462935024460172</v>
      </c>
      <c r="H53" s="1" t="n">
        <f aca="false">EXP(G53)*E53^$B$2</f>
        <v>49.726</v>
      </c>
      <c r="I53" s="1" t="n">
        <v>0</v>
      </c>
      <c r="J53" s="1" t="n">
        <f aca="false">J52*(1-$B$3)+I53</f>
        <v>0</v>
      </c>
      <c r="K53" s="21" t="n">
        <f aca="false">E53+J53</f>
        <v>264125.5625</v>
      </c>
      <c r="L53" s="1" t="n">
        <f aca="false">EXP(G53)*K53^$B$2</f>
        <v>49.726</v>
      </c>
      <c r="M53" s="1" t="n">
        <f aca="false">L53-H53</f>
        <v>0</v>
      </c>
      <c r="N53" s="1" t="n">
        <f aca="false">L53</f>
        <v>49.726</v>
      </c>
      <c r="O53" s="1" t="n">
        <f aca="false">N53/N52-1</f>
        <v>0.0538071926589951</v>
      </c>
      <c r="P53" s="1" t="n">
        <f aca="false">H53/H52-1</f>
        <v>0.0538071926589951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6395.60573635361</v>
      </c>
      <c r="E54" s="21" t="n">
        <f aca="false">D24</f>
        <v>298022.436102605</v>
      </c>
      <c r="F54" s="16" t="n">
        <f aca="false">WEO_Data!C28</f>
        <v>46.598</v>
      </c>
      <c r="G54" s="1" t="n">
        <f aca="false">L24</f>
        <v>-0.570165796300294</v>
      </c>
      <c r="H54" s="1" t="n">
        <f aca="false">EXP(G54)*E54^$B$2</f>
        <v>46.598</v>
      </c>
      <c r="I54" s="1" t="n">
        <v>0</v>
      </c>
      <c r="J54" s="1" t="n">
        <f aca="false">J53*(1-$B$3)+I54</f>
        <v>0</v>
      </c>
      <c r="K54" s="21" t="n">
        <f aca="false">E54+J54</f>
        <v>298022.436102605</v>
      </c>
      <c r="L54" s="1" t="n">
        <f aca="false">EXP(G54)*K54^$B$2</f>
        <v>46.598</v>
      </c>
      <c r="M54" s="1" t="n">
        <f aca="false">L54-H54</f>
        <v>0</v>
      </c>
      <c r="N54" s="1" t="n">
        <f aca="false">L54</f>
        <v>46.598</v>
      </c>
      <c r="O54" s="1" t="n">
        <f aca="false">N54/N53-1</f>
        <v>-0.0629047178538389</v>
      </c>
      <c r="P54" s="1" t="n">
        <f aca="false">H54/H53-1</f>
        <v>-0.0629047178538389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6644.50944053754</v>
      </c>
      <c r="E55" s="21" t="n">
        <f aca="false">D25</f>
        <v>342577.617735234</v>
      </c>
      <c r="F55" s="16" t="n">
        <f aca="false">WEO_Data!C29</f>
        <v>51.558</v>
      </c>
      <c r="G55" s="1" t="n">
        <f aca="false">L25</f>
        <v>-0.517781348687934</v>
      </c>
      <c r="H55" s="1" t="n">
        <f aca="false">EXP(G55)*E55^$B$2</f>
        <v>51.558</v>
      </c>
      <c r="I55" s="1" t="n">
        <v>0</v>
      </c>
      <c r="J55" s="1" t="n">
        <f aca="false">J54*(1-$B$3)+I55</f>
        <v>0</v>
      </c>
      <c r="K55" s="21" t="n">
        <f aca="false">E55+J55</f>
        <v>342577.617735234</v>
      </c>
      <c r="L55" s="1" t="n">
        <f aca="false">EXP(G55)*K55^$B$2</f>
        <v>51.558</v>
      </c>
      <c r="M55" s="1" t="n">
        <f aca="false">L55-H55</f>
        <v>0</v>
      </c>
      <c r="N55" s="1" t="n">
        <f aca="false">L55</f>
        <v>51.558</v>
      </c>
      <c r="O55" s="1" t="n">
        <f aca="false">N55/N54-1</f>
        <v>0.10644233658097</v>
      </c>
      <c r="P55" s="1" t="n">
        <f aca="false">H55/H54-1</f>
        <v>0.10644233658097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6486.82903432531</v>
      </c>
      <c r="E56" s="21" t="n">
        <f aca="false">D26</f>
        <v>371098.515395682</v>
      </c>
      <c r="F56" s="16" t="n">
        <f aca="false">WEO_Data!C30</f>
        <v>57.208</v>
      </c>
      <c r="G56" s="1" t="n">
        <f aca="false">L26</f>
        <v>-0.441784247525444</v>
      </c>
      <c r="H56" s="1" t="n">
        <f aca="false">EXP(G56)*E56^$B$2</f>
        <v>57.208</v>
      </c>
      <c r="I56" s="1" t="n">
        <v>0</v>
      </c>
      <c r="J56" s="1" t="n">
        <f aca="false">J55*(1-$B$3)+I56</f>
        <v>0</v>
      </c>
      <c r="K56" s="21" t="n">
        <f aca="false">E56+J56</f>
        <v>371098.515395682</v>
      </c>
      <c r="L56" s="1" t="n">
        <f aca="false">EXP(G56)*K56^$B$2</f>
        <v>57.208</v>
      </c>
      <c r="M56" s="1" t="n">
        <f aca="false">L56-H56</f>
        <v>0</v>
      </c>
      <c r="N56" s="1" t="n">
        <f aca="false">L56</f>
        <v>57.208</v>
      </c>
      <c r="O56" s="1" t="n">
        <f aca="false">N56/N55-1</f>
        <v>0.109585321385624</v>
      </c>
      <c r="P56" s="1" t="n">
        <f aca="false">H56/H55-1</f>
        <v>0.109585321385624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7389.08368116715</v>
      </c>
      <c r="E57" s="21" t="n">
        <f aca="false">D27</f>
        <v>455825.183207521</v>
      </c>
      <c r="F57" s="16" t="n">
        <f aca="false">WEO_Data!C31</f>
        <v>61.689</v>
      </c>
      <c r="G57" s="1" t="n">
        <f aca="false">L27</f>
        <v>-0.438346992683866</v>
      </c>
      <c r="H57" s="1" t="n">
        <f aca="false">EXP(G57)*E57^$B$2</f>
        <v>61.689</v>
      </c>
      <c r="I57" s="1" t="n">
        <v>0</v>
      </c>
      <c r="J57" s="1" t="n">
        <f aca="false">J56*(1-$B$3)+I57</f>
        <v>0</v>
      </c>
      <c r="K57" s="21" t="n">
        <f aca="false">E57+J57</f>
        <v>455825.183207521</v>
      </c>
      <c r="L57" s="1" t="n">
        <f aca="false">EXP(G57)*K57^$B$2</f>
        <v>61.689</v>
      </c>
      <c r="M57" s="1" t="n">
        <f aca="false">L57-H57</f>
        <v>0</v>
      </c>
      <c r="N57" s="1" t="n">
        <f aca="false">L57</f>
        <v>61.689</v>
      </c>
      <c r="O57" s="1" t="n">
        <f aca="false">N57/N56-1</f>
        <v>0.0783282058453361</v>
      </c>
      <c r="P57" s="1" t="n">
        <f aca="false">H57/H56-1</f>
        <v>0.0783282058453361</v>
      </c>
    </row>
    <row r="58" customFormat="false" ht="12" hidden="false" customHeight="true" outlineLevel="0" collapsed="false">
      <c r="C58" s="1" t="n">
        <v>2024</v>
      </c>
      <c r="D58" s="1" t="n">
        <f aca="false">E58/F58</f>
        <v>6069.80741216053</v>
      </c>
      <c r="E58" s="22" t="n">
        <f aca="false">AVERAGE($D$49:$D$57)*F58</f>
        <v>409742.349357897</v>
      </c>
      <c r="F58" s="16" t="n">
        <f aca="false">WEO_Data!C32</f>
        <v>67.505</v>
      </c>
      <c r="G58" s="23" t="n">
        <f aca="false">TREND($G$36:$G$57,$C$36:$C$57,C58)</f>
        <v>-0.304587678124378</v>
      </c>
      <c r="H58" s="1" t="n">
        <f aca="false">EXP(G58)*E58^$B$2</f>
        <v>67.9356993896521</v>
      </c>
      <c r="I58" s="1" t="n">
        <v>0</v>
      </c>
      <c r="J58" s="1" t="n">
        <f aca="false">J57*(1-$B$3)+I58</f>
        <v>0</v>
      </c>
      <c r="K58" s="21" t="n">
        <f aca="false">E58+J58</f>
        <v>409742.349357897</v>
      </c>
      <c r="L58" s="1" t="n">
        <f aca="false">EXP(G58)*K58^$B$2</f>
        <v>67.9356993896521</v>
      </c>
      <c r="M58" s="1" t="n">
        <f aca="false">L58-H58</f>
        <v>0</v>
      </c>
      <c r="N58" s="1" t="n">
        <f aca="false">L58</f>
        <v>67.9356993896521</v>
      </c>
      <c r="O58" s="1" t="n">
        <f aca="false">N58/N57-1</f>
        <v>0.101261154981472</v>
      </c>
      <c r="P58" s="1" t="n">
        <f aca="false">H58/H57-1</f>
        <v>0.101261154981472</v>
      </c>
    </row>
    <row r="59" customFormat="false" ht="12" hidden="false" customHeight="true" outlineLevel="0" collapsed="false">
      <c r="C59" s="1" t="n">
        <v>2025</v>
      </c>
      <c r="D59" s="1" t="n">
        <f aca="false">E59/F59</f>
        <v>6069.80741216053</v>
      </c>
      <c r="E59" s="22" t="n">
        <f aca="false">AVERAGE($D$49:$D$57)*F59</f>
        <v>434234.022265965</v>
      </c>
      <c r="F59" s="16" t="n">
        <f aca="false">WEO_Data!C33</f>
        <v>71.54</v>
      </c>
      <c r="G59" s="23" t="n">
        <f aca="false">TREND($G$36:$G$57,$C$36:$C$57,C59)</f>
        <v>-0.264194789443962</v>
      </c>
      <c r="H59" s="1" t="n">
        <f aca="false">EXP(G59)*E59^$B$2</f>
        <v>72.1879996249814</v>
      </c>
      <c r="I59" s="1" t="n">
        <v>0</v>
      </c>
      <c r="J59" s="1" t="n">
        <f aca="false">J58*(1-$B$3)+I59</f>
        <v>0</v>
      </c>
      <c r="K59" s="21" t="n">
        <f aca="false">E59+J59</f>
        <v>434234.022265965</v>
      </c>
      <c r="L59" s="1" t="n">
        <f aca="false">EXP(G59)*K59^$B$2</f>
        <v>72.1879996249814</v>
      </c>
      <c r="M59" s="1" t="n">
        <f aca="false">L59-H59</f>
        <v>0</v>
      </c>
      <c r="N59" s="1" t="n">
        <f aca="false">L59</f>
        <v>72.1879996249814</v>
      </c>
      <c r="O59" s="1" t="n">
        <f aca="false">N59/N58-1</f>
        <v>0.0625930147703329</v>
      </c>
      <c r="P59" s="1" t="n">
        <f aca="false">H59/H58-1</f>
        <v>0.0625930147703329</v>
      </c>
    </row>
    <row r="60" customFormat="false" ht="12" hidden="false" customHeight="true" outlineLevel="0" collapsed="false">
      <c r="C60" s="1" t="n">
        <v>2026</v>
      </c>
      <c r="D60" s="1" t="n">
        <f aca="false">E60/F60</f>
        <v>6069.80741216053</v>
      </c>
      <c r="E60" s="22" t="n">
        <f aca="false">AVERAGE($D$49:$D$57)*F60</f>
        <v>455945.723379263</v>
      </c>
      <c r="F60" s="24" t="n">
        <f aca="false">WEO_Data!C34</f>
        <v>75.117</v>
      </c>
      <c r="G60" s="23" t="n">
        <f aca="false">TREND($G$36:$G$57,$C$36:$C$57,C60)</f>
        <v>-0.223801900763547</v>
      </c>
      <c r="H60" s="1" t="n">
        <f aca="false">EXP(G60)*E60^$B$2</f>
        <v>76.4581297941057</v>
      </c>
      <c r="I60" s="25" t="n">
        <f aca="false">Investment!C2</f>
        <v>648.589313756442</v>
      </c>
      <c r="J60" s="1" t="n">
        <f aca="false">J59*(1-$B$3)+I60</f>
        <v>648.589313756442</v>
      </c>
      <c r="K60" s="21" t="n">
        <f aca="false">E60+J60</f>
        <v>456594.312693019</v>
      </c>
      <c r="L60" s="1" t="n">
        <f aca="false">EXP(G60)*K60^$B$2</f>
        <v>76.4961791830218</v>
      </c>
      <c r="M60" s="1" t="n">
        <f aca="false">L60-H60</f>
        <v>0.0380493889160363</v>
      </c>
      <c r="N60" s="1" t="n">
        <f aca="false">L60</f>
        <v>76.4961791830218</v>
      </c>
      <c r="O60" s="1" t="n">
        <f aca="false">N60/N59-1</f>
        <v>0.0596799964041312</v>
      </c>
      <c r="P60" s="1" t="n">
        <f aca="false">H60/H59-1</f>
        <v>0.059152908950348</v>
      </c>
    </row>
    <row r="61" customFormat="false" ht="12" hidden="false" customHeight="true" outlineLevel="0" collapsed="false">
      <c r="C61" s="1" t="n">
        <v>2027</v>
      </c>
      <c r="D61" s="1" t="n">
        <f aca="false">E61/F61</f>
        <v>6069.80741216053</v>
      </c>
      <c r="E61" s="22" t="n">
        <f aca="false">AVERAGE($D$49:$D$57)*F61</f>
        <v>478743.920019338</v>
      </c>
      <c r="F61" s="24" t="n">
        <f aca="false">WEO_Data!C35</f>
        <v>78.873</v>
      </c>
      <c r="G61" s="23" t="n">
        <f aca="false">TREND($G$36:$G$57,$C$36:$C$57,C61)</f>
        <v>-0.183409012083132</v>
      </c>
      <c r="H61" s="1" t="n">
        <f aca="false">EXP(G61)*E61^$B$2</f>
        <v>80.9809044874419</v>
      </c>
      <c r="I61" s="25" t="n">
        <f aca="false">Investment!C3</f>
        <v>1220.08019689654</v>
      </c>
      <c r="J61" s="1" t="n">
        <f aca="false">J60*(1-$B$3)+I61</f>
        <v>1858.77962757137</v>
      </c>
      <c r="K61" s="21" t="n">
        <f aca="false">E61+J61</f>
        <v>480602.699646909</v>
      </c>
      <c r="L61" s="1" t="n">
        <f aca="false">EXP(G61)*K61^$B$2</f>
        <v>81.0908121844339</v>
      </c>
      <c r="M61" s="1" t="n">
        <f aca="false">L61-H61</f>
        <v>0.109907696992039</v>
      </c>
      <c r="N61" s="1" t="n">
        <f aca="false">L61</f>
        <v>81.0908121844339</v>
      </c>
      <c r="O61" s="1" t="n">
        <f aca="false">N61/N60-1</f>
        <v>0.0600635620037859</v>
      </c>
      <c r="P61" s="1" t="n">
        <f aca="false">H61/H60-1</f>
        <v>0.0591536139520485</v>
      </c>
    </row>
    <row r="62" customFormat="false" ht="12" hidden="false" customHeight="true" outlineLevel="0" collapsed="false">
      <c r="C62" s="1" t="n">
        <v>2028</v>
      </c>
      <c r="D62" s="1" t="n">
        <f aca="false">E62/F62</f>
        <v>6069.80741216053</v>
      </c>
      <c r="E62" s="22" t="n">
        <f aca="false">AVERAGE($D$49:$D$57)*F62</f>
        <v>502681.116020305</v>
      </c>
      <c r="F62" s="24" t="n">
        <f aca="false">WEO_Data!C36</f>
        <v>82.81665</v>
      </c>
      <c r="G62" s="23" t="n">
        <f aca="false">TREND($G$36:$G$57,$C$36:$C$57,C62)</f>
        <v>-0.143016123402717</v>
      </c>
      <c r="H62" s="1" t="n">
        <f aca="false">EXP(G62)*E62^$B$2</f>
        <v>85.7711605573044</v>
      </c>
      <c r="I62" s="25" t="n">
        <f aca="false">Investment!C4</f>
        <v>1756.17368014315</v>
      </c>
      <c r="J62" s="1" t="n">
        <f aca="false">J61*(1-$B$3)+I62</f>
        <v>3586.6100821922</v>
      </c>
      <c r="K62" s="21" t="n">
        <f aca="false">E62+J62</f>
        <v>506267.726102497</v>
      </c>
      <c r="L62" s="1" t="n">
        <f aca="false">EXP(G62)*K62^$B$2</f>
        <v>85.9848566735106</v>
      </c>
      <c r="M62" s="1" t="n">
        <f aca="false">L62-H62</f>
        <v>0.213696116206208</v>
      </c>
      <c r="N62" s="1" t="n">
        <f aca="false">L62</f>
        <v>85.9848566735106</v>
      </c>
      <c r="O62" s="1" t="n">
        <f aca="false">N62/N61-1</f>
        <v>0.0603526386928472</v>
      </c>
      <c r="P62" s="1" t="n">
        <f aca="false">H62/H61-1</f>
        <v>0.0591529089503484</v>
      </c>
    </row>
    <row r="63" customFormat="false" ht="12" hidden="false" customHeight="true" outlineLevel="0" collapsed="false">
      <c r="C63" s="1" t="n">
        <v>2029</v>
      </c>
      <c r="D63" s="1" t="n">
        <f aca="false">E63/F63</f>
        <v>6069.80741216053</v>
      </c>
      <c r="E63" s="22" t="n">
        <f aca="false">AVERAGE($D$49:$D$57)*F63</f>
        <v>527815.17182132</v>
      </c>
      <c r="F63" s="24" t="n">
        <f aca="false">WEO_Data!C37</f>
        <v>86.9574825</v>
      </c>
      <c r="G63" s="23" t="n">
        <f aca="false">TREND($G$36:$G$57,$C$36:$C$57,C63)</f>
        <v>-0.102623234722302</v>
      </c>
      <c r="H63" s="1" t="n">
        <f aca="false">EXP(G63)*E63^$B$2</f>
        <v>90.8447742083163</v>
      </c>
      <c r="I63" s="25" t="n">
        <f aca="false">Investment!C5</f>
        <v>2221.19470098522</v>
      </c>
      <c r="J63" s="1" t="n">
        <f aca="false">J62*(1-$B$3)+I63</f>
        <v>5753.11508413386</v>
      </c>
      <c r="K63" s="21" t="n">
        <f aca="false">E63+J63</f>
        <v>533568.286905454</v>
      </c>
      <c r="L63" s="1" t="n">
        <f aca="false">EXP(G63)*K63^$B$2</f>
        <v>91.1901223907926</v>
      </c>
      <c r="M63" s="1" t="n">
        <f aca="false">L63-H63</f>
        <v>0.345348182476286</v>
      </c>
      <c r="N63" s="1" t="n">
        <f aca="false">L63</f>
        <v>91.1901223907926</v>
      </c>
      <c r="O63" s="1" t="n">
        <f aca="false">N63/N62-1</f>
        <v>0.0605370052199621</v>
      </c>
      <c r="P63" s="1" t="n">
        <f aca="false">H63/H62-1</f>
        <v>0.0591529089503482</v>
      </c>
    </row>
    <row r="64" customFormat="false" ht="12" hidden="false" customHeight="true" outlineLevel="0" collapsed="false">
      <c r="C64" s="1" t="n">
        <v>2030</v>
      </c>
      <c r="D64" s="1" t="n">
        <f aca="false">E64/F64</f>
        <v>6069.80741216054</v>
      </c>
      <c r="E64" s="22" t="n">
        <f aca="false">AVERAGE($D$49:$D$57)*F64</f>
        <v>554205.930412386</v>
      </c>
      <c r="F64" s="24" t="n">
        <f aca="false">WEO_Data!C38</f>
        <v>91.305356625</v>
      </c>
      <c r="G64" s="23" t="n">
        <f aca="false">TREND($G$36:$G$57,$C$36:$C$57,C64)</f>
        <v>-0.0622303460418863</v>
      </c>
      <c r="H64" s="1" t="n">
        <f aca="false">EXP(G64)*E64^$B$2</f>
        <v>96.2185068656758</v>
      </c>
      <c r="I64" s="25" t="n">
        <f aca="false">Investment!C6</f>
        <v>2122.46787645573</v>
      </c>
      <c r="J64" s="1" t="n">
        <f aca="false">J63*(1-$B$3)+I64</f>
        <v>7787.85774783884</v>
      </c>
      <c r="K64" s="21" t="n">
        <f aca="false">E64+J64</f>
        <v>561993.788160225</v>
      </c>
      <c r="L64" s="1" t="n">
        <f aca="false">EXP(G64)*K64^$B$2</f>
        <v>96.6895935126453</v>
      </c>
      <c r="M64" s="1" t="n">
        <f aca="false">L64-H64</f>
        <v>0.471086646969468</v>
      </c>
      <c r="N64" s="1" t="n">
        <f aca="false">L64</f>
        <v>96.6895935126453</v>
      </c>
      <c r="O64" s="1" t="n">
        <f aca="false">N64/N63-1</f>
        <v>0.0603077502000142</v>
      </c>
      <c r="P64" s="1" t="n">
        <f aca="false">H64/H63-1</f>
        <v>0.0591529089503482</v>
      </c>
    </row>
    <row r="65" customFormat="false" ht="12" hidden="false" customHeight="true" outlineLevel="0" collapsed="false">
      <c r="C65" s="1" t="n">
        <v>2031</v>
      </c>
      <c r="D65" s="1" t="n">
        <f aca="false">E65/F65</f>
        <v>6069.80741216053</v>
      </c>
      <c r="E65" s="22" t="n">
        <f aca="false">AVERAGE($D$49:$D$57)*F65</f>
        <v>581916.226933005</v>
      </c>
      <c r="F65" s="24" t="n">
        <f aca="false">WEO_Data!C39</f>
        <v>95.87062445625</v>
      </c>
      <c r="G65" s="23" t="n">
        <f aca="false">TREND($G$36:$G$57,$C$36:$C$57,C65)</f>
        <v>-0.021837457361471</v>
      </c>
      <c r="H65" s="1" t="n">
        <f aca="false">EXP(G65)*E65^$B$2</f>
        <v>101.91011144164</v>
      </c>
      <c r="I65" s="25" t="n">
        <f aca="false">Investment!C7</f>
        <v>1524.52458527675</v>
      </c>
      <c r="J65" s="1" t="n">
        <f aca="false">J64*(1-$B$3)+I65</f>
        <v>9193.63075804527</v>
      </c>
      <c r="K65" s="21" t="n">
        <f aca="false">E65+J65</f>
        <v>591109.857691051</v>
      </c>
      <c r="L65" s="1" t="n">
        <f aca="false">EXP(G65)*K65^$B$2</f>
        <v>102.470766177516</v>
      </c>
      <c r="M65" s="1" t="n">
        <f aca="false">L65-H65</f>
        <v>0.560654735876909</v>
      </c>
      <c r="N65" s="1" t="n">
        <f aca="false">L65</f>
        <v>102.470766177516</v>
      </c>
      <c r="O65" s="1" t="n">
        <f aca="false">N65/N64-1</f>
        <v>0.0597910535647783</v>
      </c>
      <c r="P65" s="1" t="n">
        <f aca="false">H65/H64-1</f>
        <v>0.0591529089503482</v>
      </c>
    </row>
    <row r="66" customFormat="false" ht="12" hidden="false" customHeight="true" outlineLevel="0" collapsed="false">
      <c r="C66" s="1" t="n">
        <v>2032</v>
      </c>
      <c r="D66" s="1" t="n">
        <f aca="false">E66/F66</f>
        <v>6069.80741216053</v>
      </c>
      <c r="E66" s="22" t="n">
        <f aca="false">AVERAGE($D$49:$D$57)*F66</f>
        <v>611012.038279656</v>
      </c>
      <c r="F66" s="24" t="n">
        <f aca="false">WEO_Data!C40</f>
        <v>100.664155679063</v>
      </c>
      <c r="G66" s="23" t="n">
        <f aca="false">TREND($G$36:$G$57,$C$36:$C$57,C66)</f>
        <v>0.0185554313189442</v>
      </c>
      <c r="H66" s="1" t="n">
        <f aca="false">EXP(G66)*E66^$B$2</f>
        <v>107.938390984867</v>
      </c>
      <c r="I66" s="25" t="n">
        <f aca="false">Investment!C8</f>
        <v>738.176310559893</v>
      </c>
      <c r="J66" s="1" t="n">
        <f aca="false">J65*(1-$B$3)+I66</f>
        <v>9791.61984787224</v>
      </c>
      <c r="K66" s="21" t="n">
        <f aca="false">E66+J66</f>
        <v>620803.658127528</v>
      </c>
      <c r="L66" s="1" t="n">
        <f aca="false">EXP(G66)*K66^$B$2</f>
        <v>108.540674234809</v>
      </c>
      <c r="M66" s="1" t="n">
        <f aca="false">L66-H66</f>
        <v>0.602283249942246</v>
      </c>
      <c r="N66" s="1" t="n">
        <f aca="false">L66</f>
        <v>108.540674234809</v>
      </c>
      <c r="O66" s="1" t="n">
        <f aca="false">N66/N65-1</f>
        <v>0.0592355096357649</v>
      </c>
      <c r="P66" s="1" t="n">
        <f aca="false">H66/H65-1</f>
        <v>0.0591529089503482</v>
      </c>
    </row>
    <row r="67" customFormat="false" ht="12" hidden="false" customHeight="true" outlineLevel="0" collapsed="false">
      <c r="C67" s="1" t="n">
        <v>2033</v>
      </c>
      <c r="D67" s="1" t="n">
        <f aca="false">E67/F67</f>
        <v>6069.80741216053</v>
      </c>
      <c r="E67" s="22" t="n">
        <f aca="false">AVERAGE($D$49:$D$57)*F67</f>
        <v>641562.640193639</v>
      </c>
      <c r="F67" s="24" t="n">
        <f aca="false">WEO_Data!C41</f>
        <v>105.697363463016</v>
      </c>
      <c r="G67" s="23" t="n">
        <f aca="false">TREND($G$36:$G$57,$C$36:$C$57,C67)</f>
        <v>0.0589483199993595</v>
      </c>
      <c r="H67" s="1" t="n">
        <f aca="false">EXP(G67)*E67^$B$2</f>
        <v>114.323260799042</v>
      </c>
      <c r="I67" s="25" t="n">
        <f aca="false">Investment!C9</f>
        <v>352.605976897002</v>
      </c>
      <c r="J67" s="1" t="n">
        <f aca="false">J66*(1-$B$3)+I67</f>
        <v>9994.92028824383</v>
      </c>
      <c r="K67" s="21" t="n">
        <f aca="false">E67+J67</f>
        <v>651557.560481882</v>
      </c>
      <c r="L67" s="1" t="n">
        <f aca="false">EXP(G67)*K67^$B$2</f>
        <v>114.943497072898</v>
      </c>
      <c r="M67" s="1" t="n">
        <f aca="false">L67-H67</f>
        <v>0.620236273856492</v>
      </c>
      <c r="N67" s="1" t="n">
        <f aca="false">L67</f>
        <v>114.943497072898</v>
      </c>
      <c r="O67" s="1" t="n">
        <f aca="false">N67/N66-1</f>
        <v>0.0589900779889923</v>
      </c>
      <c r="P67" s="1" t="n">
        <f aca="false">H67/H66-1</f>
        <v>0.0591529089503484</v>
      </c>
    </row>
    <row r="68" customFormat="false" ht="12" hidden="false" customHeight="true" outlineLevel="0" collapsed="false">
      <c r="C68" s="1" t="n">
        <v>2034</v>
      </c>
      <c r="D68" s="1" t="n">
        <f aca="false">E68/F68</f>
        <v>6069.80741216053</v>
      </c>
      <c r="E68" s="22" t="n">
        <f aca="false">AVERAGE($D$49:$D$57)*F68</f>
        <v>673640.77220332</v>
      </c>
      <c r="F68" s="24" t="n">
        <f aca="false">WEO_Data!C42</f>
        <v>110.982231636166</v>
      </c>
      <c r="G68" s="23" t="n">
        <f aca="false">TREND($G$36:$G$57,$C$36:$C$57,C68)</f>
        <v>0.0993412086797747</v>
      </c>
      <c r="H68" s="1" t="n">
        <f aca="false">EXP(G68)*E68^$B$2</f>
        <v>121.085814235994</v>
      </c>
      <c r="I68" s="1" t="n">
        <v>0</v>
      </c>
      <c r="J68" s="1" t="n">
        <f aca="false">J67*(1-$B$3)+I68</f>
        <v>9842.51476603708</v>
      </c>
      <c r="K68" s="21" t="n">
        <f aca="false">E68+J68</f>
        <v>683483.286969358</v>
      </c>
      <c r="L68" s="1" t="n">
        <f aca="false">EXP(G68)*K68^$B$2</f>
        <v>121.702108791744</v>
      </c>
      <c r="M68" s="1" t="n">
        <f aca="false">L68-H68</f>
        <v>0.616294555749391</v>
      </c>
      <c r="N68" s="1" t="n">
        <f aca="false">L68</f>
        <v>121.702108791744</v>
      </c>
      <c r="O68" s="1" t="n">
        <f aca="false">N68/N67-1</f>
        <v>0.0587994265961749</v>
      </c>
      <c r="P68" s="1" t="n">
        <f aca="false">H68/H67-1</f>
        <v>0.0591529089503482</v>
      </c>
    </row>
    <row r="69" customFormat="false" ht="12" hidden="false" customHeight="true" outlineLevel="0" collapsed="false">
      <c r="C69" s="1" t="n">
        <v>2035</v>
      </c>
      <c r="D69" s="1" t="n">
        <f aca="false">E69/F69</f>
        <v>6069.80741216053</v>
      </c>
      <c r="E69" s="22" t="n">
        <f aca="false">AVERAGE($D$49:$D$57)*F69</f>
        <v>707322.810813487</v>
      </c>
      <c r="F69" s="24" t="n">
        <f aca="false">WEO_Data!C43</f>
        <v>116.531343217975</v>
      </c>
      <c r="G69" s="23" t="n">
        <f aca="false">TREND($G$36:$G$57,$C$36:$C$57,C69)</f>
        <v>0.13973409736019</v>
      </c>
      <c r="H69" s="1" t="n">
        <f aca="false">EXP(G69)*E69^$B$2</f>
        <v>128.248392380675</v>
      </c>
      <c r="I69" s="1" t="n">
        <v>0</v>
      </c>
      <c r="J69" s="1" t="n">
        <f aca="false">J68*(1-$B$3)+I69</f>
        <v>9692.43316863706</v>
      </c>
      <c r="K69" s="21" t="n">
        <f aca="false">E69+J69</f>
        <v>717015.243982124</v>
      </c>
      <c r="L69" s="1" t="n">
        <f aca="false">EXP(G69)*K69^$B$2</f>
        <v>128.860758562215</v>
      </c>
      <c r="M69" s="1" t="n">
        <f aca="false">L69-H69</f>
        <v>0.612366181539983</v>
      </c>
      <c r="N69" s="1" t="n">
        <f aca="false">L69</f>
        <v>128.860758562215</v>
      </c>
      <c r="O69" s="1" t="n">
        <f aca="false">N69/N68-1</f>
        <v>0.058821082408038</v>
      </c>
      <c r="P69" s="1" t="n">
        <f aca="false">H69/H68-1</f>
        <v>0.0591529089503482</v>
      </c>
    </row>
    <row r="70" customFormat="false" ht="12" hidden="false" customHeight="true" outlineLevel="0" collapsed="false">
      <c r="C70" s="1" t="n">
        <v>2036</v>
      </c>
      <c r="D70" s="1" t="n">
        <f aca="false">E70/F70</f>
        <v>6069.80741216053</v>
      </c>
      <c r="E70" s="22" t="n">
        <f aca="false">AVERAGE($D$49:$D$57)*F70</f>
        <v>742688.951354161</v>
      </c>
      <c r="F70" s="24" t="n">
        <f aca="false">WEO_Data!C44</f>
        <v>122.357910378874</v>
      </c>
      <c r="G70" s="23" t="n">
        <f aca="false">TREND($G$36:$G$57,$C$36:$C$57,C70)</f>
        <v>0.180126986040605</v>
      </c>
      <c r="H70" s="1" t="n">
        <f aca="false">EXP(G70)*E70^$B$2</f>
        <v>135.834657858197</v>
      </c>
      <c r="I70" s="1" t="n">
        <v>0</v>
      </c>
      <c r="J70" s="1" t="n">
        <f aca="false">J69*(1-$B$3)+I70</f>
        <v>9544.64006014597</v>
      </c>
      <c r="K70" s="21" t="n">
        <f aca="false">E70+J70</f>
        <v>752233.591414307</v>
      </c>
      <c r="L70" s="1" t="n">
        <f aca="false">EXP(G70)*K70^$B$2</f>
        <v>136.44310978172</v>
      </c>
      <c r="M70" s="1" t="n">
        <f aca="false">L70-H70</f>
        <v>0.608451923522608</v>
      </c>
      <c r="N70" s="1" t="n">
        <f aca="false">L70</f>
        <v>136.44310978172</v>
      </c>
      <c r="O70" s="1" t="n">
        <f aca="false">N70/N69-1</f>
        <v>0.0588414293389745</v>
      </c>
      <c r="P70" s="1" t="n">
        <f aca="false">H70/H69-1</f>
        <v>0.0591529089503484</v>
      </c>
    </row>
    <row r="71" customFormat="false" ht="12" hidden="false" customHeight="true" outlineLevel="0" collapsed="false">
      <c r="C71" s="1" t="n">
        <v>2037</v>
      </c>
      <c r="D71" s="1" t="n">
        <f aca="false">E71/F71</f>
        <v>6069.80741216053</v>
      </c>
      <c r="E71" s="22" t="n">
        <f aca="false">AVERAGE($D$49:$D$57)*F71</f>
        <v>779823.398921869</v>
      </c>
      <c r="F71" s="24" t="n">
        <f aca="false">WEO_Data!C45</f>
        <v>128.475805897817</v>
      </c>
      <c r="G71" s="23" t="n">
        <f aca="false">TREND($G$36:$G$57,$C$36:$C$57,C71)</f>
        <v>0.22051987472102</v>
      </c>
      <c r="H71" s="1" t="n">
        <f aca="false">EXP(G71)*E71^$B$2</f>
        <v>143.869673006785</v>
      </c>
      <c r="I71" s="1" t="n">
        <v>0</v>
      </c>
      <c r="J71" s="1" t="n">
        <f aca="false">J70*(1-$B$3)+I71</f>
        <v>9399.10054500316</v>
      </c>
      <c r="K71" s="21" t="n">
        <f aca="false">E71+J71</f>
        <v>789222.499466872</v>
      </c>
      <c r="L71" s="1" t="n">
        <f aca="false">EXP(G71)*K71^$B$2</f>
        <v>144.474225499545</v>
      </c>
      <c r="M71" s="1" t="n">
        <f aca="false">L71-H71</f>
        <v>0.604552492760035</v>
      </c>
      <c r="N71" s="1" t="n">
        <f aca="false">L71</f>
        <v>144.474225499545</v>
      </c>
      <c r="O71" s="1" t="n">
        <f aca="false">N71/N70-1</f>
        <v>0.0588605443739387</v>
      </c>
      <c r="P71" s="1" t="n">
        <f aca="false">H71/H70-1</f>
        <v>0.0591529089503484</v>
      </c>
    </row>
    <row r="72" customFormat="false" ht="12" hidden="false" customHeight="true" outlineLevel="0" collapsed="false">
      <c r="C72" s="1" t="n">
        <v>2038</v>
      </c>
      <c r="D72" s="1" t="n">
        <f aca="false">E72/F72</f>
        <v>6069.80741216053</v>
      </c>
      <c r="E72" s="22" t="n">
        <f aca="false">AVERAGE($D$49:$D$57)*F72</f>
        <v>818814.568867962</v>
      </c>
      <c r="F72" s="24" t="n">
        <f aca="false">WEO_Data!C46</f>
        <v>134.899596192708</v>
      </c>
      <c r="G72" s="23" t="n">
        <f aca="false">TREND($G$36:$G$57,$C$36:$C$57,C72)</f>
        <v>0.260912763401421</v>
      </c>
      <c r="H72" s="1" t="n">
        <f aca="false">EXP(G72)*E72^$B$2</f>
        <v>152.37998267487</v>
      </c>
      <c r="I72" s="1" t="n">
        <v>0</v>
      </c>
      <c r="J72" s="1" t="n">
        <f aca="false">J71*(1-$B$3)+I72</f>
        <v>9255.78025974588</v>
      </c>
      <c r="K72" s="21" t="n">
        <f aca="false">E72+J72</f>
        <v>828070.349127708</v>
      </c>
      <c r="L72" s="1" t="n">
        <f aca="false">EXP(G72)*K72^$B$2</f>
        <v>152.98065121785</v>
      </c>
      <c r="M72" s="1" t="n">
        <f aca="false">L72-H72</f>
        <v>0.600668542980685</v>
      </c>
      <c r="N72" s="1" t="n">
        <f aca="false">L72</f>
        <v>152.98065121785</v>
      </c>
      <c r="O72" s="1" t="n">
        <f aca="false">N72/N71-1</f>
        <v>0.0588785002230863</v>
      </c>
      <c r="P72" s="1" t="n">
        <f aca="false">H72/H71-1</f>
        <v>0.0591529089503331</v>
      </c>
    </row>
    <row r="73" customFormat="false" ht="12" hidden="false" customHeight="true" outlineLevel="0" collapsed="false">
      <c r="C73" s="1" t="n">
        <v>2039</v>
      </c>
      <c r="D73" s="1" t="n">
        <f aca="false">E73/F73</f>
        <v>6069.80741216053</v>
      </c>
      <c r="E73" s="22" t="n">
        <f aca="false">AVERAGE($D$49:$D$57)*F73</f>
        <v>859755.297311361</v>
      </c>
      <c r="F73" s="24" t="n">
        <f aca="false">WEO_Data!C47</f>
        <v>141.644576002343</v>
      </c>
      <c r="G73" s="23" t="n">
        <f aca="false">TREND($G$36:$G$57,$C$36:$C$57,C73)</f>
        <v>0.301305652081837</v>
      </c>
      <c r="H73" s="1" t="n">
        <f aca="false">EXP(G73)*E73^$B$2</f>
        <v>161.393701915892</v>
      </c>
      <c r="I73" s="1" t="n">
        <v>0</v>
      </c>
      <c r="J73" s="1" t="n">
        <f aca="false">J72*(1-$B$3)+I73</f>
        <v>9114.64536489567</v>
      </c>
      <c r="K73" s="21" t="n">
        <f aca="false">E73+J73</f>
        <v>868869.942676256</v>
      </c>
      <c r="L73" s="1" t="n">
        <f aca="false">EXP(G73)*K73^$B$2</f>
        <v>161.990502590145</v>
      </c>
      <c r="M73" s="1" t="n">
        <f aca="false">L73-H73</f>
        <v>0.59680067425353</v>
      </c>
      <c r="N73" s="1" t="n">
        <f aca="false">L73</f>
        <v>161.990502590145</v>
      </c>
      <c r="O73" s="1" t="n">
        <f aca="false">N73/N72-1</f>
        <v>0.0588953655287077</v>
      </c>
      <c r="P73" s="1" t="n">
        <f aca="false">H73/H72-1</f>
        <v>0.0591529089503482</v>
      </c>
    </row>
    <row r="74" customFormat="false" ht="12" hidden="false" customHeight="true" outlineLevel="0" collapsed="false">
      <c r="C74" s="1" t="n">
        <v>2040</v>
      </c>
      <c r="D74" s="1" t="n">
        <f aca="false">E74/F74</f>
        <v>6069.80741216053</v>
      </c>
      <c r="E74" s="22" t="n">
        <f aca="false">AVERAGE($D$49:$D$57)*F74</f>
        <v>902743.062176929</v>
      </c>
      <c r="F74" s="24" t="n">
        <f aca="false">WEO_Data!C48</f>
        <v>148.726804802461</v>
      </c>
      <c r="G74" s="23" t="n">
        <f aca="false">TREND($G$36:$G$57,$C$36:$C$57,C74)</f>
        <v>0.341698540762252</v>
      </c>
      <c r="H74" s="1" t="n">
        <f aca="false">EXP(G74)*E74^$B$2</f>
        <v>170.940608870482</v>
      </c>
      <c r="I74" s="1" t="n">
        <v>0</v>
      </c>
      <c r="J74" s="1" t="n">
        <f aca="false">J73*(1-$B$3)+I74</f>
        <v>8975.66253696855</v>
      </c>
      <c r="K74" s="21" t="n">
        <f aca="false">E74+J74</f>
        <v>911718.724713897</v>
      </c>
      <c r="L74" s="1" t="n">
        <f aca="false">EXP(G74)*K74^$B$2</f>
        <v>171.533558306933</v>
      </c>
      <c r="M74" s="1" t="n">
        <f aca="false">L74-H74</f>
        <v>0.592949436450283</v>
      </c>
      <c r="N74" s="1" t="n">
        <f aca="false">L74</f>
        <v>171.533558306933</v>
      </c>
      <c r="O74" s="1" t="n">
        <f aca="false">N74/N73-1</f>
        <v>0.0589112050657203</v>
      </c>
      <c r="P74" s="1" t="n">
        <f aca="false">H74/H73-1</f>
        <v>0.0591529089503484</v>
      </c>
    </row>
    <row r="75" customFormat="false" ht="12" hidden="false" customHeight="true" outlineLevel="0" collapsed="false">
      <c r="C75" s="1" t="n">
        <v>2041</v>
      </c>
      <c r="D75" s="1" t="n">
        <f aca="false">E75/F75</f>
        <v>6069.80741216053</v>
      </c>
      <c r="E75" s="22" t="n">
        <f aca="false">AVERAGE($D$49:$D$57)*F75</f>
        <v>947880.215285775</v>
      </c>
      <c r="F75" s="24" t="n">
        <f aca="false">WEO_Data!C49</f>
        <v>156.163145042584</v>
      </c>
      <c r="G75" s="23" t="n">
        <f aca="false">TREND($G$36:$G$57,$C$36:$C$57,C75)</f>
        <v>0.382091429442667</v>
      </c>
      <c r="H75" s="1" t="n">
        <f aca="false">EXP(G75)*E75^$B$2</f>
        <v>181.052243142915</v>
      </c>
      <c r="I75" s="1" t="n">
        <v>0</v>
      </c>
      <c r="J75" s="1" t="n">
        <f aca="false">J74*(1-$B$3)+I75</f>
        <v>8838.79896060694</v>
      </c>
      <c r="K75" s="21" t="n">
        <f aca="false">E75+J75</f>
        <v>956719.014246382</v>
      </c>
      <c r="L75" s="1" t="n">
        <f aca="false">EXP(G75)*K75^$B$2</f>
        <v>181.64135847542</v>
      </c>
      <c r="M75" s="1" t="n">
        <f aca="false">L75-H75</f>
        <v>0.589115332505145</v>
      </c>
      <c r="N75" s="1" t="n">
        <f aca="false">L75</f>
        <v>181.64135847542</v>
      </c>
      <c r="O75" s="1" t="n">
        <f aca="false">N75/N74-1</f>
        <v>0.0589260799359228</v>
      </c>
      <c r="P75" s="1" t="n">
        <f aca="false">H75/H74-1</f>
        <v>0.0591529089503482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26" customFormat="true" ht="36.75" hidden="false" customHeight="true" outlineLevel="0" collapsed="false">
      <c r="B1" s="27" t="s">
        <v>28</v>
      </c>
      <c r="C1" s="27" t="s">
        <v>29</v>
      </c>
    </row>
    <row r="2" customFormat="false" ht="12" hidden="false" customHeight="true" outlineLevel="0" collapsed="false">
      <c r="B2" s="28" t="n">
        <v>2026</v>
      </c>
      <c r="C2" s="1" t="n">
        <v>648.589313756442</v>
      </c>
    </row>
    <row r="3" customFormat="false" ht="12" hidden="false" customHeight="true" outlineLevel="0" collapsed="false">
      <c r="B3" s="28" t="n">
        <v>2027</v>
      </c>
      <c r="C3" s="1" t="n">
        <v>1220.08019689654</v>
      </c>
    </row>
    <row r="4" customFormat="false" ht="12" hidden="false" customHeight="true" outlineLevel="0" collapsed="false">
      <c r="B4" s="28" t="n">
        <v>2028</v>
      </c>
      <c r="C4" s="1" t="n">
        <v>1756.17368014315</v>
      </c>
    </row>
    <row r="5" customFormat="false" ht="12" hidden="false" customHeight="true" outlineLevel="0" collapsed="false">
      <c r="B5" s="28" t="n">
        <v>2029</v>
      </c>
      <c r="C5" s="1" t="n">
        <v>2221.19470098522</v>
      </c>
    </row>
    <row r="6" customFormat="false" ht="12" hidden="false" customHeight="true" outlineLevel="0" collapsed="false">
      <c r="B6" s="28" t="n">
        <v>2030</v>
      </c>
      <c r="C6" s="1" t="n">
        <v>2122.46787645573</v>
      </c>
    </row>
    <row r="7" customFormat="false" ht="12" hidden="false" customHeight="true" outlineLevel="0" collapsed="false">
      <c r="B7" s="28" t="n">
        <v>2031</v>
      </c>
      <c r="C7" s="1" t="n">
        <v>1524.52458527675</v>
      </c>
    </row>
    <row r="8" customFormat="false" ht="12" hidden="false" customHeight="true" outlineLevel="0" collapsed="false">
      <c r="B8" s="28" t="n">
        <v>2032</v>
      </c>
      <c r="C8" s="1" t="n">
        <v>738.176310559893</v>
      </c>
    </row>
    <row r="9" customFormat="false" ht="12" hidden="false" customHeight="true" outlineLevel="0" collapsed="false">
      <c r="B9" s="28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customFormat="false" ht="12" hidden="false" customHeight="true" outlineLevel="0" collapsed="false">
      <c r="A2" s="29" t="n">
        <v>35430</v>
      </c>
      <c r="B2" s="1" t="n">
        <v>1996</v>
      </c>
      <c r="C2" s="30" t="n">
        <v>304.5150917602</v>
      </c>
      <c r="D2" s="15" t="n">
        <f aca="false">PWT!B8</f>
        <v>196366.453125</v>
      </c>
      <c r="E2" s="1" t="n">
        <f aca="false">IFERROR(C2/D2,"")</f>
        <v>0.00155074905572774</v>
      </c>
    </row>
    <row r="3" customFormat="false" ht="12" hidden="false" customHeight="true" outlineLevel="0" collapsed="false">
      <c r="A3" s="29" t="n">
        <v>35795</v>
      </c>
      <c r="B3" s="1" t="n">
        <v>1997</v>
      </c>
      <c r="C3" s="30" t="n">
        <v>383.641663608596</v>
      </c>
      <c r="D3" s="15" t="n">
        <f aca="false">PWT!B9</f>
        <v>194417.84375</v>
      </c>
      <c r="E3" s="1" t="n">
        <f aca="false">IFERROR(C3/D3,"")</f>
        <v>0.00197328422231612</v>
      </c>
    </row>
    <row r="4" customFormat="false" ht="12" hidden="false" customHeight="true" outlineLevel="0" collapsed="false">
      <c r="A4" s="29" t="n">
        <v>36160</v>
      </c>
      <c r="B4" s="1" t="n">
        <v>1998</v>
      </c>
      <c r="C4" s="30" t="n">
        <v>516.397121222809</v>
      </c>
      <c r="D4" s="15" t="n">
        <f aca="false">PWT!B10</f>
        <v>194516.296875</v>
      </c>
      <c r="E4" s="1" t="n">
        <f aca="false">IFERROR(C4/D4,"")</f>
        <v>0.00265477561273262</v>
      </c>
    </row>
    <row r="5" customFormat="false" ht="12" hidden="false" customHeight="true" outlineLevel="0" collapsed="false">
      <c r="A5" s="29" t="n">
        <v>36525</v>
      </c>
      <c r="B5" s="1" t="n">
        <v>1999</v>
      </c>
      <c r="C5" s="30" t="n">
        <v>661.603834429231</v>
      </c>
      <c r="D5" s="15" t="n">
        <f aca="false">PWT!B11</f>
        <v>194964.5625</v>
      </c>
      <c r="E5" s="1" t="n">
        <f aca="false">IFERROR(C5/D5,"")</f>
        <v>0.00339345687208788</v>
      </c>
    </row>
    <row r="6" customFormat="false" ht="12" hidden="false" customHeight="true" outlineLevel="0" collapsed="false">
      <c r="A6" s="29" t="n">
        <v>36891</v>
      </c>
      <c r="B6" s="1" t="n">
        <v>2000</v>
      </c>
      <c r="C6" s="30" t="n">
        <v>631.70100088782</v>
      </c>
      <c r="D6" s="15" t="n">
        <f aca="false">PWT!B12</f>
        <v>195327.078125</v>
      </c>
      <c r="E6" s="1" t="n">
        <f aca="false">IFERROR(C6/D6,"")</f>
        <v>0.00323406773372999</v>
      </c>
    </row>
    <row r="7" customFormat="false" ht="12" hidden="false" customHeight="true" outlineLevel="0" collapsed="false">
      <c r="A7" s="29" t="n">
        <v>37256</v>
      </c>
      <c r="B7" s="1" t="n">
        <v>2001</v>
      </c>
      <c r="C7" s="30" t="n">
        <v>706.983726789065</v>
      </c>
      <c r="D7" s="15" t="n">
        <f aca="false">PWT!B13</f>
        <v>196512.453125</v>
      </c>
      <c r="E7" s="1" t="n">
        <f aca="false">IFERROR(C7/D7,"")</f>
        <v>0.00359765356111736</v>
      </c>
    </row>
    <row r="8" customFormat="false" ht="12" hidden="false" customHeight="true" outlineLevel="0" collapsed="false">
      <c r="A8" s="29" t="n">
        <v>37621</v>
      </c>
      <c r="B8" s="1" t="n">
        <v>2002</v>
      </c>
      <c r="C8" s="30" t="n">
        <v>790.112565198609</v>
      </c>
      <c r="D8" s="15" t="n">
        <f aca="false">PWT!B14</f>
        <v>197317.59375</v>
      </c>
      <c r="E8" s="1" t="n">
        <f aca="false">IFERROR(C8/D8,"")</f>
        <v>0.00400426819617351</v>
      </c>
    </row>
    <row r="9" customFormat="false" ht="12" hidden="false" customHeight="true" outlineLevel="0" collapsed="false">
      <c r="A9" s="29" t="n">
        <v>37986</v>
      </c>
      <c r="B9" s="1" t="n">
        <v>2003</v>
      </c>
      <c r="C9" s="30" t="n">
        <v>932.916219671159</v>
      </c>
      <c r="D9" s="15" t="n">
        <f aca="false">PWT!B15</f>
        <v>199678.921875</v>
      </c>
      <c r="E9" s="1" t="n">
        <f aca="false">IFERROR(C9/D9,"")</f>
        <v>0.00467208161437875</v>
      </c>
    </row>
    <row r="10" customFormat="false" ht="12" hidden="false" customHeight="true" outlineLevel="0" collapsed="false">
      <c r="A10" s="29" t="n">
        <v>38352</v>
      </c>
      <c r="B10" s="1" t="n">
        <v>2004</v>
      </c>
      <c r="C10" s="30" t="n">
        <v>976.818537799271</v>
      </c>
      <c r="D10" s="15" t="n">
        <f aca="false">PWT!B16</f>
        <v>202658.8125</v>
      </c>
      <c r="E10" s="1" t="n">
        <f aca="false">IFERROR(C10/D10,"")</f>
        <v>0.0048200151069141</v>
      </c>
    </row>
    <row r="11" customFormat="false" ht="12" hidden="false" customHeight="true" outlineLevel="0" collapsed="false">
      <c r="A11" s="29" t="n">
        <v>38717</v>
      </c>
      <c r="B11" s="1" t="n">
        <v>2005</v>
      </c>
      <c r="C11" s="30" t="n">
        <v>1113.45005859263</v>
      </c>
      <c r="D11" s="15" t="n">
        <f aca="false">PWT!B17</f>
        <v>206400.5</v>
      </c>
      <c r="E11" s="1" t="n">
        <f aca="false">IFERROR(C11/D11,"")</f>
        <v>0.00539460930856577</v>
      </c>
    </row>
    <row r="12" customFormat="false" ht="12" hidden="false" customHeight="true" outlineLevel="0" collapsed="false">
      <c r="A12" s="29" t="n">
        <v>39082</v>
      </c>
      <c r="B12" s="1" t="n">
        <v>2006</v>
      </c>
      <c r="C12" s="30" t="n">
        <v>1306.37308413224</v>
      </c>
      <c r="D12" s="15" t="n">
        <f aca="false">PWT!B18</f>
        <v>209660.25</v>
      </c>
      <c r="E12" s="1" t="n">
        <f aca="false">IFERROR(C12/D12,"")</f>
        <v>0.00623090492419159</v>
      </c>
    </row>
    <row r="13" customFormat="false" ht="12" hidden="false" customHeight="true" outlineLevel="0" collapsed="false">
      <c r="A13" s="29" t="n">
        <v>39447</v>
      </c>
      <c r="B13" s="1" t="n">
        <v>2007</v>
      </c>
      <c r="C13" s="30" t="n">
        <v>1617.02996625711</v>
      </c>
      <c r="D13" s="15" t="n">
        <f aca="false">PWT!B19</f>
        <v>213821.375</v>
      </c>
      <c r="E13" s="1" t="n">
        <f aca="false">IFERROR(C13/D13,"")</f>
        <v>0.00756252720878401</v>
      </c>
    </row>
    <row r="14" customFormat="false" ht="12" hidden="false" customHeight="true" outlineLevel="0" collapsed="false">
      <c r="A14" s="29" t="n">
        <v>39813</v>
      </c>
      <c r="B14" s="1" t="n">
        <v>2008</v>
      </c>
      <c r="C14" s="30" t="n">
        <v>1758.0492676717</v>
      </c>
      <c r="D14" s="15" t="n">
        <f aca="false">PWT!B20</f>
        <v>215825.90625</v>
      </c>
      <c r="E14" s="1" t="n">
        <f aca="false">IFERROR(C14/D14,"")</f>
        <v>0.00814568231505665</v>
      </c>
    </row>
    <row r="15" customFormat="false" ht="12" hidden="false" customHeight="true" outlineLevel="0" collapsed="false">
      <c r="A15" s="29" t="n">
        <v>40178</v>
      </c>
      <c r="B15" s="1" t="n">
        <v>2009</v>
      </c>
      <c r="C15" s="30" t="n">
        <v>1751.36668488131</v>
      </c>
      <c r="D15" s="15" t="n">
        <f aca="false">PWT!B21</f>
        <v>214505.90625</v>
      </c>
      <c r="E15" s="1" t="n">
        <f aca="false">IFERROR(C15/D15,"")</f>
        <v>0.00816465483631088</v>
      </c>
    </row>
    <row r="16" customFormat="false" ht="12" hidden="false" customHeight="true" outlineLevel="0" collapsed="false">
      <c r="A16" s="29" t="n">
        <v>40543</v>
      </c>
      <c r="B16" s="1" t="n">
        <v>2010</v>
      </c>
      <c r="C16" s="30" t="n">
        <v>2046.41323466733</v>
      </c>
      <c r="D16" s="15" t="n">
        <f aca="false">PWT!B22</f>
        <v>215740.28125</v>
      </c>
      <c r="E16" s="1" t="n">
        <f aca="false">IFERROR(C16/D16,"")</f>
        <v>0.00948554077528037</v>
      </c>
    </row>
    <row r="17" customFormat="false" ht="12" hidden="false" customHeight="true" outlineLevel="0" collapsed="false">
      <c r="A17" s="29" t="n">
        <v>40908</v>
      </c>
      <c r="B17" s="1" t="n">
        <v>2011</v>
      </c>
      <c r="C17" s="30" t="n">
        <v>2350.51240590543</v>
      </c>
      <c r="D17" s="15" t="n">
        <f aca="false">PWT!B23</f>
        <v>218333.703125</v>
      </c>
      <c r="E17" s="1" t="n">
        <f aca="false">IFERROR(C17/D17,"")</f>
        <v>0.0107656874420333</v>
      </c>
    </row>
    <row r="18" customFormat="false" ht="12" hidden="false" customHeight="true" outlineLevel="0" collapsed="false">
      <c r="A18" s="29" t="n">
        <v>41274</v>
      </c>
      <c r="B18" s="1" t="n">
        <v>2012</v>
      </c>
      <c r="C18" s="30" t="n">
        <v>2643.60288796874</v>
      </c>
      <c r="D18" s="15" t="n">
        <f aca="false">PWT!B24</f>
        <v>221570.09375</v>
      </c>
      <c r="E18" s="1" t="n">
        <f aca="false">IFERROR(C18/D18,"")</f>
        <v>0.0119312261110091</v>
      </c>
    </row>
    <row r="19" customFormat="false" ht="12" hidden="false" customHeight="true" outlineLevel="0" collapsed="false">
      <c r="A19" s="29" t="n">
        <v>41639</v>
      </c>
      <c r="B19" s="1" t="n">
        <v>2013</v>
      </c>
      <c r="C19" s="30" t="n">
        <v>1555.93215231816</v>
      </c>
      <c r="D19" s="15" t="n">
        <f aca="false">PWT!B25</f>
        <v>223431.875</v>
      </c>
      <c r="E19" s="1" t="n">
        <f aca="false">IFERROR(C19/D19,"")</f>
        <v>0.00696378774209436</v>
      </c>
    </row>
    <row r="20" customFormat="false" ht="12" hidden="false" customHeight="true" outlineLevel="0" collapsed="false">
      <c r="A20" s="29" t="n">
        <v>42004</v>
      </c>
      <c r="B20" s="1" t="n">
        <v>2014</v>
      </c>
      <c r="C20" s="30" t="n">
        <v>2984.8904686878</v>
      </c>
      <c r="D20" s="15" t="n">
        <f aca="false">PWT!B26</f>
        <v>227911.96875</v>
      </c>
      <c r="E20" s="1" t="n">
        <f aca="false">IFERROR(C20/D20,"")</f>
        <v>0.0130966815172483</v>
      </c>
    </row>
    <row r="21" customFormat="false" ht="12" hidden="false" customHeight="true" outlineLevel="0" collapsed="false">
      <c r="A21" s="29" t="n">
        <v>42369</v>
      </c>
      <c r="B21" s="1" t="n">
        <v>2015</v>
      </c>
      <c r="C21" s="30" t="n">
        <v>3657.28067254249</v>
      </c>
      <c r="D21" s="15" t="n">
        <f aca="false">PWT!B27</f>
        <v>234164.859375</v>
      </c>
      <c r="E21" s="1" t="n">
        <f aca="false">IFERROR(C21/D21,"")</f>
        <v>0.015618400994513</v>
      </c>
    </row>
    <row r="22" customFormat="false" ht="12" hidden="false" customHeight="true" outlineLevel="0" collapsed="false">
      <c r="A22" s="29" t="n">
        <v>42735</v>
      </c>
      <c r="B22" s="1" t="n">
        <v>2016</v>
      </c>
      <c r="C22" s="30" t="n">
        <v>4004.82871985304</v>
      </c>
      <c r="D22" s="15" t="n">
        <f aca="false">PWT!B28</f>
        <v>241138.375</v>
      </c>
      <c r="E22" s="1" t="n">
        <f aca="false">IFERROR(C22/D22,"")</f>
        <v>0.0166080107318175</v>
      </c>
    </row>
    <row r="23" customFormat="false" ht="12" hidden="false" customHeight="true" outlineLevel="0" collapsed="false">
      <c r="A23" s="29" t="n">
        <v>43100</v>
      </c>
      <c r="B23" s="1" t="n">
        <v>2017</v>
      </c>
      <c r="C23" s="30" t="n">
        <v>4492.92133490825</v>
      </c>
      <c r="D23" s="15" t="n">
        <f aca="false">PWT!B29</f>
        <v>248033.09375</v>
      </c>
      <c r="E23" s="1" t="n">
        <f aca="false">IFERROR(C23/D23,"")</f>
        <v>0.0181142010809122</v>
      </c>
    </row>
    <row r="24" customFormat="false" ht="12" hidden="false" customHeight="true" outlineLevel="0" collapsed="false">
      <c r="A24" s="29" t="n">
        <v>43465</v>
      </c>
      <c r="B24" s="1" t="n">
        <v>2018</v>
      </c>
      <c r="C24" s="30" t="n">
        <v>4843.61644028627</v>
      </c>
      <c r="D24" s="15" t="n">
        <f aca="false">PWT!B30</f>
        <v>254809.796875</v>
      </c>
      <c r="E24" s="1" t="n">
        <f aca="false">IFERROR(C24/D24,"")</f>
        <v>0.0190087528018492</v>
      </c>
    </row>
    <row r="25" customFormat="false" ht="12" hidden="false" customHeight="true" outlineLevel="0" collapsed="false">
      <c r="A25" s="29" t="n">
        <v>43830</v>
      </c>
      <c r="B25" s="1" t="n">
        <v>2019</v>
      </c>
      <c r="C25" s="30" t="n">
        <v>5452.95737935004</v>
      </c>
      <c r="D25" s="15" t="n">
        <f aca="false">PWT!B31</f>
        <v>264125.5625</v>
      </c>
      <c r="E25" s="1" t="n">
        <f aca="false">IFERROR(C25/D25,"")</f>
        <v>0.0206453223525082</v>
      </c>
    </row>
    <row r="26" customFormat="false" ht="12" hidden="false" customHeight="true" outlineLevel="0" collapsed="false">
      <c r="A26" s="29" t="n">
        <v>44196</v>
      </c>
      <c r="B26" s="1" t="n">
        <v>2020</v>
      </c>
      <c r="C26" s="30" t="n">
        <v>6152.76926161805</v>
      </c>
      <c r="D26" s="21"/>
      <c r="E26" s="1" t="str">
        <f aca="false">IFERROR(C26/D26,"")</f>
        <v/>
      </c>
    </row>
    <row r="27" customFormat="false" ht="12" hidden="false" customHeight="true" outlineLevel="0" collapsed="false">
      <c r="A27" s="29" t="n">
        <v>44561</v>
      </c>
      <c r="B27" s="1" t="n">
        <v>2021</v>
      </c>
      <c r="C27" s="30" t="n">
        <v>7072.62534889823</v>
      </c>
      <c r="D27" s="21"/>
      <c r="E27" s="1" t="str">
        <f aca="false">IFERROR(C27/D27,"")</f>
        <v/>
      </c>
    </row>
    <row r="28" customFormat="false" ht="12" hidden="false" customHeight="true" outlineLevel="0" collapsed="false">
      <c r="A28" s="29" t="n">
        <v>44926</v>
      </c>
      <c r="B28" s="1" t="n">
        <v>2022</v>
      </c>
      <c r="C28" s="30" t="n">
        <v>7661.44847488107</v>
      </c>
      <c r="D28" s="21"/>
      <c r="E28" s="1" t="str">
        <f aca="false">IFERROR(C28/D28,"")</f>
        <v/>
      </c>
    </row>
    <row r="29" customFormat="false" ht="12" hidden="false" customHeight="true" outlineLevel="0" collapsed="false">
      <c r="A29" s="29" t="n">
        <v>45291</v>
      </c>
      <c r="B29" s="1" t="n">
        <v>2023</v>
      </c>
      <c r="C29" s="30" t="n">
        <v>9410.65784371035</v>
      </c>
      <c r="D29" s="21"/>
      <c r="E29" s="1" t="str">
        <f aca="false">IFERROR(C29/D29,"")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35</v>
      </c>
      <c r="B1" s="1" t="s">
        <v>36</v>
      </c>
      <c r="C1" s="1" t="s">
        <v>37</v>
      </c>
    </row>
    <row r="2" customFormat="false" ht="12" hidden="false" customHeight="true" outlineLevel="0" collapsed="false">
      <c r="A2" s="21" t="n">
        <v>1990</v>
      </c>
      <c r="B2" s="31" t="n">
        <v>217572.265625</v>
      </c>
      <c r="C2" s="30" t="n">
        <v>0.0409876927733421</v>
      </c>
    </row>
    <row r="3" customFormat="false" ht="12" hidden="false" customHeight="true" outlineLevel="0" collapsed="false">
      <c r="A3" s="21" t="n">
        <v>1991</v>
      </c>
      <c r="B3" s="31" t="n">
        <v>219328.421875</v>
      </c>
      <c r="C3" s="30" t="n">
        <v>0.0411101393401623</v>
      </c>
    </row>
    <row r="4" customFormat="false" ht="12" hidden="false" customHeight="true" outlineLevel="0" collapsed="false">
      <c r="A4" s="21" t="n">
        <v>1992</v>
      </c>
      <c r="B4" s="31" t="n">
        <v>215882.453125</v>
      </c>
      <c r="C4" s="30" t="n">
        <v>0.0402217768132687</v>
      </c>
    </row>
    <row r="5" customFormat="false" ht="12" hidden="false" customHeight="true" outlineLevel="0" collapsed="false">
      <c r="A5" s="21" t="n">
        <v>1993</v>
      </c>
      <c r="B5" s="31" t="n">
        <v>207684.890625</v>
      </c>
      <c r="C5" s="30" t="n">
        <v>0.0383810363709927</v>
      </c>
    </row>
    <row r="6" customFormat="false" ht="12" hidden="false" customHeight="true" outlineLevel="0" collapsed="false">
      <c r="A6" s="21" t="n">
        <v>1994</v>
      </c>
      <c r="B6" s="31" t="n">
        <v>202188.8125</v>
      </c>
      <c r="C6" s="30" t="n">
        <v>0.0363293364644051</v>
      </c>
    </row>
    <row r="7" customFormat="false" ht="12" hidden="false" customHeight="true" outlineLevel="0" collapsed="false">
      <c r="A7" s="21" t="n">
        <v>1995</v>
      </c>
      <c r="B7" s="31" t="n">
        <v>198953.859375</v>
      </c>
      <c r="C7" s="30" t="n">
        <v>0.0345928184688091</v>
      </c>
    </row>
    <row r="8" customFormat="false" ht="12" hidden="false" customHeight="true" outlineLevel="0" collapsed="false">
      <c r="A8" s="21" t="n">
        <v>1996</v>
      </c>
      <c r="B8" s="31" t="n">
        <v>196366.453125</v>
      </c>
      <c r="C8" s="30" t="n">
        <v>0.0332761704921722</v>
      </c>
    </row>
    <row r="9" customFormat="false" ht="12" hidden="false" customHeight="true" outlineLevel="0" collapsed="false">
      <c r="A9" s="21" t="n">
        <v>1997</v>
      </c>
      <c r="B9" s="31" t="n">
        <v>194417.84375</v>
      </c>
      <c r="C9" s="30" t="n">
        <v>0.0324203185737133</v>
      </c>
    </row>
    <row r="10" customFormat="false" ht="12" hidden="false" customHeight="true" outlineLevel="0" collapsed="false">
      <c r="A10" s="21" t="n">
        <v>1998</v>
      </c>
      <c r="B10" s="31" t="n">
        <v>194516.296875</v>
      </c>
      <c r="C10" s="30" t="n">
        <v>0.0320817828178406</v>
      </c>
    </row>
    <row r="11" customFormat="false" ht="12" hidden="false" customHeight="true" outlineLevel="0" collapsed="false">
      <c r="A11" s="21" t="n">
        <v>1999</v>
      </c>
      <c r="B11" s="31" t="n">
        <v>194964.5625</v>
      </c>
      <c r="C11" s="30" t="n">
        <v>0.0320508256554604</v>
      </c>
    </row>
    <row r="12" customFormat="false" ht="12" hidden="false" customHeight="true" outlineLevel="0" collapsed="false">
      <c r="A12" s="21" t="n">
        <v>2000</v>
      </c>
      <c r="B12" s="31" t="n">
        <v>195327.078125</v>
      </c>
      <c r="C12" s="30" t="n">
        <v>0.0319277904927731</v>
      </c>
    </row>
    <row r="13" customFormat="false" ht="12" hidden="false" customHeight="true" outlineLevel="0" collapsed="false">
      <c r="A13" s="21" t="n">
        <v>2001</v>
      </c>
      <c r="B13" s="31" t="n">
        <v>196512.453125</v>
      </c>
      <c r="C13" s="30" t="n">
        <v>0.0318394526839256</v>
      </c>
    </row>
    <row r="14" customFormat="false" ht="12" hidden="false" customHeight="true" outlineLevel="0" collapsed="false">
      <c r="A14" s="21" t="n">
        <v>2002</v>
      </c>
      <c r="B14" s="31" t="n">
        <v>197317.59375</v>
      </c>
      <c r="C14" s="30" t="n">
        <v>0.031623836606741</v>
      </c>
    </row>
    <row r="15" customFormat="false" ht="12" hidden="false" customHeight="true" outlineLevel="0" collapsed="false">
      <c r="A15" s="21" t="n">
        <v>2003</v>
      </c>
      <c r="B15" s="31" t="n">
        <v>199678.921875</v>
      </c>
      <c r="C15" s="30" t="n">
        <v>0.031295582652092</v>
      </c>
    </row>
    <row r="16" customFormat="false" ht="12" hidden="false" customHeight="true" outlineLevel="0" collapsed="false">
      <c r="A16" s="21" t="n">
        <v>2004</v>
      </c>
      <c r="B16" s="31" t="n">
        <v>202658.8125</v>
      </c>
      <c r="C16" s="30" t="n">
        <v>0.0317361392080784</v>
      </c>
    </row>
    <row r="17" customFormat="false" ht="12" hidden="false" customHeight="true" outlineLevel="0" collapsed="false">
      <c r="A17" s="21" t="n">
        <v>2005</v>
      </c>
      <c r="B17" s="31" t="n">
        <v>206400.5</v>
      </c>
      <c r="C17" s="30" t="n">
        <v>0.0330189391970635</v>
      </c>
    </row>
    <row r="18" customFormat="false" ht="12" hidden="false" customHeight="true" outlineLevel="0" collapsed="false">
      <c r="A18" s="21" t="n">
        <v>2006</v>
      </c>
      <c r="B18" s="31" t="n">
        <v>209660.25</v>
      </c>
      <c r="C18" s="30" t="n">
        <v>0.034580048173666</v>
      </c>
    </row>
    <row r="19" customFormat="false" ht="12" hidden="false" customHeight="true" outlineLevel="0" collapsed="false">
      <c r="A19" s="21" t="n">
        <v>2007</v>
      </c>
      <c r="B19" s="31" t="n">
        <v>213821.375</v>
      </c>
      <c r="C19" s="30" t="n">
        <v>0.0362863428890705</v>
      </c>
    </row>
    <row r="20" customFormat="false" ht="12" hidden="false" customHeight="true" outlineLevel="0" collapsed="false">
      <c r="A20" s="21" t="n">
        <v>2008</v>
      </c>
      <c r="B20" s="31" t="n">
        <v>215825.90625</v>
      </c>
      <c r="C20" s="30" t="n">
        <v>0.0376450382173061</v>
      </c>
    </row>
    <row r="21" customFormat="false" ht="12" hidden="false" customHeight="true" outlineLevel="0" collapsed="false">
      <c r="A21" s="21" t="n">
        <v>2009</v>
      </c>
      <c r="B21" s="31" t="n">
        <v>214505.90625</v>
      </c>
      <c r="C21" s="30" t="n">
        <v>0.0378571003675461</v>
      </c>
    </row>
    <row r="22" customFormat="false" ht="12" hidden="false" customHeight="true" outlineLevel="0" collapsed="false">
      <c r="A22" s="21" t="n">
        <v>2010</v>
      </c>
      <c r="B22" s="31" t="n">
        <v>215740.28125</v>
      </c>
      <c r="C22" s="30" t="n">
        <v>0.0375748723745346</v>
      </c>
    </row>
    <row r="23" customFormat="false" ht="12" hidden="false" customHeight="true" outlineLevel="0" collapsed="false">
      <c r="A23" s="21" t="n">
        <v>2011</v>
      </c>
      <c r="B23" s="31" t="n">
        <v>218333.703125</v>
      </c>
      <c r="C23" s="30" t="n">
        <v>0.0375966280698776</v>
      </c>
    </row>
    <row r="24" customFormat="false" ht="12" hidden="false" customHeight="true" outlineLevel="0" collapsed="false">
      <c r="A24" s="21" t="n">
        <v>2012</v>
      </c>
      <c r="B24" s="31" t="n">
        <v>221570.09375</v>
      </c>
      <c r="C24" s="30" t="n">
        <v>0.037677738815546</v>
      </c>
    </row>
    <row r="25" customFormat="false" ht="12" hidden="false" customHeight="true" outlineLevel="0" collapsed="false">
      <c r="A25" s="21" t="n">
        <v>2013</v>
      </c>
      <c r="B25" s="31" t="n">
        <v>223431.875</v>
      </c>
      <c r="C25" s="30" t="n">
        <v>0.0378175787627697</v>
      </c>
    </row>
    <row r="26" customFormat="false" ht="12" hidden="false" customHeight="true" outlineLevel="0" collapsed="false">
      <c r="A26" s="21" t="n">
        <v>2014</v>
      </c>
      <c r="B26" s="31" t="n">
        <v>227911.96875</v>
      </c>
      <c r="C26" s="30" t="n">
        <v>0.0382522791624069</v>
      </c>
    </row>
    <row r="27" customFormat="false" ht="12" hidden="false" customHeight="true" outlineLevel="0" collapsed="false">
      <c r="A27" s="21" t="n">
        <v>2015</v>
      </c>
      <c r="B27" s="31" t="n">
        <v>234164.859375</v>
      </c>
      <c r="C27" s="30" t="n">
        <v>0.0391697585582733</v>
      </c>
    </row>
    <row r="28" customFormat="false" ht="12" hidden="false" customHeight="true" outlineLevel="0" collapsed="false">
      <c r="A28" s="21" t="n">
        <v>2016</v>
      </c>
      <c r="B28" s="31" t="n">
        <v>241138.375</v>
      </c>
      <c r="C28" s="30" t="n">
        <v>0.0403391495347023</v>
      </c>
    </row>
    <row r="29" customFormat="false" ht="12" hidden="false" customHeight="true" outlineLevel="0" collapsed="false">
      <c r="A29" s="21" t="n">
        <v>2017</v>
      </c>
      <c r="B29" s="31" t="n">
        <v>248033.09375</v>
      </c>
      <c r="C29" s="30" t="n">
        <v>0.04165044054389</v>
      </c>
    </row>
    <row r="30" customFormat="false" ht="12" hidden="false" customHeight="true" outlineLevel="0" collapsed="false">
      <c r="A30" s="21" t="n">
        <v>2018</v>
      </c>
      <c r="B30" s="31" t="n">
        <v>254809.796875</v>
      </c>
      <c r="C30" s="30" t="n">
        <v>0.0426208153367043</v>
      </c>
    </row>
    <row r="31" customFormat="false" ht="12" hidden="false" customHeight="true" outlineLevel="0" collapsed="false">
      <c r="A31" s="21" t="n">
        <v>2019</v>
      </c>
      <c r="B31" s="31" t="n">
        <v>264125.5625</v>
      </c>
      <c r="C31" s="30" t="n">
        <v>0.0435660108923912</v>
      </c>
    </row>
    <row r="32" customFormat="false" ht="12" hidden="false" customHeight="true" outlineLevel="0" collapsed="false">
      <c r="A32" s="21" t="n">
        <v>2020</v>
      </c>
      <c r="B32" s="21"/>
    </row>
    <row r="33" customFormat="false" ht="12" hidden="false" customHeight="true" outlineLevel="0" collapsed="false">
      <c r="A33" s="21" t="n">
        <v>2021</v>
      </c>
      <c r="B33" s="21"/>
    </row>
    <row r="34" customFormat="false" ht="12" hidden="false" customHeight="true" outlineLevel="0" collapsed="false">
      <c r="A34" s="21" t="n">
        <v>2022</v>
      </c>
      <c r="B34" s="21"/>
    </row>
    <row r="35" customFormat="false" ht="12" hidden="false" customHeight="true" outlineLevel="0" collapsed="false">
      <c r="A35" s="21" t="n">
        <v>2023</v>
      </c>
      <c r="B35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38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39</v>
      </c>
      <c r="C2" s="1" t="s">
        <v>40</v>
      </c>
      <c r="D2" s="1" t="s">
        <v>41</v>
      </c>
    </row>
    <row r="3" customFormat="false" ht="12" hidden="false" customHeight="true" outlineLevel="0" collapsed="false">
      <c r="B3" s="1" t="s">
        <v>42</v>
      </c>
      <c r="C3" s="1" t="s">
        <v>43</v>
      </c>
      <c r="D3" s="1" t="s">
        <v>43</v>
      </c>
    </row>
    <row r="4" customFormat="false" ht="12" hidden="false" customHeight="true" outlineLevel="0" collapsed="false">
      <c r="B4" s="1" t="s">
        <v>44</v>
      </c>
      <c r="C4" s="1" t="s">
        <v>45</v>
      </c>
      <c r="D4" s="1" t="s">
        <v>45</v>
      </c>
    </row>
    <row r="5" customFormat="false" ht="12" hidden="false" customHeight="true" outlineLevel="0" collapsed="false">
      <c r="B5" s="1" t="s">
        <v>46</v>
      </c>
      <c r="C5" s="1" t="s">
        <v>47</v>
      </c>
      <c r="D5" s="1" t="s">
        <v>48</v>
      </c>
    </row>
    <row r="6" customFormat="false" ht="12" hidden="false" customHeight="true" outlineLevel="0" collapsed="false">
      <c r="B6" s="1" t="s">
        <v>49</v>
      </c>
      <c r="C6" s="1" t="s">
        <v>50</v>
      </c>
      <c r="D6" s="1" t="s">
        <v>46</v>
      </c>
    </row>
    <row r="7" customFormat="false" ht="12" hidden="false" customHeight="true" outlineLevel="0" collapsed="false">
      <c r="B7" s="1" t="s">
        <v>51</v>
      </c>
      <c r="C7" s="1" t="s">
        <v>52</v>
      </c>
      <c r="D7" s="1" t="s">
        <v>53</v>
      </c>
    </row>
    <row r="8" customFormat="false" ht="12" hidden="false" customHeight="true" outlineLevel="0" collapsed="false">
      <c r="B8" s="1" t="n">
        <v>2000</v>
      </c>
      <c r="C8" s="30" t="n">
        <v>16.963</v>
      </c>
      <c r="D8" s="30" t="n">
        <v>1.865</v>
      </c>
    </row>
    <row r="9" customFormat="false" ht="12" hidden="false" customHeight="true" outlineLevel="0" collapsed="false">
      <c r="B9" s="1" t="n">
        <v>2001</v>
      </c>
      <c r="C9" s="30" t="n">
        <v>17.772</v>
      </c>
      <c r="D9" s="30" t="n">
        <v>4.769</v>
      </c>
    </row>
    <row r="10" customFormat="false" ht="12" hidden="false" customHeight="true" outlineLevel="0" collapsed="false">
      <c r="B10" s="1" t="n">
        <v>2002</v>
      </c>
      <c r="C10" s="30" t="n">
        <v>18.747</v>
      </c>
      <c r="D10" s="30" t="n">
        <v>5.487</v>
      </c>
    </row>
    <row r="11" customFormat="false" ht="12" hidden="false" customHeight="true" outlineLevel="0" collapsed="false">
      <c r="B11" s="1" t="n">
        <v>2003</v>
      </c>
      <c r="C11" s="30" t="n">
        <v>20.852</v>
      </c>
      <c r="D11" s="30" t="n">
        <v>11.228</v>
      </c>
    </row>
    <row r="12" customFormat="false" ht="12" hidden="false" customHeight="true" outlineLevel="0" collapsed="false">
      <c r="B12" s="1" t="n">
        <v>2004</v>
      </c>
      <c r="C12" s="30" t="n">
        <v>22.061</v>
      </c>
      <c r="D12" s="30" t="n">
        <v>5.796</v>
      </c>
    </row>
    <row r="13" customFormat="false" ht="12" hidden="false" customHeight="true" outlineLevel="0" collapsed="false">
      <c r="B13" s="1" t="n">
        <v>2005</v>
      </c>
      <c r="C13" s="30" t="n">
        <v>24.176</v>
      </c>
      <c r="D13" s="30" t="n">
        <v>9.588</v>
      </c>
    </row>
    <row r="14" customFormat="false" ht="12" hidden="false" customHeight="true" outlineLevel="0" collapsed="false">
      <c r="B14" s="1" t="n">
        <v>2006</v>
      </c>
      <c r="C14" s="30" t="n">
        <v>26.454</v>
      </c>
      <c r="D14" s="30" t="n">
        <v>9.42</v>
      </c>
    </row>
    <row r="15" customFormat="false" ht="12" hidden="false" customHeight="true" outlineLevel="0" collapsed="false">
      <c r="B15" s="1" t="n">
        <v>2007</v>
      </c>
      <c r="C15" s="30" t="n">
        <v>29.781</v>
      </c>
      <c r="D15" s="30" t="n">
        <v>12.579</v>
      </c>
    </row>
    <row r="16" customFormat="false" ht="12" hidden="false" customHeight="true" outlineLevel="0" collapsed="false">
      <c r="B16" s="1" t="n">
        <v>2008</v>
      </c>
      <c r="C16" s="30" t="n">
        <v>30.502</v>
      </c>
      <c r="D16" s="30" t="n">
        <v>2.419</v>
      </c>
    </row>
    <row r="17" customFormat="false" ht="12" hidden="false" customHeight="true" outlineLevel="0" collapsed="false">
      <c r="B17" s="1" t="n">
        <v>2009</v>
      </c>
      <c r="C17" s="30" t="n">
        <v>29.388</v>
      </c>
      <c r="D17" s="30" t="n">
        <v>-3.651</v>
      </c>
    </row>
    <row r="18" customFormat="false" ht="12" hidden="false" customHeight="true" outlineLevel="0" collapsed="false">
      <c r="B18" s="1" t="n">
        <v>2010</v>
      </c>
      <c r="C18" s="30" t="n">
        <v>31.428</v>
      </c>
      <c r="D18" s="30" t="n">
        <v>6.942</v>
      </c>
    </row>
    <row r="19" customFormat="false" ht="12" hidden="false" customHeight="true" outlineLevel="0" collapsed="false">
      <c r="B19" s="1" t="n">
        <v>2011</v>
      </c>
      <c r="C19" s="30" t="n">
        <v>33.927</v>
      </c>
      <c r="D19" s="30" t="n">
        <v>7.949</v>
      </c>
    </row>
    <row r="20" customFormat="false" ht="12" hidden="false" customHeight="true" outlineLevel="0" collapsed="false">
      <c r="B20" s="1" t="n">
        <v>2012</v>
      </c>
      <c r="C20" s="30" t="n">
        <v>36.159</v>
      </c>
      <c r="D20" s="30" t="n">
        <v>6.579</v>
      </c>
    </row>
    <row r="21" customFormat="false" ht="12" hidden="false" customHeight="true" outlineLevel="0" collapsed="false">
      <c r="B21" s="1" t="n">
        <v>2013</v>
      </c>
      <c r="C21" s="30" t="n">
        <v>38.015</v>
      </c>
      <c r="D21" s="30" t="n">
        <v>5.134</v>
      </c>
    </row>
    <row r="22" customFormat="false" ht="12" hidden="false" customHeight="true" outlineLevel="0" collapsed="false">
      <c r="B22" s="1" t="n">
        <v>2014</v>
      </c>
      <c r="C22" s="30" t="n">
        <v>39.57</v>
      </c>
      <c r="D22" s="30" t="n">
        <v>4.091</v>
      </c>
    </row>
    <row r="23" customFormat="false" ht="12" hidden="false" customHeight="true" outlineLevel="0" collapsed="false">
      <c r="B23" s="1" t="n">
        <v>2015</v>
      </c>
      <c r="C23" s="30" t="n">
        <v>40.896</v>
      </c>
      <c r="D23" s="30" t="n">
        <v>3.351</v>
      </c>
    </row>
    <row r="24" customFormat="false" ht="12" hidden="false" customHeight="true" outlineLevel="0" collapsed="false">
      <c r="B24" s="1" t="n">
        <v>2016</v>
      </c>
      <c r="C24" s="30" t="n">
        <v>42.307</v>
      </c>
      <c r="D24" s="30" t="n">
        <v>3.45</v>
      </c>
    </row>
    <row r="25" customFormat="false" ht="12" hidden="false" customHeight="true" outlineLevel="0" collapsed="false">
      <c r="B25" s="1" t="n">
        <v>2017</v>
      </c>
      <c r="C25" s="30" t="n">
        <v>44.49</v>
      </c>
      <c r="D25" s="30" t="n">
        <v>5.161</v>
      </c>
    </row>
    <row r="26" customFormat="false" ht="12" hidden="false" customHeight="true" outlineLevel="0" collapsed="false">
      <c r="B26" s="1" t="n">
        <v>2018</v>
      </c>
      <c r="C26" s="30" t="n">
        <v>47.187</v>
      </c>
      <c r="D26" s="30" t="n">
        <v>6.062</v>
      </c>
    </row>
    <row r="27" customFormat="false" ht="12" hidden="false" customHeight="true" outlineLevel="0" collapsed="false">
      <c r="B27" s="1" t="n">
        <v>2019</v>
      </c>
      <c r="C27" s="30" t="n">
        <v>49.726</v>
      </c>
      <c r="D27" s="30" t="n">
        <v>5.38</v>
      </c>
    </row>
    <row r="28" customFormat="false" ht="12" hidden="false" customHeight="true" outlineLevel="0" collapsed="false">
      <c r="B28" s="1" t="n">
        <v>2020</v>
      </c>
      <c r="C28" s="30" t="n">
        <v>46.598</v>
      </c>
      <c r="D28" s="30" t="n">
        <v>-6.291</v>
      </c>
    </row>
    <row r="29" customFormat="false" ht="12" hidden="false" customHeight="true" outlineLevel="0" collapsed="false">
      <c r="B29" s="1" t="n">
        <v>2021</v>
      </c>
      <c r="C29" s="30" t="n">
        <v>51.558</v>
      </c>
      <c r="D29" s="30" t="n">
        <v>10.644</v>
      </c>
    </row>
    <row r="30" customFormat="false" ht="12" hidden="false" customHeight="true" outlineLevel="0" collapsed="false">
      <c r="B30" s="1" t="n">
        <v>2022</v>
      </c>
      <c r="C30" s="30" t="n">
        <v>57.208</v>
      </c>
      <c r="D30" s="30" t="n">
        <v>10.96</v>
      </c>
    </row>
    <row r="31" customFormat="false" ht="12" hidden="false" customHeight="true" outlineLevel="0" collapsed="false">
      <c r="B31" s="1" t="n">
        <v>2023</v>
      </c>
      <c r="C31" s="30" t="n">
        <v>61.689</v>
      </c>
      <c r="D31" s="30" t="n">
        <v>7.832</v>
      </c>
    </row>
    <row r="32" customFormat="false" ht="12" hidden="false" customHeight="true" outlineLevel="0" collapsed="false">
      <c r="B32" s="1" t="n">
        <v>2024</v>
      </c>
      <c r="C32" s="30" t="n">
        <v>67.505</v>
      </c>
      <c r="D32" s="30" t="n">
        <v>9.429</v>
      </c>
    </row>
    <row r="33" customFormat="false" ht="12" hidden="false" customHeight="true" outlineLevel="0" collapsed="false">
      <c r="B33" s="1" t="n">
        <v>2025</v>
      </c>
      <c r="C33" s="30" t="n">
        <v>71.54</v>
      </c>
      <c r="D33" s="30" t="n">
        <v>5.977</v>
      </c>
    </row>
    <row r="34" customFormat="false" ht="12" hidden="false" customHeight="true" outlineLevel="0" collapsed="false">
      <c r="B34" s="1" t="n">
        <v>2026</v>
      </c>
      <c r="C34" s="30" t="n">
        <v>75.117</v>
      </c>
      <c r="D34" s="30" t="n">
        <v>5</v>
      </c>
    </row>
    <row r="35" customFormat="false" ht="12" hidden="false" customHeight="true" outlineLevel="0" collapsed="false">
      <c r="B35" s="1" t="n">
        <v>2027</v>
      </c>
      <c r="C35" s="30" t="n">
        <v>78.873</v>
      </c>
      <c r="D35" s="30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f aca="false">D35</f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f aca="false">D36</f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f aca="false">D37</f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f aca="false">D38</f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f aca="false">D39</f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f aca="false">D40</f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f aca="false">D41</f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f aca="false">D42</f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f aca="false">D43</f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f aca="false">D44</f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f aca="false">D45</f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f aca="false">D46</f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f aca="false">D47</f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f aca="false">D48</f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f aca="false">D49</f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f aca="false">D50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2026-09-24T03:00:11Z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