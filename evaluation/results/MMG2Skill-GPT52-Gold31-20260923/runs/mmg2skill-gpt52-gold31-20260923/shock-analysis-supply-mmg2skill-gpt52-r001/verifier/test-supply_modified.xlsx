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data'!$E$22:$E$29)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  <c r="O4" t="inlineStr">
        <is>
          <t>lambda</t>
        </is>
      </c>
      <c r="P4" t="n">
        <v>100</v>
      </c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SUMSQ($N$6:$N$27)+$P$4*SUMSQ($M$8:$M$27)</f>
        <v/>
      </c>
    </row>
    <row r="6">
      <c r="C6" t="n">
        <v>2002</v>
      </c>
      <c r="D6" s="19">
        <f>INDEX(PWT!$B$2:$B$35, MATCH($C6, PWT!$A$2:$A$35, 0))</f>
        <v/>
      </c>
      <c r="E6">
        <f>INDEX(WEO_Data!$C$8:$C$51, MATCH($C6, WEO_Data!$B$8:$B$51, 0))*1000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N6" s="5">
        <f>L6-K6</f>
        <v/>
      </c>
    </row>
    <row r="7">
      <c r="C7" t="n">
        <v>2003</v>
      </c>
      <c r="D7" s="19">
        <f>INDEX(PWT!$B$2:$B$35, MATCH($C7, PWT!$A$2:$A$35, 0))</f>
        <v/>
      </c>
      <c r="E7">
        <f>INDEX(WEO_Data!$C$8:$C$51, MATCH($C7, WEO_Data!$B$8:$B$51, 0))*1000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N7" s="5">
        <f>L7-K7</f>
        <v/>
      </c>
    </row>
    <row r="8">
      <c r="C8" t="n">
        <v>2004</v>
      </c>
      <c r="D8" s="19">
        <f>INDEX(PWT!$B$2:$B$35, MATCH($C8, PWT!$A$2:$A$35, 0))</f>
        <v/>
      </c>
      <c r="E8">
        <f>INDEX(WEO_Data!$C$8:$C$51, MATCH($C8, WEO_Data!$B$8:$B$51, 0))*1000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L8-2*L7+L6</f>
        <v/>
      </c>
      <c r="N8" s="5">
        <f>L8-K8</f>
        <v/>
      </c>
    </row>
    <row r="9">
      <c r="C9" t="n">
        <v>2005</v>
      </c>
      <c r="D9" s="19">
        <f>INDEX(PWT!$B$2:$B$35, MATCH($C9, PWT!$A$2:$A$35, 0))</f>
        <v/>
      </c>
      <c r="E9">
        <f>INDEX(WEO_Data!$C$8:$C$51, MATCH($C9, WEO_Data!$B$8:$B$51, 0))*1000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L9-2*L8+L7</f>
        <v/>
      </c>
      <c r="N9" s="5">
        <f>L9-K9</f>
        <v/>
      </c>
    </row>
    <row r="10">
      <c r="C10" t="n">
        <v>2006</v>
      </c>
      <c r="D10" s="19">
        <f>INDEX(PWT!$B$2:$B$35, MATCH($C10, PWT!$A$2:$A$35, 0))</f>
        <v/>
      </c>
      <c r="E10">
        <f>INDEX(WEO_Data!$C$8:$C$51, MATCH($C10, WEO_Data!$B$8:$B$51, 0))*1000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L10-2*L9+L8</f>
        <v/>
      </c>
      <c r="N10" s="5">
        <f>L10-K10</f>
        <v/>
      </c>
    </row>
    <row r="11">
      <c r="C11" t="n">
        <v>2007</v>
      </c>
      <c r="D11" s="19">
        <f>INDEX(PWT!$B$2:$B$35, MATCH($C11, PWT!$A$2:$A$35, 0))</f>
        <v/>
      </c>
      <c r="E11">
        <f>INDEX(WEO_Data!$C$8:$C$51, MATCH($C11, WEO_Data!$B$8:$B$51, 0))*1000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L11-2*L10+L9</f>
        <v/>
      </c>
      <c r="N11" s="5">
        <f>L11-K11</f>
        <v/>
      </c>
    </row>
    <row r="12">
      <c r="C12" t="n">
        <v>2008</v>
      </c>
      <c r="D12" s="19">
        <f>INDEX(PWT!$B$2:$B$35, MATCH($C12, PWT!$A$2:$A$35, 0))</f>
        <v/>
      </c>
      <c r="E12">
        <f>INDEX(WEO_Data!$C$8:$C$51, MATCH($C12, WEO_Data!$B$8:$B$51, 0))*1000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L12-2*L11+L10</f>
        <v/>
      </c>
      <c r="N12" s="5">
        <f>L12-K12</f>
        <v/>
      </c>
    </row>
    <row r="13">
      <c r="C13" t="n">
        <v>2009</v>
      </c>
      <c r="D13" s="19">
        <f>INDEX(PWT!$B$2:$B$35, MATCH($C13, PWT!$A$2:$A$35, 0))</f>
        <v/>
      </c>
      <c r="E13">
        <f>INDEX(WEO_Data!$C$8:$C$51, MATCH($C13, WEO_Data!$B$8:$B$51, 0))*1000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L13-2*L12+L11</f>
        <v/>
      </c>
      <c r="N13" s="5">
        <f>L13-K13</f>
        <v/>
      </c>
    </row>
    <row r="14">
      <c r="C14" t="n">
        <v>2010</v>
      </c>
      <c r="D14" s="19">
        <f>INDEX(PWT!$B$2:$B$35, MATCH($C14, PWT!$A$2:$A$35, 0))</f>
        <v/>
      </c>
      <c r="E14">
        <f>INDEX(WEO_Data!$C$8:$C$51, MATCH($C14, WEO_Data!$B$8:$B$51, 0))*1000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L14-2*L13+L12</f>
        <v/>
      </c>
      <c r="N14" s="5">
        <f>L14-K14</f>
        <v/>
      </c>
    </row>
    <row r="15">
      <c r="C15" t="n">
        <v>2011</v>
      </c>
      <c r="D15" s="19">
        <f>INDEX(PWT!$B$2:$B$35, MATCH($C15, PWT!$A$2:$A$35, 0))</f>
        <v/>
      </c>
      <c r="E15">
        <f>INDEX(WEO_Data!$C$8:$C$51, MATCH($C15, WEO_Data!$B$8:$B$51, 0))*1000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L15-2*L14+L13</f>
        <v/>
      </c>
      <c r="N15" s="5">
        <f>L15-K15</f>
        <v/>
      </c>
    </row>
    <row r="16">
      <c r="C16" t="n">
        <v>2012</v>
      </c>
      <c r="D16" s="19">
        <f>INDEX(PWT!$B$2:$B$35, MATCH($C16, PWT!$A$2:$A$35, 0))</f>
        <v/>
      </c>
      <c r="E16">
        <f>INDEX(WEO_Data!$C$8:$C$51, MATCH($C16, WEO_Data!$B$8:$B$51, 0))*1000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L16-2*L15+L14</f>
        <v/>
      </c>
      <c r="N16" s="5">
        <f>L16-K16</f>
        <v/>
      </c>
    </row>
    <row r="17">
      <c r="C17" t="n">
        <v>2013</v>
      </c>
      <c r="D17" s="19">
        <f>INDEX(PWT!$B$2:$B$35, MATCH($C17, PWT!$A$2:$A$35, 0))</f>
        <v/>
      </c>
      <c r="E17">
        <f>INDEX(WEO_Data!$C$8:$C$51, MATCH($C17, WEO_Data!$B$8:$B$51, 0))*1000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L17-2*L16+L15</f>
        <v/>
      </c>
      <c r="N17" s="5">
        <f>L17-K17</f>
        <v/>
      </c>
    </row>
    <row r="18">
      <c r="C18" t="n">
        <v>2014</v>
      </c>
      <c r="D18" s="19">
        <f>INDEX(PWT!$B$2:$B$35, MATCH($C18, PWT!$A$2:$A$35, 0))</f>
        <v/>
      </c>
      <c r="E18">
        <f>INDEX(WEO_Data!$C$8:$C$51, MATCH($C18, WEO_Data!$B$8:$B$51, 0))*1000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L18-2*L17+L16</f>
        <v/>
      </c>
      <c r="N18" s="5">
        <f>L18-K18</f>
        <v/>
      </c>
    </row>
    <row r="19">
      <c r="C19" t="n">
        <v>2015</v>
      </c>
      <c r="D19" s="19">
        <f>INDEX(PWT!$B$2:$B$35, MATCH($C19, PWT!$A$2:$A$35, 0))</f>
        <v/>
      </c>
      <c r="E19">
        <f>INDEX(WEO_Data!$C$8:$C$51, MATCH($C19, WEO_Data!$B$8:$B$51, 0))*1000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L19-2*L18+L17</f>
        <v/>
      </c>
      <c r="N19" s="5">
        <f>L19-K19</f>
        <v/>
      </c>
    </row>
    <row r="20">
      <c r="C20" t="n">
        <v>2016</v>
      </c>
      <c r="D20" s="19">
        <f>INDEX(PWT!$B$2:$B$35, MATCH($C20, PWT!$A$2:$A$35, 0))</f>
        <v/>
      </c>
      <c r="E20">
        <f>INDEX(WEO_Data!$C$8:$C$51, MATCH($C20, WEO_Data!$B$8:$B$51, 0))*1000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L20-2*L19+L18</f>
        <v/>
      </c>
      <c r="N20" s="5">
        <f>L20-K20</f>
        <v/>
      </c>
    </row>
    <row r="21">
      <c r="C21" t="n">
        <v>2017</v>
      </c>
      <c r="D21" s="19">
        <f>INDEX(PWT!$B$2:$B$35, MATCH($C21, PWT!$A$2:$A$35, 0))</f>
        <v/>
      </c>
      <c r="E21">
        <f>INDEX(WEO_Data!$C$8:$C$51, MATCH($C21, WEO_Data!$B$8:$B$51, 0))*1000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L21-2*L20+L19</f>
        <v/>
      </c>
      <c r="N21" s="5">
        <f>L21-K21</f>
        <v/>
      </c>
    </row>
    <row r="22">
      <c r="C22" t="n">
        <v>2018</v>
      </c>
      <c r="D22" s="19">
        <f>INDEX(PWT!$B$2:$B$35, MATCH($C22, PWT!$A$2:$A$35, 0))</f>
        <v/>
      </c>
      <c r="E22">
        <f>INDEX(WEO_Data!$C$8:$C$51, MATCH($C22, WEO_Data!$B$8:$B$51, 0))*1000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L22-2*L21+L20</f>
        <v/>
      </c>
      <c r="N22" s="5">
        <f>L22-K22</f>
        <v/>
      </c>
    </row>
    <row r="23">
      <c r="C23" t="n">
        <v>2019</v>
      </c>
      <c r="D23" s="19">
        <f>INDEX(PWT!$B$2:$B$35, MATCH($C23, PWT!$A$2:$A$35, 0))</f>
        <v/>
      </c>
      <c r="E23">
        <f>INDEX(WEO_Data!$C$8:$C$51, MATCH($C23, WEO_Data!$B$8:$B$51, 0))*1000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L23-2*L22+L21</f>
        <v/>
      </c>
      <c r="N23" s="5">
        <f>L23-K23</f>
        <v/>
      </c>
    </row>
    <row r="24">
      <c r="C24" t="n">
        <v>2020</v>
      </c>
      <c r="D24" s="19">
        <f>INDEX(PWT!$B$2:$B$35, MATCH($C24, PWT!$A$2:$A$35, 0))</f>
        <v/>
      </c>
      <c r="E24">
        <f>INDEX(WEO_Data!$C$8:$C$51, MATCH($C24, WEO_Data!$B$8:$B$51, 0))*1000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L24-2*L23+L22</f>
        <v/>
      </c>
      <c r="N24" s="5">
        <f>L24-K24</f>
        <v/>
      </c>
    </row>
    <row r="25">
      <c r="C25" t="n">
        <v>2021</v>
      </c>
      <c r="D25" s="19">
        <f>INDEX(PWT!$B$2:$B$35, MATCH($C25, PWT!$A$2:$A$35, 0))</f>
        <v/>
      </c>
      <c r="E25">
        <f>INDEX(WEO_Data!$C$8:$C$51, MATCH($C25, WEO_Data!$B$8:$B$51, 0))*1000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L25-2*L24+L23</f>
        <v/>
      </c>
      <c r="N25" s="5">
        <f>L25-K25</f>
        <v/>
      </c>
    </row>
    <row r="26">
      <c r="C26" t="n">
        <v>2022</v>
      </c>
      <c r="D26" s="19">
        <f>INDEX(PWT!$B$2:$B$35, MATCH($C26, PWT!$A$2:$A$35, 0))</f>
        <v/>
      </c>
      <c r="E26">
        <f>INDEX(WEO_Data!$C$8:$C$51, MATCH($C26, WEO_Data!$B$8:$B$51, 0))*1000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L26-2*L25+L24</f>
        <v/>
      </c>
      <c r="N26" s="5">
        <f>L26-K26</f>
        <v/>
      </c>
    </row>
    <row r="27">
      <c r="C27" t="n">
        <v>2023</v>
      </c>
      <c r="D27" s="19">
        <f>INDEX(PWT!$B$2:$B$35, MATCH($C27, PWT!$A$2:$A$35, 0))</f>
        <v/>
      </c>
      <c r="E27">
        <f>INDEX(WEO_Data!$C$8:$C$51, MATCH($C27, WEO_Data!$B$8:$B$51, 0))*1000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>
        <f>L27-2*L26+L25</f>
        <v/>
      </c>
      <c r="N27" s="8">
        <f>L27-K27</f>
        <v/>
      </c>
    </row>
    <row r="34">
      <c r="C34" t="inlineStr">
        <is>
          <t>Anchor K/Y (avg last 9 yrs)</t>
        </is>
      </c>
      <c r="D34">
        <f>AVERAGE(D49:D57)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IFERROR(E36/F36,"")</f>
        <v/>
      </c>
      <c r="E36" s="19">
        <f>IF($C36&lt;=2023,INDEX(PWT!$B$2:$B$35, MATCH($C36, PWT!$A$2:$A$35, 0)),$D$34*F36)</f>
        <v/>
      </c>
      <c r="F36">
        <f>INDEX(WEO_Data!$C$8:$C$51, MATCH($C36, WEO_Data!$B$8:$B$51, 0))*1000</f>
        <v/>
      </c>
      <c r="G36">
        <f>IF($C36&lt;=2023,INDEX($L$6:$L$27, MATCH($C36, $C$6:$C$27, 0)),TREND($L$6:$L$27, $C$6:$C$27, $C36))</f>
        <v/>
      </c>
      <c r="H36">
        <f>EXP(G36+$B$2*LN(E36))</f>
        <v/>
      </c>
      <c r="I36">
        <f>IF(AND($C36&gt;=2026,$C36&lt;=2033),INDEX(Investment!$C$2:$C$9, MATCH($C36, Investment!$B$2:$B$9, 0)),0)</f>
        <v/>
      </c>
      <c r="J36" t="n">
        <v>0</v>
      </c>
      <c r="K36" s="19">
        <f>E36+J36</f>
        <v/>
      </c>
      <c r="L36">
        <f>EXP(G36+$B$2*LN(K36))</f>
        <v/>
      </c>
      <c r="M36">
        <f>L36-H36</f>
        <v/>
      </c>
      <c r="N36">
        <f>F36+M36</f>
        <v/>
      </c>
      <c r="O36" t="inlineStr"/>
      <c r="P36">
        <f>INDEX(WEO_Data!$D$8:$D$51, MATCH($C36, WEO_Data!$B$8:$B$51, 0))/100</f>
        <v/>
      </c>
    </row>
    <row r="37">
      <c r="C37" t="n">
        <v>2003</v>
      </c>
      <c r="D37">
        <f>IFERROR(E37/F37,"")</f>
        <v/>
      </c>
      <c r="E37" s="19">
        <f>IF($C37&lt;=2023,INDEX(PWT!$B$2:$B$35, MATCH($C37, PWT!$A$2:$A$35, 0)),$D$34*F37)</f>
        <v/>
      </c>
      <c r="F37">
        <f>INDEX(WEO_Data!$C$8:$C$51, MATCH($C37, WEO_Data!$B$8:$B$51, 0))*1000</f>
        <v/>
      </c>
      <c r="G37">
        <f>IF($C37&lt;=2023,INDEX($L$6:$L$27, MATCH($C37, $C$6:$C$27, 0)),TREND($L$6:$L$27, $C$6:$C$27, $C37))</f>
        <v/>
      </c>
      <c r="H37">
        <f>EXP(G37+$B$2*LN(E37))</f>
        <v/>
      </c>
      <c r="I37">
        <f>IF(AND($C37&gt;=2026,$C37&lt;=2033),INDEX(Investment!$C$2:$C$9, MATCH($C37, Investment!$B$2:$B$9, 0)),0)</f>
        <v/>
      </c>
      <c r="J37">
        <f>IF($C37&lt;2026,0,(1-$B$3)*J36+I37)</f>
        <v/>
      </c>
      <c r="K37" s="19">
        <f>E37+J37</f>
        <v/>
      </c>
      <c r="L37">
        <f>EXP(G37+$B$2*LN(K37))</f>
        <v/>
      </c>
      <c r="M37">
        <f>L37-H37</f>
        <v/>
      </c>
      <c r="N37">
        <f>F37+M37</f>
        <v/>
      </c>
      <c r="O37">
        <f>IFERROR(N37/N36-1,"")</f>
        <v/>
      </c>
      <c r="P37">
        <f>INDEX(WEO_Data!$D$8:$D$51, MATCH($C37, WEO_Data!$B$8:$B$51, 0))/100</f>
        <v/>
      </c>
    </row>
    <row r="38">
      <c r="C38" t="n">
        <v>2004</v>
      </c>
      <c r="D38">
        <f>IFERROR(E38/F38,"")</f>
        <v/>
      </c>
      <c r="E38" s="19">
        <f>IF($C38&lt;=2023,INDEX(PWT!$B$2:$B$35, MATCH($C38, PWT!$A$2:$A$35, 0)),$D$34*F38)</f>
        <v/>
      </c>
      <c r="F38">
        <f>INDEX(WEO_Data!$C$8:$C$51, MATCH($C38, WEO_Data!$B$8:$B$51, 0))*1000</f>
        <v/>
      </c>
      <c r="G38">
        <f>IF($C38&lt;=2023,INDEX($L$6:$L$27, MATCH($C38, $C$6:$C$27, 0)),TREND($L$6:$L$27, $C$6:$C$27, $C38))</f>
        <v/>
      </c>
      <c r="H38">
        <f>EXP(G38+$B$2*LN(E38))</f>
        <v/>
      </c>
      <c r="I38">
        <f>IF(AND($C38&gt;=2026,$C38&lt;=2033),INDEX(Investment!$C$2:$C$9, MATCH($C38, Investment!$B$2:$B$9, 0)),0)</f>
        <v/>
      </c>
      <c r="J38">
        <f>IF($C38&lt;2026,0,(1-$B$3)*J37+I38)</f>
        <v/>
      </c>
      <c r="K38" s="19">
        <f>E38+J38</f>
        <v/>
      </c>
      <c r="L38">
        <f>EXP(G38+$B$2*LN(K38))</f>
        <v/>
      </c>
      <c r="M38">
        <f>L38-H38</f>
        <v/>
      </c>
      <c r="N38">
        <f>F38+M38</f>
        <v/>
      </c>
      <c r="O38">
        <f>IFERROR(N38/N37-1,"")</f>
        <v/>
      </c>
      <c r="P38">
        <f>INDEX(WEO_Data!$D$8:$D$51, MATCH($C38, WEO_Data!$B$8:$B$51, 0))/100</f>
        <v/>
      </c>
    </row>
    <row r="39">
      <c r="C39" t="n">
        <v>2005</v>
      </c>
      <c r="D39">
        <f>IFERROR(E39/F39,"")</f>
        <v/>
      </c>
      <c r="E39" s="19">
        <f>IF($C39&lt;=2023,INDEX(PWT!$B$2:$B$35, MATCH($C39, PWT!$A$2:$A$35, 0)),$D$34*F39)</f>
        <v/>
      </c>
      <c r="F39">
        <f>INDEX(WEO_Data!$C$8:$C$51, MATCH($C39, WEO_Data!$B$8:$B$51, 0))*1000</f>
        <v/>
      </c>
      <c r="G39">
        <f>IF($C39&lt;=2023,INDEX($L$6:$L$27, MATCH($C39, $C$6:$C$27, 0)),TREND($L$6:$L$27, $C$6:$C$27, $C39))</f>
        <v/>
      </c>
      <c r="H39">
        <f>EXP(G39+$B$2*LN(E39))</f>
        <v/>
      </c>
      <c r="I39">
        <f>IF(AND($C39&gt;=2026,$C39&lt;=2033),INDEX(Investment!$C$2:$C$9, MATCH($C39, Investment!$B$2:$B$9, 0)),0)</f>
        <v/>
      </c>
      <c r="J39">
        <f>IF($C39&lt;2026,0,(1-$B$3)*J38+I39)</f>
        <v/>
      </c>
      <c r="K39" s="19">
        <f>E39+J39</f>
        <v/>
      </c>
      <c r="L39">
        <f>EXP(G39+$B$2*LN(K39))</f>
        <v/>
      </c>
      <c r="M39">
        <f>L39-H39</f>
        <v/>
      </c>
      <c r="N39">
        <f>F39+M39</f>
        <v/>
      </c>
      <c r="O39">
        <f>IFERROR(N39/N38-1,"")</f>
        <v/>
      </c>
      <c r="P39">
        <f>INDEX(WEO_Data!$D$8:$D$51, MATCH($C39, WEO_Data!$B$8:$B$51, 0))/100</f>
        <v/>
      </c>
    </row>
    <row r="40">
      <c r="C40" t="n">
        <v>2006</v>
      </c>
      <c r="D40">
        <f>IFERROR(E40/F40,"")</f>
        <v/>
      </c>
      <c r="E40" s="19">
        <f>IF($C40&lt;=2023,INDEX(PWT!$B$2:$B$35, MATCH($C40, PWT!$A$2:$A$35, 0)),$D$34*F40)</f>
        <v/>
      </c>
      <c r="F40">
        <f>INDEX(WEO_Data!$C$8:$C$51, MATCH($C40, WEO_Data!$B$8:$B$51, 0))*1000</f>
        <v/>
      </c>
      <c r="G40">
        <f>IF($C40&lt;=2023,INDEX($L$6:$L$27, MATCH($C40, $C$6:$C$27, 0)),TREND($L$6:$L$27, $C$6:$C$27, $C40))</f>
        <v/>
      </c>
      <c r="H40">
        <f>EXP(G40+$B$2*LN(E40))</f>
        <v/>
      </c>
      <c r="I40">
        <f>IF(AND($C40&gt;=2026,$C40&lt;=2033),INDEX(Investment!$C$2:$C$9, MATCH($C40, Investment!$B$2:$B$9, 0)),0)</f>
        <v/>
      </c>
      <c r="J40">
        <f>IF($C40&lt;2026,0,(1-$B$3)*J39+I40)</f>
        <v/>
      </c>
      <c r="K40" s="19">
        <f>E40+J40</f>
        <v/>
      </c>
      <c r="L40">
        <f>EXP(G40+$B$2*LN(K40))</f>
        <v/>
      </c>
      <c r="M40">
        <f>L40-H40</f>
        <v/>
      </c>
      <c r="N40">
        <f>F40+M40</f>
        <v/>
      </c>
      <c r="O40">
        <f>IFERROR(N40/N39-1,"")</f>
        <v/>
      </c>
      <c r="P40">
        <f>INDEX(WEO_Data!$D$8:$D$51, MATCH($C40, WEO_Data!$B$8:$B$51, 0))/100</f>
        <v/>
      </c>
    </row>
    <row r="41">
      <c r="C41" t="n">
        <v>2007</v>
      </c>
      <c r="D41">
        <f>IFERROR(E41/F41,"")</f>
        <v/>
      </c>
      <c r="E41" s="19">
        <f>IF($C41&lt;=2023,INDEX(PWT!$B$2:$B$35, MATCH($C41, PWT!$A$2:$A$35, 0)),$D$34*F41)</f>
        <v/>
      </c>
      <c r="F41">
        <f>INDEX(WEO_Data!$C$8:$C$51, MATCH($C41, WEO_Data!$B$8:$B$51, 0))*1000</f>
        <v/>
      </c>
      <c r="G41">
        <f>IF($C41&lt;=2023,INDEX($L$6:$L$27, MATCH($C41, $C$6:$C$27, 0)),TREND($L$6:$L$27, $C$6:$C$27, $C41))</f>
        <v/>
      </c>
      <c r="H41">
        <f>EXP(G41+$B$2*LN(E41))</f>
        <v/>
      </c>
      <c r="I41">
        <f>IF(AND($C41&gt;=2026,$C41&lt;=2033),INDEX(Investment!$C$2:$C$9, MATCH($C41, Investment!$B$2:$B$9, 0)),0)</f>
        <v/>
      </c>
      <c r="J41">
        <f>IF($C41&lt;2026,0,(1-$B$3)*J40+I41)</f>
        <v/>
      </c>
      <c r="K41" s="19">
        <f>E41+J41</f>
        <v/>
      </c>
      <c r="L41">
        <f>EXP(G41+$B$2*LN(K41))</f>
        <v/>
      </c>
      <c r="M41">
        <f>L41-H41</f>
        <v/>
      </c>
      <c r="N41">
        <f>F41+M41</f>
        <v/>
      </c>
      <c r="O41">
        <f>IFERROR(N41/N40-1,"")</f>
        <v/>
      </c>
      <c r="P41">
        <f>INDEX(WEO_Data!$D$8:$D$51, MATCH($C41, WEO_Data!$B$8:$B$51, 0))/100</f>
        <v/>
      </c>
    </row>
    <row r="42">
      <c r="C42" t="n">
        <v>2008</v>
      </c>
      <c r="D42">
        <f>IFERROR(E42/F42,"")</f>
        <v/>
      </c>
      <c r="E42" s="19">
        <f>IF($C42&lt;=2023,INDEX(PWT!$B$2:$B$35, MATCH($C42, PWT!$A$2:$A$35, 0)),$D$34*F42)</f>
        <v/>
      </c>
      <c r="F42">
        <f>INDEX(WEO_Data!$C$8:$C$51, MATCH($C42, WEO_Data!$B$8:$B$51, 0))*1000</f>
        <v/>
      </c>
      <c r="G42">
        <f>IF($C42&lt;=2023,INDEX($L$6:$L$27, MATCH($C42, $C$6:$C$27, 0)),TREND($L$6:$L$27, $C$6:$C$27, $C42))</f>
        <v/>
      </c>
      <c r="H42">
        <f>EXP(G42+$B$2*LN(E42))</f>
        <v/>
      </c>
      <c r="I42">
        <f>IF(AND($C42&gt;=2026,$C42&lt;=2033),INDEX(Investment!$C$2:$C$9, MATCH($C42, Investment!$B$2:$B$9, 0)),0)</f>
        <v/>
      </c>
      <c r="J42">
        <f>IF($C42&lt;2026,0,(1-$B$3)*J41+I42)</f>
        <v/>
      </c>
      <c r="K42" s="19">
        <f>E42+J42</f>
        <v/>
      </c>
      <c r="L42">
        <f>EXP(G42+$B$2*LN(K42))</f>
        <v/>
      </c>
      <c r="M42">
        <f>L42-H42</f>
        <v/>
      </c>
      <c r="N42">
        <f>F42+M42</f>
        <v/>
      </c>
      <c r="O42">
        <f>IFERROR(N42/N41-1,"")</f>
        <v/>
      </c>
      <c r="P42">
        <f>INDEX(WEO_Data!$D$8:$D$51, MATCH($C42, WEO_Data!$B$8:$B$51, 0))/100</f>
        <v/>
      </c>
    </row>
    <row r="43">
      <c r="C43" t="n">
        <v>2009</v>
      </c>
      <c r="D43">
        <f>IFERROR(E43/F43,"")</f>
        <v/>
      </c>
      <c r="E43" s="19">
        <f>IF($C43&lt;=2023,INDEX(PWT!$B$2:$B$35, MATCH($C43, PWT!$A$2:$A$35, 0)),$D$34*F43)</f>
        <v/>
      </c>
      <c r="F43">
        <f>INDEX(WEO_Data!$C$8:$C$51, MATCH($C43, WEO_Data!$B$8:$B$51, 0))*1000</f>
        <v/>
      </c>
      <c r="G43">
        <f>IF($C43&lt;=2023,INDEX($L$6:$L$27, MATCH($C43, $C$6:$C$27, 0)),TREND($L$6:$L$27, $C$6:$C$27, $C43))</f>
        <v/>
      </c>
      <c r="H43">
        <f>EXP(G43+$B$2*LN(E43))</f>
        <v/>
      </c>
      <c r="I43">
        <f>IF(AND($C43&gt;=2026,$C43&lt;=2033),INDEX(Investment!$C$2:$C$9, MATCH($C43, Investment!$B$2:$B$9, 0)),0)</f>
        <v/>
      </c>
      <c r="J43">
        <f>IF($C43&lt;2026,0,(1-$B$3)*J42+I43)</f>
        <v/>
      </c>
      <c r="K43" s="19">
        <f>E43+J43</f>
        <v/>
      </c>
      <c r="L43">
        <f>EXP(G43+$B$2*LN(K43))</f>
        <v/>
      </c>
      <c r="M43">
        <f>L43-H43</f>
        <v/>
      </c>
      <c r="N43">
        <f>F43+M43</f>
        <v/>
      </c>
      <c r="O43">
        <f>IFERROR(N43/N42-1,"")</f>
        <v/>
      </c>
      <c r="P43">
        <f>INDEX(WEO_Data!$D$8:$D$51, MATCH($C43, WEO_Data!$B$8:$B$51, 0))/100</f>
        <v/>
      </c>
    </row>
    <row r="44">
      <c r="C44" t="n">
        <v>2010</v>
      </c>
      <c r="D44">
        <f>IFERROR(E44/F44,"")</f>
        <v/>
      </c>
      <c r="E44" s="19">
        <f>IF($C44&lt;=2023,INDEX(PWT!$B$2:$B$35, MATCH($C44, PWT!$A$2:$A$35, 0)),$D$34*F44)</f>
        <v/>
      </c>
      <c r="F44">
        <f>INDEX(WEO_Data!$C$8:$C$51, MATCH($C44, WEO_Data!$B$8:$B$51, 0))*1000</f>
        <v/>
      </c>
      <c r="G44">
        <f>IF($C44&lt;=2023,INDEX($L$6:$L$27, MATCH($C44, $C$6:$C$27, 0)),TREND($L$6:$L$27, $C$6:$C$27, $C44))</f>
        <v/>
      </c>
      <c r="H44">
        <f>EXP(G44+$B$2*LN(E44))</f>
        <v/>
      </c>
      <c r="I44">
        <f>IF(AND($C44&gt;=2026,$C44&lt;=2033),INDEX(Investment!$C$2:$C$9, MATCH($C44, Investment!$B$2:$B$9, 0)),0)</f>
        <v/>
      </c>
      <c r="J44">
        <f>IF($C44&lt;2026,0,(1-$B$3)*J43+I44)</f>
        <v/>
      </c>
      <c r="K44" s="19">
        <f>E44+J44</f>
        <v/>
      </c>
      <c r="L44">
        <f>EXP(G44+$B$2*LN(K44))</f>
        <v/>
      </c>
      <c r="M44">
        <f>L44-H44</f>
        <v/>
      </c>
      <c r="N44">
        <f>F44+M44</f>
        <v/>
      </c>
      <c r="O44">
        <f>IFERROR(N44/N43-1,"")</f>
        <v/>
      </c>
      <c r="P44">
        <f>INDEX(WEO_Data!$D$8:$D$51, MATCH($C44, WEO_Data!$B$8:$B$51, 0))/100</f>
        <v/>
      </c>
    </row>
    <row r="45">
      <c r="C45" t="n">
        <v>2011</v>
      </c>
      <c r="D45">
        <f>IFERROR(E45/F45,"")</f>
        <v/>
      </c>
      <c r="E45" s="19">
        <f>IF($C45&lt;=2023,INDEX(PWT!$B$2:$B$35, MATCH($C45, PWT!$A$2:$A$35, 0)),$D$34*F45)</f>
        <v/>
      </c>
      <c r="F45">
        <f>INDEX(WEO_Data!$C$8:$C$51, MATCH($C45, WEO_Data!$B$8:$B$51, 0))*1000</f>
        <v/>
      </c>
      <c r="G45">
        <f>IF($C45&lt;=2023,INDEX($L$6:$L$27, MATCH($C45, $C$6:$C$27, 0)),TREND($L$6:$L$27, $C$6:$C$27, $C45))</f>
        <v/>
      </c>
      <c r="H45">
        <f>EXP(G45+$B$2*LN(E45))</f>
        <v/>
      </c>
      <c r="I45">
        <f>IF(AND($C45&gt;=2026,$C45&lt;=2033),INDEX(Investment!$C$2:$C$9, MATCH($C45, Investment!$B$2:$B$9, 0)),0)</f>
        <v/>
      </c>
      <c r="J45">
        <f>IF($C45&lt;2026,0,(1-$B$3)*J44+I45)</f>
        <v/>
      </c>
      <c r="K45" s="19">
        <f>E45+J45</f>
        <v/>
      </c>
      <c r="L45">
        <f>EXP(G45+$B$2*LN(K45))</f>
        <v/>
      </c>
      <c r="M45">
        <f>L45-H45</f>
        <v/>
      </c>
      <c r="N45">
        <f>F45+M45</f>
        <v/>
      </c>
      <c r="O45">
        <f>IFERROR(N45/N44-1,"")</f>
        <v/>
      </c>
      <c r="P45">
        <f>INDEX(WEO_Data!$D$8:$D$51, MATCH($C45, WEO_Data!$B$8:$B$51, 0))/100</f>
        <v/>
      </c>
    </row>
    <row r="46">
      <c r="C46" t="n">
        <v>2012</v>
      </c>
      <c r="D46">
        <f>IFERROR(E46/F46,"")</f>
        <v/>
      </c>
      <c r="E46" s="19">
        <f>IF($C46&lt;=2023,INDEX(PWT!$B$2:$B$35, MATCH($C46, PWT!$A$2:$A$35, 0)),$D$34*F46)</f>
        <v/>
      </c>
      <c r="F46">
        <f>INDEX(WEO_Data!$C$8:$C$51, MATCH($C46, WEO_Data!$B$8:$B$51, 0))*1000</f>
        <v/>
      </c>
      <c r="G46">
        <f>IF($C46&lt;=2023,INDEX($L$6:$L$27, MATCH($C46, $C$6:$C$27, 0)),TREND($L$6:$L$27, $C$6:$C$27, $C46))</f>
        <v/>
      </c>
      <c r="H46">
        <f>EXP(G46+$B$2*LN(E46))</f>
        <v/>
      </c>
      <c r="I46">
        <f>IF(AND($C46&gt;=2026,$C46&lt;=2033),INDEX(Investment!$C$2:$C$9, MATCH($C46, Investment!$B$2:$B$9, 0)),0)</f>
        <v/>
      </c>
      <c r="J46">
        <f>IF($C46&lt;2026,0,(1-$B$3)*J45+I46)</f>
        <v/>
      </c>
      <c r="K46" s="19">
        <f>E46+J46</f>
        <v/>
      </c>
      <c r="L46">
        <f>EXP(G46+$B$2*LN(K46))</f>
        <v/>
      </c>
      <c r="M46">
        <f>L46-H46</f>
        <v/>
      </c>
      <c r="N46">
        <f>F46+M46</f>
        <v/>
      </c>
      <c r="O46">
        <f>IFERROR(N46/N45-1,"")</f>
        <v/>
      </c>
      <c r="P46">
        <f>INDEX(WEO_Data!$D$8:$D$51, MATCH($C46, WEO_Data!$B$8:$B$51, 0))/100</f>
        <v/>
      </c>
    </row>
    <row r="47">
      <c r="C47" t="n">
        <v>2013</v>
      </c>
      <c r="D47">
        <f>IFERROR(E47/F47,"")</f>
        <v/>
      </c>
      <c r="E47" s="19">
        <f>IF($C47&lt;=2023,INDEX(PWT!$B$2:$B$35, MATCH($C47, PWT!$A$2:$A$35, 0)),$D$34*F47)</f>
        <v/>
      </c>
      <c r="F47">
        <f>INDEX(WEO_Data!$C$8:$C$51, MATCH($C47, WEO_Data!$B$8:$B$51, 0))*1000</f>
        <v/>
      </c>
      <c r="G47">
        <f>IF($C47&lt;=2023,INDEX($L$6:$L$27, MATCH($C47, $C$6:$C$27, 0)),TREND($L$6:$L$27, $C$6:$C$27, $C47))</f>
        <v/>
      </c>
      <c r="H47">
        <f>EXP(G47+$B$2*LN(E47))</f>
        <v/>
      </c>
      <c r="I47">
        <f>IF(AND($C47&gt;=2026,$C47&lt;=2033),INDEX(Investment!$C$2:$C$9, MATCH($C47, Investment!$B$2:$B$9, 0)),0)</f>
        <v/>
      </c>
      <c r="J47">
        <f>IF($C47&lt;2026,0,(1-$B$3)*J46+I47)</f>
        <v/>
      </c>
      <c r="K47" s="19">
        <f>E47+J47</f>
        <v/>
      </c>
      <c r="L47">
        <f>EXP(G47+$B$2*LN(K47))</f>
        <v/>
      </c>
      <c r="M47">
        <f>L47-H47</f>
        <v/>
      </c>
      <c r="N47">
        <f>F47+M47</f>
        <v/>
      </c>
      <c r="O47">
        <f>IFERROR(N47/N46-1,"")</f>
        <v/>
      </c>
      <c r="P47">
        <f>INDEX(WEO_Data!$D$8:$D$51, MATCH($C47, WEO_Data!$B$8:$B$51, 0))/100</f>
        <v/>
      </c>
    </row>
    <row r="48">
      <c r="C48" t="n">
        <v>2014</v>
      </c>
      <c r="D48">
        <f>IFERROR(E48/F48,"")</f>
        <v/>
      </c>
      <c r="E48" s="19">
        <f>IF($C48&lt;=2023,INDEX(PWT!$B$2:$B$35, MATCH($C48, PWT!$A$2:$A$35, 0)),$D$34*F48)</f>
        <v/>
      </c>
      <c r="F48">
        <f>INDEX(WEO_Data!$C$8:$C$51, MATCH($C48, WEO_Data!$B$8:$B$51, 0))*1000</f>
        <v/>
      </c>
      <c r="G48">
        <f>IF($C48&lt;=2023,INDEX($L$6:$L$27, MATCH($C48, $C$6:$C$27, 0)),TREND($L$6:$L$27, $C$6:$C$27, $C48))</f>
        <v/>
      </c>
      <c r="H48">
        <f>EXP(G48+$B$2*LN(E48))</f>
        <v/>
      </c>
      <c r="I48">
        <f>IF(AND($C48&gt;=2026,$C48&lt;=2033),INDEX(Investment!$C$2:$C$9, MATCH($C48, Investment!$B$2:$B$9, 0)),0)</f>
        <v/>
      </c>
      <c r="J48">
        <f>IF($C48&lt;2026,0,(1-$B$3)*J47+I48)</f>
        <v/>
      </c>
      <c r="K48" s="19">
        <f>E48+J48</f>
        <v/>
      </c>
      <c r="L48">
        <f>EXP(G48+$B$2*LN(K48))</f>
        <v/>
      </c>
      <c r="M48">
        <f>L48-H48</f>
        <v/>
      </c>
      <c r="N48">
        <f>F48+M48</f>
        <v/>
      </c>
      <c r="O48">
        <f>IFERROR(N48/N47-1,"")</f>
        <v/>
      </c>
      <c r="P48">
        <f>INDEX(WEO_Data!$D$8:$D$51, MATCH($C48, WEO_Data!$B$8:$B$51, 0))/100</f>
        <v/>
      </c>
    </row>
    <row r="49">
      <c r="C49" t="n">
        <v>2015</v>
      </c>
      <c r="D49">
        <f>IFERROR(E49/F49,"")</f>
        <v/>
      </c>
      <c r="E49" s="19">
        <f>IF($C49&lt;=2023,INDEX(PWT!$B$2:$B$35, MATCH($C49, PWT!$A$2:$A$35, 0)),$D$34*F49)</f>
        <v/>
      </c>
      <c r="F49">
        <f>INDEX(WEO_Data!$C$8:$C$51, MATCH($C49, WEO_Data!$B$8:$B$51, 0))*1000</f>
        <v/>
      </c>
      <c r="G49">
        <f>IF($C49&lt;=2023,INDEX($L$6:$L$27, MATCH($C49, $C$6:$C$27, 0)),TREND($L$6:$L$27, $C$6:$C$27, $C49))</f>
        <v/>
      </c>
      <c r="H49">
        <f>EXP(G49+$B$2*LN(E49))</f>
        <v/>
      </c>
      <c r="I49">
        <f>IF(AND($C49&gt;=2026,$C49&lt;=2033),INDEX(Investment!$C$2:$C$9, MATCH($C49, Investment!$B$2:$B$9, 0)),0)</f>
        <v/>
      </c>
      <c r="J49">
        <f>IF($C49&lt;2026,0,(1-$B$3)*J48+I49)</f>
        <v/>
      </c>
      <c r="K49" s="19">
        <f>E49+J49</f>
        <v/>
      </c>
      <c r="L49">
        <f>EXP(G49+$B$2*LN(K49))</f>
        <v/>
      </c>
      <c r="M49">
        <f>L49-H49</f>
        <v/>
      </c>
      <c r="N49">
        <f>F49+M49</f>
        <v/>
      </c>
      <c r="O49">
        <f>IFERROR(N49/N48-1,"")</f>
        <v/>
      </c>
      <c r="P49">
        <f>INDEX(WEO_Data!$D$8:$D$51, MATCH($C49, WEO_Data!$B$8:$B$51, 0))/100</f>
        <v/>
      </c>
    </row>
    <row r="50">
      <c r="C50" t="n">
        <v>2016</v>
      </c>
      <c r="D50">
        <f>IFERROR(E50/F50,"")</f>
        <v/>
      </c>
      <c r="E50" s="19">
        <f>IF($C50&lt;=2023,INDEX(PWT!$B$2:$B$35, MATCH($C50, PWT!$A$2:$A$35, 0)),$D$34*F50)</f>
        <v/>
      </c>
      <c r="F50">
        <f>INDEX(WEO_Data!$C$8:$C$51, MATCH($C50, WEO_Data!$B$8:$B$51, 0))*1000</f>
        <v/>
      </c>
      <c r="G50">
        <f>IF($C50&lt;=2023,INDEX($L$6:$L$27, MATCH($C50, $C$6:$C$27, 0)),TREND($L$6:$L$27, $C$6:$C$27, $C50))</f>
        <v/>
      </c>
      <c r="H50">
        <f>EXP(G50+$B$2*LN(E50))</f>
        <v/>
      </c>
      <c r="I50">
        <f>IF(AND($C50&gt;=2026,$C50&lt;=2033),INDEX(Investment!$C$2:$C$9, MATCH($C50, Investment!$B$2:$B$9, 0)),0)</f>
        <v/>
      </c>
      <c r="J50">
        <f>IF($C50&lt;2026,0,(1-$B$3)*J49+I50)</f>
        <v/>
      </c>
      <c r="K50" s="19">
        <f>E50+J50</f>
        <v/>
      </c>
      <c r="L50">
        <f>EXP(G50+$B$2*LN(K50))</f>
        <v/>
      </c>
      <c r="M50">
        <f>L50-H50</f>
        <v/>
      </c>
      <c r="N50">
        <f>F50+M50</f>
        <v/>
      </c>
      <c r="O50">
        <f>IFERROR(N50/N49-1,"")</f>
        <v/>
      </c>
      <c r="P50">
        <f>INDEX(WEO_Data!$D$8:$D$51, MATCH($C50, WEO_Data!$B$8:$B$51, 0))/100</f>
        <v/>
      </c>
    </row>
    <row r="51">
      <c r="C51" t="n">
        <v>2017</v>
      </c>
      <c r="D51">
        <f>IFERROR(E51/F51,"")</f>
        <v/>
      </c>
      <c r="E51" s="19">
        <f>IF($C51&lt;=2023,INDEX(PWT!$B$2:$B$35, MATCH($C51, PWT!$A$2:$A$35, 0)),$D$34*F51)</f>
        <v/>
      </c>
      <c r="F51">
        <f>INDEX(WEO_Data!$C$8:$C$51, MATCH($C51, WEO_Data!$B$8:$B$51, 0))*1000</f>
        <v/>
      </c>
      <c r="G51">
        <f>IF($C51&lt;=2023,INDEX($L$6:$L$27, MATCH($C51, $C$6:$C$27, 0)),TREND($L$6:$L$27, $C$6:$C$27, $C51))</f>
        <v/>
      </c>
      <c r="H51">
        <f>EXP(G51+$B$2*LN(E51))</f>
        <v/>
      </c>
      <c r="I51">
        <f>IF(AND($C51&gt;=2026,$C51&lt;=2033),INDEX(Investment!$C$2:$C$9, MATCH($C51, Investment!$B$2:$B$9, 0)),0)</f>
        <v/>
      </c>
      <c r="J51">
        <f>IF($C51&lt;2026,0,(1-$B$3)*J50+I51)</f>
        <v/>
      </c>
      <c r="K51" s="19">
        <f>E51+J51</f>
        <v/>
      </c>
      <c r="L51">
        <f>EXP(G51+$B$2*LN(K51))</f>
        <v/>
      </c>
      <c r="M51">
        <f>L51-H51</f>
        <v/>
      </c>
      <c r="N51">
        <f>F51+M51</f>
        <v/>
      </c>
      <c r="O51">
        <f>IFERROR(N51/N50-1,"")</f>
        <v/>
      </c>
      <c r="P51">
        <f>INDEX(WEO_Data!$D$8:$D$51, MATCH($C51, WEO_Data!$B$8:$B$51, 0))/100</f>
        <v/>
      </c>
    </row>
    <row r="52">
      <c r="C52" t="n">
        <v>2018</v>
      </c>
      <c r="D52">
        <f>IFERROR(E52/F52,"")</f>
        <v/>
      </c>
      <c r="E52" s="19">
        <f>IF($C52&lt;=2023,INDEX(PWT!$B$2:$B$35, MATCH($C52, PWT!$A$2:$A$35, 0)),$D$34*F52)</f>
        <v/>
      </c>
      <c r="F52">
        <f>INDEX(WEO_Data!$C$8:$C$51, MATCH($C52, WEO_Data!$B$8:$B$51, 0))*1000</f>
        <v/>
      </c>
      <c r="G52">
        <f>IF($C52&lt;=2023,INDEX($L$6:$L$27, MATCH($C52, $C$6:$C$27, 0)),TREND($L$6:$L$27, $C$6:$C$27, $C52))</f>
        <v/>
      </c>
      <c r="H52">
        <f>EXP(G52+$B$2*LN(E52))</f>
        <v/>
      </c>
      <c r="I52">
        <f>IF(AND($C52&gt;=2026,$C52&lt;=2033),INDEX(Investment!$C$2:$C$9, MATCH($C52, Investment!$B$2:$B$9, 0)),0)</f>
        <v/>
      </c>
      <c r="J52">
        <f>IF($C52&lt;2026,0,(1-$B$3)*J51+I52)</f>
        <v/>
      </c>
      <c r="K52" s="19">
        <f>E52+J52</f>
        <v/>
      </c>
      <c r="L52">
        <f>EXP(G52+$B$2*LN(K52))</f>
        <v/>
      </c>
      <c r="M52">
        <f>L52-H52</f>
        <v/>
      </c>
      <c r="N52">
        <f>F52+M52</f>
        <v/>
      </c>
      <c r="O52">
        <f>IFERROR(N52/N51-1,"")</f>
        <v/>
      </c>
      <c r="P52">
        <f>INDEX(WEO_Data!$D$8:$D$51, MATCH($C52, WEO_Data!$B$8:$B$51, 0))/100</f>
        <v/>
      </c>
    </row>
    <row r="53">
      <c r="C53" t="n">
        <v>2019</v>
      </c>
      <c r="D53">
        <f>IFERROR(E53/F53,"")</f>
        <v/>
      </c>
      <c r="E53" s="19">
        <f>IF($C53&lt;=2023,INDEX(PWT!$B$2:$B$35, MATCH($C53, PWT!$A$2:$A$35, 0)),$D$34*F53)</f>
        <v/>
      </c>
      <c r="F53">
        <f>INDEX(WEO_Data!$C$8:$C$51, MATCH($C53, WEO_Data!$B$8:$B$51, 0))*1000</f>
        <v/>
      </c>
      <c r="G53">
        <f>IF($C53&lt;=2023,INDEX($L$6:$L$27, MATCH($C53, $C$6:$C$27, 0)),TREND($L$6:$L$27, $C$6:$C$27, $C53))</f>
        <v/>
      </c>
      <c r="H53">
        <f>EXP(G53+$B$2*LN(E53))</f>
        <v/>
      </c>
      <c r="I53">
        <f>IF(AND($C53&gt;=2026,$C53&lt;=2033),INDEX(Investment!$C$2:$C$9, MATCH($C53, Investment!$B$2:$B$9, 0)),0)</f>
        <v/>
      </c>
      <c r="J53">
        <f>IF($C53&lt;2026,0,(1-$B$3)*J52+I53)</f>
        <v/>
      </c>
      <c r="K53" s="19">
        <f>E53+J53</f>
        <v/>
      </c>
      <c r="L53">
        <f>EXP(G53+$B$2*LN(K53))</f>
        <v/>
      </c>
      <c r="M53">
        <f>L53-H53</f>
        <v/>
      </c>
      <c r="N53">
        <f>F53+M53</f>
        <v/>
      </c>
      <c r="O53">
        <f>IFERROR(N53/N52-1,"")</f>
        <v/>
      </c>
      <c r="P53">
        <f>INDEX(WEO_Data!$D$8:$D$51, MATCH($C53, WEO_Data!$B$8:$B$51, 0))/100</f>
        <v/>
      </c>
    </row>
    <row r="54">
      <c r="C54" t="n">
        <v>2020</v>
      </c>
      <c r="D54">
        <f>IFERROR(E54/F54,"")</f>
        <v/>
      </c>
      <c r="E54" s="19">
        <f>IF($C54&lt;=2023,INDEX(PWT!$B$2:$B$35, MATCH($C54, PWT!$A$2:$A$35, 0)),$D$34*F54)</f>
        <v/>
      </c>
      <c r="F54">
        <f>INDEX(WEO_Data!$C$8:$C$51, MATCH($C54, WEO_Data!$B$8:$B$51, 0))*1000</f>
        <v/>
      </c>
      <c r="G54">
        <f>IF($C54&lt;=2023,INDEX($L$6:$L$27, MATCH($C54, $C$6:$C$27, 0)),TREND($L$6:$L$27, $C$6:$C$27, $C54))</f>
        <v/>
      </c>
      <c r="H54">
        <f>EXP(G54+$B$2*LN(E54))</f>
        <v/>
      </c>
      <c r="I54">
        <f>IF(AND($C54&gt;=2026,$C54&lt;=2033),INDEX(Investment!$C$2:$C$9, MATCH($C54, Investment!$B$2:$B$9, 0)),0)</f>
        <v/>
      </c>
      <c r="J54">
        <f>IF($C54&lt;2026,0,(1-$B$3)*J53+I54)</f>
        <v/>
      </c>
      <c r="K54" s="19">
        <f>E54+J54</f>
        <v/>
      </c>
      <c r="L54">
        <f>EXP(G54+$B$2*LN(K54))</f>
        <v/>
      </c>
      <c r="M54">
        <f>L54-H54</f>
        <v/>
      </c>
      <c r="N54">
        <f>F54+M54</f>
        <v/>
      </c>
      <c r="O54">
        <f>IFERROR(N54/N53-1,"")</f>
        <v/>
      </c>
      <c r="P54">
        <f>INDEX(WEO_Data!$D$8:$D$51, MATCH($C54, WEO_Data!$B$8:$B$51, 0))/100</f>
        <v/>
      </c>
    </row>
    <row r="55">
      <c r="C55" t="n">
        <v>2021</v>
      </c>
      <c r="D55">
        <f>IFERROR(E55/F55,"")</f>
        <v/>
      </c>
      <c r="E55" s="19">
        <f>IF($C55&lt;=2023,INDEX(PWT!$B$2:$B$35, MATCH($C55, PWT!$A$2:$A$35, 0)),$D$34*F55)</f>
        <v/>
      </c>
      <c r="F55">
        <f>INDEX(WEO_Data!$C$8:$C$51, MATCH($C55, WEO_Data!$B$8:$B$51, 0))*1000</f>
        <v/>
      </c>
      <c r="G55">
        <f>IF($C55&lt;=2023,INDEX($L$6:$L$27, MATCH($C55, $C$6:$C$27, 0)),TREND($L$6:$L$27, $C$6:$C$27, $C55))</f>
        <v/>
      </c>
      <c r="H55">
        <f>EXP(G55+$B$2*LN(E55))</f>
        <v/>
      </c>
      <c r="I55">
        <f>IF(AND($C55&gt;=2026,$C55&lt;=2033),INDEX(Investment!$C$2:$C$9, MATCH($C55, Investment!$B$2:$B$9, 0)),0)</f>
        <v/>
      </c>
      <c r="J55">
        <f>IF($C55&lt;2026,0,(1-$B$3)*J54+I55)</f>
        <v/>
      </c>
      <c r="K55" s="19">
        <f>E55+J55</f>
        <v/>
      </c>
      <c r="L55">
        <f>EXP(G55+$B$2*LN(K55))</f>
        <v/>
      </c>
      <c r="M55">
        <f>L55-H55</f>
        <v/>
      </c>
      <c r="N55">
        <f>F55+M55</f>
        <v/>
      </c>
      <c r="O55">
        <f>IFERROR(N55/N54-1,"")</f>
        <v/>
      </c>
      <c r="P55">
        <f>INDEX(WEO_Data!$D$8:$D$51, MATCH($C55, WEO_Data!$B$8:$B$51, 0))/100</f>
        <v/>
      </c>
    </row>
    <row r="56">
      <c r="C56" t="n">
        <v>2022</v>
      </c>
      <c r="D56">
        <f>IFERROR(E56/F56,"")</f>
        <v/>
      </c>
      <c r="E56" s="19">
        <f>IF($C56&lt;=2023,INDEX(PWT!$B$2:$B$35, MATCH($C56, PWT!$A$2:$A$35, 0)),$D$34*F56)</f>
        <v/>
      </c>
      <c r="F56">
        <f>INDEX(WEO_Data!$C$8:$C$51, MATCH($C56, WEO_Data!$B$8:$B$51, 0))*1000</f>
        <v/>
      </c>
      <c r="G56">
        <f>IF($C56&lt;=2023,INDEX($L$6:$L$27, MATCH($C56, $C$6:$C$27, 0)),TREND($L$6:$L$27, $C$6:$C$27, $C56))</f>
        <v/>
      </c>
      <c r="H56">
        <f>EXP(G56+$B$2*LN(E56))</f>
        <v/>
      </c>
      <c r="I56">
        <f>IF(AND($C56&gt;=2026,$C56&lt;=2033),INDEX(Investment!$C$2:$C$9, MATCH($C56, Investment!$B$2:$B$9, 0)),0)</f>
        <v/>
      </c>
      <c r="J56">
        <f>IF($C56&lt;2026,0,(1-$B$3)*J55+I56)</f>
        <v/>
      </c>
      <c r="K56" s="19">
        <f>E56+J56</f>
        <v/>
      </c>
      <c r="L56">
        <f>EXP(G56+$B$2*LN(K56))</f>
        <v/>
      </c>
      <c r="M56">
        <f>L56-H56</f>
        <v/>
      </c>
      <c r="N56">
        <f>F56+M56</f>
        <v/>
      </c>
      <c r="O56">
        <f>IFERROR(N56/N55-1,"")</f>
        <v/>
      </c>
      <c r="P56">
        <f>INDEX(WEO_Data!$D$8:$D$51, MATCH($C56, WEO_Data!$B$8:$B$51, 0))/100</f>
        <v/>
      </c>
    </row>
    <row r="57">
      <c r="C57" t="n">
        <v>2023</v>
      </c>
      <c r="D57">
        <f>IFERROR(E57/F57,"")</f>
        <v/>
      </c>
      <c r="E57" s="19">
        <f>IF($C57&lt;=2023,INDEX(PWT!$B$2:$B$35, MATCH($C57, PWT!$A$2:$A$35, 0)),$D$34*F57)</f>
        <v/>
      </c>
      <c r="F57">
        <f>INDEX(WEO_Data!$C$8:$C$51, MATCH($C57, WEO_Data!$B$8:$B$51, 0))*1000</f>
        <v/>
      </c>
      <c r="G57">
        <f>IF($C57&lt;=2023,INDEX($L$6:$L$27, MATCH($C57, $C$6:$C$27, 0)),TREND($L$6:$L$27, $C$6:$C$27, $C57))</f>
        <v/>
      </c>
      <c r="H57">
        <f>EXP(G57+$B$2*LN(E57))</f>
        <v/>
      </c>
      <c r="I57">
        <f>IF(AND($C57&gt;=2026,$C57&lt;=2033),INDEX(Investment!$C$2:$C$9, MATCH($C57, Investment!$B$2:$B$9, 0)),0)</f>
        <v/>
      </c>
      <c r="J57">
        <f>IF($C57&lt;2026,0,(1-$B$3)*J56+I57)</f>
        <v/>
      </c>
      <c r="K57" s="19">
        <f>E57+J57</f>
        <v/>
      </c>
      <c r="L57">
        <f>EXP(G57+$B$2*LN(K57))</f>
        <v/>
      </c>
      <c r="M57">
        <f>L57-H57</f>
        <v/>
      </c>
      <c r="N57">
        <f>F57+M57</f>
        <v/>
      </c>
      <c r="O57">
        <f>IFERROR(N57/N56-1,"")</f>
        <v/>
      </c>
      <c r="P57">
        <f>INDEX(WEO_Data!$D$8:$D$51, MATCH($C57, WEO_Data!$B$8:$B$51, 0))/100</f>
        <v/>
      </c>
    </row>
    <row r="58">
      <c r="C58" t="n">
        <v>2024</v>
      </c>
      <c r="D58">
        <f>IFERROR(E58/F58,"")</f>
        <v/>
      </c>
      <c r="E58" s="21">
        <f>IF($C58&lt;=2023,INDEX(PWT!$B$2:$B$35, MATCH($C58, PWT!$A$2:$A$35, 0)),$D$34*F58)</f>
        <v/>
      </c>
      <c r="F58">
        <f>INDEX(WEO_Data!$C$8:$C$51, MATCH($C58, WEO_Data!$B$8:$B$51, 0))*1000</f>
        <v/>
      </c>
      <c r="G58" s="20">
        <f>IF($C58&lt;=2023,INDEX($L$6:$L$27, MATCH($C58, $C$6:$C$27, 0)),TREND($L$6:$L$27, $C$6:$C$27, $C58))</f>
        <v/>
      </c>
      <c r="H58">
        <f>EXP(G58+$B$2*LN(E58))</f>
        <v/>
      </c>
      <c r="I58">
        <f>IF(AND($C58&gt;=2026,$C58&lt;=2033),INDEX(Investment!$C$2:$C$9, MATCH($C58, Investment!$B$2:$B$9, 0)),0)</f>
        <v/>
      </c>
      <c r="J58">
        <f>IF($C58&lt;2026,0,(1-$B$3)*J57+I58)</f>
        <v/>
      </c>
      <c r="K58" s="19">
        <f>E58+J58</f>
        <v/>
      </c>
      <c r="L58">
        <f>EXP(G58+$B$2*LN(K58))</f>
        <v/>
      </c>
      <c r="M58">
        <f>L58-H58</f>
        <v/>
      </c>
      <c r="N58">
        <f>F58+M58</f>
        <v/>
      </c>
      <c r="O58">
        <f>IFERROR(N58/N57-1,"")</f>
        <v/>
      </c>
      <c r="P58">
        <f>INDEX(WEO_Data!$D$8:$D$51, MATCH($C58, WEO_Data!$B$8:$B$51, 0))/100</f>
        <v/>
      </c>
    </row>
    <row r="59">
      <c r="C59" t="n">
        <v>2025</v>
      </c>
      <c r="D59">
        <f>IFERROR(E59/F59,"")</f>
        <v/>
      </c>
      <c r="E59" s="21">
        <f>IF($C59&lt;=2023,INDEX(PWT!$B$2:$B$35, MATCH($C59, PWT!$A$2:$A$35, 0)),$D$34*F59)</f>
        <v/>
      </c>
      <c r="F59">
        <f>INDEX(WEO_Data!$C$8:$C$51, MATCH($C59, WEO_Data!$B$8:$B$51, 0))*1000</f>
        <v/>
      </c>
      <c r="G59" s="20">
        <f>IF($C59&lt;=2023,INDEX($L$6:$L$27, MATCH($C59, $C$6:$C$27, 0)),TREND($L$6:$L$27, $C$6:$C$27, $C59))</f>
        <v/>
      </c>
      <c r="H59">
        <f>EXP(G59+$B$2*LN(E59))</f>
        <v/>
      </c>
      <c r="I59">
        <f>IF(AND($C59&gt;=2026,$C59&lt;=2033),INDEX(Investment!$C$2:$C$9, MATCH($C59, Investment!$B$2:$B$9, 0)),0)</f>
        <v/>
      </c>
      <c r="J59">
        <f>IF($C59&lt;2026,0,(1-$B$3)*J58+I59)</f>
        <v/>
      </c>
      <c r="K59" s="19">
        <f>E59+J59</f>
        <v/>
      </c>
      <c r="L59">
        <f>EXP(G59+$B$2*LN(K59))</f>
        <v/>
      </c>
      <c r="M59">
        <f>L59-H59</f>
        <v/>
      </c>
      <c r="N59">
        <f>F59+M59</f>
        <v/>
      </c>
      <c r="O59">
        <f>IFERROR(N59/N58-1,"")</f>
        <v/>
      </c>
      <c r="P59">
        <f>INDEX(WEO_Data!$D$8:$D$51, MATCH($C59, WEO_Data!$B$8:$B$51, 0))/100</f>
        <v/>
      </c>
    </row>
    <row r="60">
      <c r="C60" t="n">
        <v>2026</v>
      </c>
      <c r="D60">
        <f>IFERROR(E60/F60,"")</f>
        <v/>
      </c>
      <c r="E60" s="21">
        <f>IF($C60&lt;=2023,INDEX(PWT!$B$2:$B$35, MATCH($C60, PWT!$A$2:$A$35, 0)),$D$34*F60)</f>
        <v/>
      </c>
      <c r="F60" s="20">
        <f>INDEX(WEO_Data!$C$8:$C$51, MATCH($C60, WEO_Data!$B$8:$B$51, 0))*1000</f>
        <v/>
      </c>
      <c r="G60" s="20">
        <f>IF($C60&lt;=2023,INDEX($L$6:$L$27, MATCH($C60, $C$6:$C$27, 0)),TREND($L$6:$L$27, $C$6:$C$27, $C60))</f>
        <v/>
      </c>
      <c r="H60">
        <f>EXP(G60+$B$2*LN(E60))</f>
        <v/>
      </c>
      <c r="I60" s="17">
        <f>IF(AND($C60&gt;=2026,$C60&lt;=2033),INDEX(Investment!$C$2:$C$9, MATCH($C60, Investment!$B$2:$B$9, 0)),0)</f>
        <v/>
      </c>
      <c r="J60">
        <f>IF($C60&lt;2026,0,(1-$B$3)*J59+I60)</f>
        <v/>
      </c>
      <c r="K60" s="19">
        <f>E60+J60</f>
        <v/>
      </c>
      <c r="L60">
        <f>EXP(G60+$B$2*LN(K60))</f>
        <v/>
      </c>
      <c r="M60">
        <f>L60-H60</f>
        <v/>
      </c>
      <c r="N60">
        <f>F60+M60</f>
        <v/>
      </c>
      <c r="O60">
        <f>IFERROR(N60/N59-1,"")</f>
        <v/>
      </c>
      <c r="P60">
        <f>INDEX(WEO_Data!$D$8:$D$51, MATCH($C60, WEO_Data!$B$8:$B$51, 0))/100</f>
        <v/>
      </c>
    </row>
    <row r="61">
      <c r="C61" t="n">
        <v>2027</v>
      </c>
      <c r="D61">
        <f>IFERROR(E61/F61,"")</f>
        <v/>
      </c>
      <c r="E61" s="21">
        <f>IF($C61&lt;=2023,INDEX(PWT!$B$2:$B$35, MATCH($C61, PWT!$A$2:$A$35, 0)),$D$34*F61)</f>
        <v/>
      </c>
      <c r="F61" s="20">
        <f>INDEX(WEO_Data!$C$8:$C$51, MATCH($C61, WEO_Data!$B$8:$B$51, 0))*1000</f>
        <v/>
      </c>
      <c r="G61" s="20">
        <f>IF($C61&lt;=2023,INDEX($L$6:$L$27, MATCH($C61, $C$6:$C$27, 0)),TREND($L$6:$L$27, $C$6:$C$27, $C61))</f>
        <v/>
      </c>
      <c r="H61">
        <f>EXP(G61+$B$2*LN(E61))</f>
        <v/>
      </c>
      <c r="I61" s="17">
        <f>IF(AND($C61&gt;=2026,$C61&lt;=2033),INDEX(Investment!$C$2:$C$9, MATCH($C61, Investment!$B$2:$B$9, 0)),0)</f>
        <v/>
      </c>
      <c r="J61">
        <f>IF($C61&lt;2026,0,(1-$B$3)*J60+I61)</f>
        <v/>
      </c>
      <c r="K61" s="19">
        <f>E61+J61</f>
        <v/>
      </c>
      <c r="L61">
        <f>EXP(G61+$B$2*LN(K61))</f>
        <v/>
      </c>
      <c r="M61">
        <f>L61-H61</f>
        <v/>
      </c>
      <c r="N61">
        <f>F61+M61</f>
        <v/>
      </c>
      <c r="O61">
        <f>IFERROR(N61/N60-1,"")</f>
        <v/>
      </c>
      <c r="P61">
        <f>INDEX(WEO_Data!$D$8:$D$51, MATCH($C61, WEO_Data!$B$8:$B$51, 0))/100</f>
        <v/>
      </c>
    </row>
    <row r="62">
      <c r="C62" t="n">
        <v>2028</v>
      </c>
      <c r="D62">
        <f>IFERROR(E62/F62,"")</f>
        <v/>
      </c>
      <c r="E62" s="21">
        <f>IF($C62&lt;=2023,INDEX(PWT!$B$2:$B$35, MATCH($C62, PWT!$A$2:$A$35, 0)),$D$34*F62)</f>
        <v/>
      </c>
      <c r="F62" s="20">
        <f>INDEX(WEO_Data!$C$8:$C$51, MATCH($C62, WEO_Data!$B$8:$B$51, 0))*1000</f>
        <v/>
      </c>
      <c r="G62" s="20">
        <f>IF($C62&lt;=2023,INDEX($L$6:$L$27, MATCH($C62, $C$6:$C$27, 0)),TREND($L$6:$L$27, $C$6:$C$27, $C62))</f>
        <v/>
      </c>
      <c r="H62">
        <f>EXP(G62+$B$2*LN(E62))</f>
        <v/>
      </c>
      <c r="I62" s="17">
        <f>IF(AND($C62&gt;=2026,$C62&lt;=2033),INDEX(Investment!$C$2:$C$9, MATCH($C62, Investment!$B$2:$B$9, 0)),0)</f>
        <v/>
      </c>
      <c r="J62">
        <f>IF($C62&lt;2026,0,(1-$B$3)*J61+I62)</f>
        <v/>
      </c>
      <c r="K62" s="19">
        <f>E62+J62</f>
        <v/>
      </c>
      <c r="L62">
        <f>EXP(G62+$B$2*LN(K62))</f>
        <v/>
      </c>
      <c r="M62">
        <f>L62-H62</f>
        <v/>
      </c>
      <c r="N62">
        <f>F62+M62</f>
        <v/>
      </c>
      <c r="O62">
        <f>IFERROR(N62/N61-1,"")</f>
        <v/>
      </c>
      <c r="P62">
        <f>INDEX(WEO_Data!$D$8:$D$51, MATCH($C62, WEO_Data!$B$8:$B$51, 0))/100</f>
        <v/>
      </c>
    </row>
    <row r="63">
      <c r="C63" t="n">
        <v>2029</v>
      </c>
      <c r="D63">
        <f>IFERROR(E63/F63,"")</f>
        <v/>
      </c>
      <c r="E63" s="21">
        <f>IF($C63&lt;=2023,INDEX(PWT!$B$2:$B$35, MATCH($C63, PWT!$A$2:$A$35, 0)),$D$34*F63)</f>
        <v/>
      </c>
      <c r="F63" s="20">
        <f>INDEX(WEO_Data!$C$8:$C$51, MATCH($C63, WEO_Data!$B$8:$B$51, 0))*1000</f>
        <v/>
      </c>
      <c r="G63" s="20">
        <f>IF($C63&lt;=2023,INDEX($L$6:$L$27, MATCH($C63, $C$6:$C$27, 0)),TREND($L$6:$L$27, $C$6:$C$27, $C63))</f>
        <v/>
      </c>
      <c r="H63">
        <f>EXP(G63+$B$2*LN(E63))</f>
        <v/>
      </c>
      <c r="I63" s="17">
        <f>IF(AND($C63&gt;=2026,$C63&lt;=2033),INDEX(Investment!$C$2:$C$9, MATCH($C63, Investment!$B$2:$B$9, 0)),0)</f>
        <v/>
      </c>
      <c r="J63">
        <f>IF($C63&lt;2026,0,(1-$B$3)*J62+I63)</f>
        <v/>
      </c>
      <c r="K63" s="19">
        <f>E63+J63</f>
        <v/>
      </c>
      <c r="L63">
        <f>EXP(G63+$B$2*LN(K63))</f>
        <v/>
      </c>
      <c r="M63">
        <f>L63-H63</f>
        <v/>
      </c>
      <c r="N63">
        <f>F63+M63</f>
        <v/>
      </c>
      <c r="O63">
        <f>IFERROR(N63/N62-1,"")</f>
        <v/>
      </c>
      <c r="P63">
        <f>INDEX(WEO_Data!$D$8:$D$51, MATCH($C63, WEO_Data!$B$8:$B$51, 0))/100</f>
        <v/>
      </c>
    </row>
    <row r="64">
      <c r="C64" t="n">
        <v>2030</v>
      </c>
      <c r="D64">
        <f>IFERROR(E64/F64,"")</f>
        <v/>
      </c>
      <c r="E64" s="21">
        <f>IF($C64&lt;=2023,INDEX(PWT!$B$2:$B$35, MATCH($C64, PWT!$A$2:$A$35, 0)),$D$34*F64)</f>
        <v/>
      </c>
      <c r="F64" s="20">
        <f>INDEX(WEO_Data!$C$8:$C$51, MATCH($C64, WEO_Data!$B$8:$B$51, 0))*1000</f>
        <v/>
      </c>
      <c r="G64" s="20">
        <f>IF($C64&lt;=2023,INDEX($L$6:$L$27, MATCH($C64, $C$6:$C$27, 0)),TREND($L$6:$L$27, $C$6:$C$27, $C64))</f>
        <v/>
      </c>
      <c r="H64">
        <f>EXP(G64+$B$2*LN(E64))</f>
        <v/>
      </c>
      <c r="I64" s="17">
        <f>IF(AND($C64&gt;=2026,$C64&lt;=2033),INDEX(Investment!$C$2:$C$9, MATCH($C64, Investment!$B$2:$B$9, 0)),0)</f>
        <v/>
      </c>
      <c r="J64">
        <f>IF($C64&lt;2026,0,(1-$B$3)*J63+I64)</f>
        <v/>
      </c>
      <c r="K64" s="19">
        <f>E64+J64</f>
        <v/>
      </c>
      <c r="L64">
        <f>EXP(G64+$B$2*LN(K64))</f>
        <v/>
      </c>
      <c r="M64">
        <f>L64-H64</f>
        <v/>
      </c>
      <c r="N64">
        <f>F64+M64</f>
        <v/>
      </c>
      <c r="O64">
        <f>IFERROR(N64/N63-1,"")</f>
        <v/>
      </c>
      <c r="P64">
        <f>INDEX(WEO_Data!$D$8:$D$51, MATCH($C64, WEO_Data!$B$8:$B$51, 0))/100</f>
        <v/>
      </c>
    </row>
    <row r="65">
      <c r="C65" t="n">
        <v>2031</v>
      </c>
      <c r="D65">
        <f>IFERROR(E65/F65,"")</f>
        <v/>
      </c>
      <c r="E65" s="21">
        <f>IF($C65&lt;=2023,INDEX(PWT!$B$2:$B$35, MATCH($C65, PWT!$A$2:$A$35, 0)),$D$34*F65)</f>
        <v/>
      </c>
      <c r="F65" s="20">
        <f>INDEX(WEO_Data!$C$8:$C$51, MATCH($C65, WEO_Data!$B$8:$B$51, 0))*1000</f>
        <v/>
      </c>
      <c r="G65" s="20">
        <f>IF($C65&lt;=2023,INDEX($L$6:$L$27, MATCH($C65, $C$6:$C$27, 0)),TREND($L$6:$L$27, $C$6:$C$27, $C65))</f>
        <v/>
      </c>
      <c r="H65">
        <f>EXP(G65+$B$2*LN(E65))</f>
        <v/>
      </c>
      <c r="I65" s="17">
        <f>IF(AND($C65&gt;=2026,$C65&lt;=2033),INDEX(Investment!$C$2:$C$9, MATCH($C65, Investment!$B$2:$B$9, 0)),0)</f>
        <v/>
      </c>
      <c r="J65">
        <f>IF($C65&lt;2026,0,(1-$B$3)*J64+I65)</f>
        <v/>
      </c>
      <c r="K65" s="19">
        <f>E65+J65</f>
        <v/>
      </c>
      <c r="L65">
        <f>EXP(G65+$B$2*LN(K65))</f>
        <v/>
      </c>
      <c r="M65">
        <f>L65-H65</f>
        <v/>
      </c>
      <c r="N65">
        <f>F65+M65</f>
        <v/>
      </c>
      <c r="O65">
        <f>IFERROR(N65/N64-1,"")</f>
        <v/>
      </c>
      <c r="P65">
        <f>INDEX(WEO_Data!$D$8:$D$51, MATCH($C65, WEO_Data!$B$8:$B$51, 0))/100</f>
        <v/>
      </c>
    </row>
    <row r="66">
      <c r="C66" t="n">
        <v>2032</v>
      </c>
      <c r="D66">
        <f>IFERROR(E66/F66,"")</f>
        <v/>
      </c>
      <c r="E66" s="21">
        <f>IF($C66&lt;=2023,INDEX(PWT!$B$2:$B$35, MATCH($C66, PWT!$A$2:$A$35, 0)),$D$34*F66)</f>
        <v/>
      </c>
      <c r="F66" s="20">
        <f>INDEX(WEO_Data!$C$8:$C$51, MATCH($C66, WEO_Data!$B$8:$B$51, 0))*1000</f>
        <v/>
      </c>
      <c r="G66" s="20">
        <f>IF($C66&lt;=2023,INDEX($L$6:$L$27, MATCH($C66, $C$6:$C$27, 0)),TREND($L$6:$L$27, $C$6:$C$27, $C66))</f>
        <v/>
      </c>
      <c r="H66">
        <f>EXP(G66+$B$2*LN(E66))</f>
        <v/>
      </c>
      <c r="I66" s="17">
        <f>IF(AND($C66&gt;=2026,$C66&lt;=2033),INDEX(Investment!$C$2:$C$9, MATCH($C66, Investment!$B$2:$B$9, 0)),0)</f>
        <v/>
      </c>
      <c r="J66">
        <f>IF($C66&lt;2026,0,(1-$B$3)*J65+I66)</f>
        <v/>
      </c>
      <c r="K66" s="19">
        <f>E66+J66</f>
        <v/>
      </c>
      <c r="L66">
        <f>EXP(G66+$B$2*LN(K66))</f>
        <v/>
      </c>
      <c r="M66">
        <f>L66-H66</f>
        <v/>
      </c>
      <c r="N66">
        <f>F66+M66</f>
        <v/>
      </c>
      <c r="O66">
        <f>IFERROR(N66/N65-1,"")</f>
        <v/>
      </c>
      <c r="P66">
        <f>INDEX(WEO_Data!$D$8:$D$51, MATCH($C66, WEO_Data!$B$8:$B$51, 0))/100</f>
        <v/>
      </c>
    </row>
    <row r="67">
      <c r="C67" t="n">
        <v>2033</v>
      </c>
      <c r="D67">
        <f>IFERROR(E67/F67,"")</f>
        <v/>
      </c>
      <c r="E67" s="21">
        <f>IF($C67&lt;=2023,INDEX(PWT!$B$2:$B$35, MATCH($C67, PWT!$A$2:$A$35, 0)),$D$34*F67)</f>
        <v/>
      </c>
      <c r="F67" s="20">
        <f>INDEX(WEO_Data!$C$8:$C$51, MATCH($C67, WEO_Data!$B$8:$B$51, 0))*1000</f>
        <v/>
      </c>
      <c r="G67" s="20">
        <f>IF($C67&lt;=2023,INDEX($L$6:$L$27, MATCH($C67, $C$6:$C$27, 0)),TREND($L$6:$L$27, $C$6:$C$27, $C67))</f>
        <v/>
      </c>
      <c r="H67">
        <f>EXP(G67+$B$2*LN(E67))</f>
        <v/>
      </c>
      <c r="I67" s="17">
        <f>IF(AND($C67&gt;=2026,$C67&lt;=2033),INDEX(Investment!$C$2:$C$9, MATCH($C67, Investment!$B$2:$B$9, 0)),0)</f>
        <v/>
      </c>
      <c r="J67">
        <f>IF($C67&lt;2026,0,(1-$B$3)*J66+I67)</f>
        <v/>
      </c>
      <c r="K67" s="19">
        <f>E67+J67</f>
        <v/>
      </c>
      <c r="L67">
        <f>EXP(G67+$B$2*LN(K67))</f>
        <v/>
      </c>
      <c r="M67">
        <f>L67-H67</f>
        <v/>
      </c>
      <c r="N67">
        <f>F67+M67</f>
        <v/>
      </c>
      <c r="O67">
        <f>IFERROR(N67/N66-1,"")</f>
        <v/>
      </c>
      <c r="P67">
        <f>INDEX(WEO_Data!$D$8:$D$51, MATCH($C67, WEO_Data!$B$8:$B$51, 0))/100</f>
        <v/>
      </c>
    </row>
    <row r="68">
      <c r="C68" t="n">
        <v>2034</v>
      </c>
      <c r="D68">
        <f>IFERROR(E68/F68,"")</f>
        <v/>
      </c>
      <c r="E68" s="21">
        <f>IF($C68&lt;=2023,INDEX(PWT!$B$2:$B$35, MATCH($C68, PWT!$A$2:$A$35, 0)),$D$34*F68)</f>
        <v/>
      </c>
      <c r="F68" s="20">
        <f>INDEX(WEO_Data!$C$8:$C$51, MATCH($C68, WEO_Data!$B$8:$B$51, 0))*1000</f>
        <v/>
      </c>
      <c r="G68" s="20">
        <f>IF($C68&lt;=2023,INDEX($L$6:$L$27, MATCH($C68, $C$6:$C$27, 0)),TREND($L$6:$L$27, $C$6:$C$27, $C68))</f>
        <v/>
      </c>
      <c r="H68">
        <f>EXP(G68+$B$2*LN(E68))</f>
        <v/>
      </c>
      <c r="I68">
        <f>IF(AND($C68&gt;=2026,$C68&lt;=2033),INDEX(Investment!$C$2:$C$9, MATCH($C68, Investment!$B$2:$B$9, 0)),0)</f>
        <v/>
      </c>
      <c r="J68">
        <f>IF($C68&lt;2026,0,(1-$B$3)*J67+I68)</f>
        <v/>
      </c>
      <c r="K68" s="19">
        <f>E68+J68</f>
        <v/>
      </c>
      <c r="L68">
        <f>EXP(G68+$B$2*LN(K68))</f>
        <v/>
      </c>
      <c r="M68">
        <f>L68-H68</f>
        <v/>
      </c>
      <c r="N68">
        <f>F68+M68</f>
        <v/>
      </c>
      <c r="O68">
        <f>IFERROR(N68/N67-1,"")</f>
        <v/>
      </c>
      <c r="P68">
        <f>INDEX(WEO_Data!$D$8:$D$51, MATCH($C68, WEO_Data!$B$8:$B$51, 0))/100</f>
        <v/>
      </c>
    </row>
    <row r="69">
      <c r="C69" t="n">
        <v>2035</v>
      </c>
      <c r="D69">
        <f>IFERROR(E69/F69,"")</f>
        <v/>
      </c>
      <c r="E69" s="21">
        <f>IF($C69&lt;=2023,INDEX(PWT!$B$2:$B$35, MATCH($C69, PWT!$A$2:$A$35, 0)),$D$34*F69)</f>
        <v/>
      </c>
      <c r="F69" s="20">
        <f>INDEX(WEO_Data!$C$8:$C$51, MATCH($C69, WEO_Data!$B$8:$B$51, 0))*1000</f>
        <v/>
      </c>
      <c r="G69" s="20">
        <f>IF($C69&lt;=2023,INDEX($L$6:$L$27, MATCH($C69, $C$6:$C$27, 0)),TREND($L$6:$L$27, $C$6:$C$27, $C69))</f>
        <v/>
      </c>
      <c r="H69">
        <f>EXP(G69+$B$2*LN(E69))</f>
        <v/>
      </c>
      <c r="I69">
        <f>IF(AND($C69&gt;=2026,$C69&lt;=2033),INDEX(Investment!$C$2:$C$9, MATCH($C69, Investment!$B$2:$B$9, 0)),0)</f>
        <v/>
      </c>
      <c r="J69">
        <f>IF($C69&lt;2026,0,(1-$B$3)*J68+I69)</f>
        <v/>
      </c>
      <c r="K69" s="19">
        <f>E69+J69</f>
        <v/>
      </c>
      <c r="L69">
        <f>EXP(G69+$B$2*LN(K69))</f>
        <v/>
      </c>
      <c r="M69">
        <f>L69-H69</f>
        <v/>
      </c>
      <c r="N69">
        <f>F69+M69</f>
        <v/>
      </c>
      <c r="O69">
        <f>IFERROR(N69/N68-1,"")</f>
        <v/>
      </c>
      <c r="P69">
        <f>INDEX(WEO_Data!$D$8:$D$51, MATCH($C69, WEO_Data!$B$8:$B$51, 0))/100</f>
        <v/>
      </c>
    </row>
    <row r="70">
      <c r="C70" t="n">
        <v>2036</v>
      </c>
      <c r="D70">
        <f>IFERROR(E70/F70,"")</f>
        <v/>
      </c>
      <c r="E70" s="21">
        <f>IF($C70&lt;=2023,INDEX(PWT!$B$2:$B$35, MATCH($C70, PWT!$A$2:$A$35, 0)),$D$34*F70)</f>
        <v/>
      </c>
      <c r="F70" s="20">
        <f>INDEX(WEO_Data!$C$8:$C$51, MATCH($C70, WEO_Data!$B$8:$B$51, 0))*1000</f>
        <v/>
      </c>
      <c r="G70" s="20">
        <f>IF($C70&lt;=2023,INDEX($L$6:$L$27, MATCH($C70, $C$6:$C$27, 0)),TREND($L$6:$L$27, $C$6:$C$27, $C70))</f>
        <v/>
      </c>
      <c r="H70">
        <f>EXP(G70+$B$2*LN(E70))</f>
        <v/>
      </c>
      <c r="I70">
        <f>IF(AND($C70&gt;=2026,$C70&lt;=2033),INDEX(Investment!$C$2:$C$9, MATCH($C70, Investment!$B$2:$B$9, 0)),0)</f>
        <v/>
      </c>
      <c r="J70">
        <f>IF($C70&lt;2026,0,(1-$B$3)*J69+I70)</f>
        <v/>
      </c>
      <c r="K70" s="19">
        <f>E70+J70</f>
        <v/>
      </c>
      <c r="L70">
        <f>EXP(G70+$B$2*LN(K70))</f>
        <v/>
      </c>
      <c r="M70">
        <f>L70-H70</f>
        <v/>
      </c>
      <c r="N70">
        <f>F70+M70</f>
        <v/>
      </c>
      <c r="O70">
        <f>IFERROR(N70/N69-1,"")</f>
        <v/>
      </c>
      <c r="P70">
        <f>INDEX(WEO_Data!$D$8:$D$51, MATCH($C70, WEO_Data!$B$8:$B$51, 0))/100</f>
        <v/>
      </c>
    </row>
    <row r="71">
      <c r="C71" t="n">
        <v>2037</v>
      </c>
      <c r="D71">
        <f>IFERROR(E71/F71,"")</f>
        <v/>
      </c>
      <c r="E71" s="21">
        <f>IF($C71&lt;=2023,INDEX(PWT!$B$2:$B$35, MATCH($C71, PWT!$A$2:$A$35, 0)),$D$34*F71)</f>
        <v/>
      </c>
      <c r="F71" s="20">
        <f>INDEX(WEO_Data!$C$8:$C$51, MATCH($C71, WEO_Data!$B$8:$B$51, 0))*1000</f>
        <v/>
      </c>
      <c r="G71" s="20">
        <f>IF($C71&lt;=2023,INDEX($L$6:$L$27, MATCH($C71, $C$6:$C$27, 0)),TREND($L$6:$L$27, $C$6:$C$27, $C71))</f>
        <v/>
      </c>
      <c r="H71">
        <f>EXP(G71+$B$2*LN(E71))</f>
        <v/>
      </c>
      <c r="I71">
        <f>IF(AND($C71&gt;=2026,$C71&lt;=2033),INDEX(Investment!$C$2:$C$9, MATCH($C71, Investment!$B$2:$B$9, 0)),0)</f>
        <v/>
      </c>
      <c r="J71">
        <f>IF($C71&lt;2026,0,(1-$B$3)*J70+I71)</f>
        <v/>
      </c>
      <c r="K71" s="19">
        <f>E71+J71</f>
        <v/>
      </c>
      <c r="L71">
        <f>EXP(G71+$B$2*LN(K71))</f>
        <v/>
      </c>
      <c r="M71">
        <f>L71-H71</f>
        <v/>
      </c>
      <c r="N71">
        <f>F71+M71</f>
        <v/>
      </c>
      <c r="O71">
        <f>IFERROR(N71/N70-1,"")</f>
        <v/>
      </c>
      <c r="P71">
        <f>INDEX(WEO_Data!$D$8:$D$51, MATCH($C71, WEO_Data!$B$8:$B$51, 0))/100</f>
        <v/>
      </c>
    </row>
    <row r="72">
      <c r="C72" t="n">
        <v>2038</v>
      </c>
      <c r="D72">
        <f>IFERROR(E72/F72,"")</f>
        <v/>
      </c>
      <c r="E72" s="21">
        <f>IF($C72&lt;=2023,INDEX(PWT!$B$2:$B$35, MATCH($C72, PWT!$A$2:$A$35, 0)),$D$34*F72)</f>
        <v/>
      </c>
      <c r="F72" s="20">
        <f>INDEX(WEO_Data!$C$8:$C$51, MATCH($C72, WEO_Data!$B$8:$B$51, 0))*1000</f>
        <v/>
      </c>
      <c r="G72" s="20">
        <f>IF($C72&lt;=2023,INDEX($L$6:$L$27, MATCH($C72, $C$6:$C$27, 0)),TREND($L$6:$L$27, $C$6:$C$27, $C72))</f>
        <v/>
      </c>
      <c r="H72">
        <f>EXP(G72+$B$2*LN(E72))</f>
        <v/>
      </c>
      <c r="I72">
        <f>IF(AND($C72&gt;=2026,$C72&lt;=2033),INDEX(Investment!$C$2:$C$9, MATCH($C72, Investment!$B$2:$B$9, 0)),0)</f>
        <v/>
      </c>
      <c r="J72">
        <f>IF($C72&lt;2026,0,(1-$B$3)*J71+I72)</f>
        <v/>
      </c>
      <c r="K72" s="19">
        <f>E72+J72</f>
        <v/>
      </c>
      <c r="L72">
        <f>EXP(G72+$B$2*LN(K72))</f>
        <v/>
      </c>
      <c r="M72">
        <f>L72-H72</f>
        <v/>
      </c>
      <c r="N72">
        <f>F72+M72</f>
        <v/>
      </c>
      <c r="O72">
        <f>IFERROR(N72/N71-1,"")</f>
        <v/>
      </c>
      <c r="P72">
        <f>INDEX(WEO_Data!$D$8:$D$51, MATCH($C72, WEO_Data!$B$8:$B$51, 0))/100</f>
        <v/>
      </c>
    </row>
    <row r="73">
      <c r="C73" t="n">
        <v>2039</v>
      </c>
      <c r="D73">
        <f>IFERROR(E73/F73,"")</f>
        <v/>
      </c>
      <c r="E73" s="21">
        <f>IF($C73&lt;=2023,INDEX(PWT!$B$2:$B$35, MATCH($C73, PWT!$A$2:$A$35, 0)),$D$34*F73)</f>
        <v/>
      </c>
      <c r="F73" s="20">
        <f>INDEX(WEO_Data!$C$8:$C$51, MATCH($C73, WEO_Data!$B$8:$B$51, 0))*1000</f>
        <v/>
      </c>
      <c r="G73" s="20">
        <f>IF($C73&lt;=2023,INDEX($L$6:$L$27, MATCH($C73, $C$6:$C$27, 0)),TREND($L$6:$L$27, $C$6:$C$27, $C73))</f>
        <v/>
      </c>
      <c r="H73">
        <f>EXP(G73+$B$2*LN(E73))</f>
        <v/>
      </c>
      <c r="I73">
        <f>IF(AND($C73&gt;=2026,$C73&lt;=2033),INDEX(Investment!$C$2:$C$9, MATCH($C73, Investment!$B$2:$B$9, 0)),0)</f>
        <v/>
      </c>
      <c r="J73">
        <f>IF($C73&lt;2026,0,(1-$B$3)*J72+I73)</f>
        <v/>
      </c>
      <c r="K73" s="19">
        <f>E73+J73</f>
        <v/>
      </c>
      <c r="L73">
        <f>EXP(G73+$B$2*LN(K73))</f>
        <v/>
      </c>
      <c r="M73">
        <f>L73-H73</f>
        <v/>
      </c>
      <c r="N73">
        <f>F73+M73</f>
        <v/>
      </c>
      <c r="O73">
        <f>IFERROR(N73/N72-1,"")</f>
        <v/>
      </c>
      <c r="P73">
        <f>INDEX(WEO_Data!$D$8:$D$51, MATCH($C73, WEO_Data!$B$8:$B$51, 0))/100</f>
        <v/>
      </c>
    </row>
    <row r="74">
      <c r="C74" t="n">
        <v>2040</v>
      </c>
      <c r="D74">
        <f>IFERROR(E74/F74,"")</f>
        <v/>
      </c>
      <c r="E74" s="21">
        <f>IF($C74&lt;=2023,INDEX(PWT!$B$2:$B$35, MATCH($C74, PWT!$A$2:$A$35, 0)),$D$34*F74)</f>
        <v/>
      </c>
      <c r="F74" s="20">
        <f>INDEX(WEO_Data!$C$8:$C$51, MATCH($C74, WEO_Data!$B$8:$B$51, 0))*1000</f>
        <v/>
      </c>
      <c r="G74" s="20">
        <f>IF($C74&lt;=2023,INDEX($L$6:$L$27, MATCH($C74, $C$6:$C$27, 0)),TREND($L$6:$L$27, $C$6:$C$27, $C74))</f>
        <v/>
      </c>
      <c r="H74">
        <f>EXP(G74+$B$2*LN(E74))</f>
        <v/>
      </c>
      <c r="I74">
        <f>IF(AND($C74&gt;=2026,$C74&lt;=2033),INDEX(Investment!$C$2:$C$9, MATCH($C74, Investment!$B$2:$B$9, 0)),0)</f>
        <v/>
      </c>
      <c r="J74">
        <f>IF($C74&lt;2026,0,(1-$B$3)*J73+I74)</f>
        <v/>
      </c>
      <c r="K74" s="19">
        <f>E74+J74</f>
        <v/>
      </c>
      <c r="L74">
        <f>EXP(G74+$B$2*LN(K74))</f>
        <v/>
      </c>
      <c r="M74">
        <f>L74-H74</f>
        <v/>
      </c>
      <c r="N74">
        <f>F74+M74</f>
        <v/>
      </c>
      <c r="O74">
        <f>IFERROR(N74/N73-1,"")</f>
        <v/>
      </c>
      <c r="P74">
        <f>INDEX(WEO_Data!$D$8:$D$51, MATCH($C74, WEO_Data!$B$8:$B$51, 0))/100</f>
        <v/>
      </c>
    </row>
    <row r="75">
      <c r="C75" t="n">
        <v>2041</v>
      </c>
      <c r="D75">
        <f>IFERROR(E75/F75,"")</f>
        <v/>
      </c>
      <c r="E75" s="21">
        <f>IF($C75&lt;=2023,INDEX(PWT!$B$2:$B$35, MATCH($C75, PWT!$A$2:$A$35, 0)),$D$34*F75)</f>
        <v/>
      </c>
      <c r="F75" s="20">
        <f>INDEX(WEO_Data!$C$8:$C$51, MATCH($C75, WEO_Data!$B$8:$B$51, 0))*1000</f>
        <v/>
      </c>
      <c r="G75" s="20">
        <f>IF($C75&lt;=2023,INDEX($L$6:$L$27, MATCH($C75, $C$6:$C$27, 0)),TREND($L$6:$L$27, $C$6:$C$27, $C75))</f>
        <v/>
      </c>
      <c r="H75">
        <f>EXP(G75+$B$2*LN(E75))</f>
        <v/>
      </c>
      <c r="I75">
        <f>IF(AND($C75&gt;=2026,$C75&lt;=2033),INDEX(Investment!$C$2:$C$9, MATCH($C75, Investment!$B$2:$B$9, 0)),0)</f>
        <v/>
      </c>
      <c r="J75">
        <f>IF($C75&lt;2026,0,(1-$B$3)*J74+I75)</f>
        <v/>
      </c>
      <c r="K75" s="19">
        <f>E75+J75</f>
        <v/>
      </c>
      <c r="L75">
        <f>EXP(G75+$B$2*LN(K75))</f>
        <v/>
      </c>
      <c r="M75">
        <f>L75-H75</f>
        <v/>
      </c>
      <c r="N75">
        <f>F75+M75</f>
        <v/>
      </c>
      <c r="O75">
        <f>IFERROR(N75/N74-1,"")</f>
        <v/>
      </c>
      <c r="P75">
        <f>INDEX(WEO_Data!$D$8:$D$51, MATCH($C75, WEO_Data!$B$8:$B$51, 0))/100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  <c r="D1" t="inlineStr">
        <is>
          <t>Profile weight</t>
        </is>
      </c>
      <c r="E1" t="inlineStr">
        <is>
          <t>Total investment (deflated, model units)</t>
        </is>
      </c>
    </row>
    <row r="2">
      <c r="B2" s="16" t="n">
        <v>2026</v>
      </c>
      <c r="C2">
        <f>$E$2*D2/SUM($D$2:$D$9)</f>
        <v/>
      </c>
      <c r="D2" t="n">
        <v>648.5893137564417</v>
      </c>
      <c r="E2" t="n">
        <v>10583.81264097071</v>
      </c>
    </row>
    <row r="3">
      <c r="B3" s="16" t="n">
        <v>2027</v>
      </c>
      <c r="C3">
        <f>$E$2*D3/SUM($D$2:$D$9)</f>
        <v/>
      </c>
      <c r="D3" t="n">
        <v>1220.080196896535</v>
      </c>
    </row>
    <row r="4">
      <c r="B4" s="16" t="n">
        <v>2028</v>
      </c>
      <c r="C4">
        <f>$E$2*D4/SUM($D$2:$D$9)</f>
        <v/>
      </c>
      <c r="D4" t="n">
        <v>1756.17368014315</v>
      </c>
    </row>
    <row r="5">
      <c r="B5" s="16" t="n">
        <v>2029</v>
      </c>
      <c r="C5">
        <f>$E$2*D5/SUM($D$2:$D$9)</f>
        <v/>
      </c>
      <c r="D5" t="n">
        <v>2221.194700985215</v>
      </c>
    </row>
    <row r="6">
      <c r="B6" s="16" t="n">
        <v>2030</v>
      </c>
      <c r="C6">
        <f>$E$2*D6/SUM($D$2:$D$9)</f>
        <v/>
      </c>
      <c r="D6" t="n">
        <v>2122.467876455729</v>
      </c>
    </row>
    <row r="7">
      <c r="B7" s="16" t="n">
        <v>2031</v>
      </c>
      <c r="C7">
        <f>$E$2*D7/SUM($D$2:$D$9)</f>
        <v/>
      </c>
      <c r="D7" t="n">
        <v>1524.524585276747</v>
      </c>
    </row>
    <row r="8">
      <c r="B8" s="16" t="n">
        <v>2032</v>
      </c>
      <c r="C8">
        <f>$E$2*D8/SUM($D$2:$D$9)</f>
        <v/>
      </c>
      <c r="D8" t="n">
        <v>738.1763105598934</v>
      </c>
    </row>
    <row r="9">
      <c r="B9" s="16" t="n">
        <v>2033</v>
      </c>
      <c r="C9">
        <f>$E$2*D9/SUM($D$2:$D$9)</f>
        <v/>
      </c>
      <c r="D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304.5150917602001</v>
      </c>
      <c r="D2" s="19">
        <f>INDEX(PWT!$B$2:$B$35, MATCH(B2, PWT!$A$2:$A$35, 0))</f>
        <v/>
      </c>
      <c r="E2">
        <f>IFERROR(C2/D2,"")</f>
        <v/>
      </c>
    </row>
    <row r="3">
      <c r="A3" s="18" t="n">
        <v>35795</v>
      </c>
      <c r="B3" t="n">
        <v>1997</v>
      </c>
      <c r="C3" t="n">
        <v>383.641663608596</v>
      </c>
      <c r="D3" s="19">
        <f>INDEX(PWT!$B$2:$B$35, MATCH(B3, PWT!$A$2:$A$35, 0))</f>
        <v/>
      </c>
      <c r="E3">
        <f>IFERROR(C3/D3,"")</f>
        <v/>
      </c>
    </row>
    <row r="4">
      <c r="A4" s="18" t="n">
        <v>36160</v>
      </c>
      <c r="B4" t="n">
        <v>1998</v>
      </c>
      <c r="C4" t="n">
        <v>516.397121222809</v>
      </c>
      <c r="D4" s="19">
        <f>INDEX(PWT!$B$2:$B$35, MATCH(B4, PWT!$A$2:$A$35, 0))</f>
        <v/>
      </c>
      <c r="E4">
        <f>IFERROR(C4/D4,"")</f>
        <v/>
      </c>
    </row>
    <row r="5">
      <c r="A5" s="18" t="n">
        <v>36525</v>
      </c>
      <c r="B5" t="n">
        <v>1999</v>
      </c>
      <c r="C5" t="n">
        <v>661.603834429231</v>
      </c>
      <c r="D5" s="19">
        <f>INDEX(PWT!$B$2:$B$35, MATCH(B5, PWT!$A$2:$A$35, 0))</f>
        <v/>
      </c>
      <c r="E5">
        <f>IFERROR(C5/D5,"")</f>
        <v/>
      </c>
    </row>
    <row r="6">
      <c r="A6" s="18" t="n">
        <v>36891</v>
      </c>
      <c r="B6" t="n">
        <v>2000</v>
      </c>
      <c r="C6" t="n">
        <v>631.70100088782</v>
      </c>
      <c r="D6" s="19">
        <f>INDEX(PWT!$B$2:$B$35, MATCH(B6, PWT!$A$2:$A$35, 0))</f>
        <v/>
      </c>
      <c r="E6">
        <f>IFERROR(C6/D6,"")</f>
        <v/>
      </c>
    </row>
    <row r="7">
      <c r="A7" s="18" t="n">
        <v>37256</v>
      </c>
      <c r="B7" t="n">
        <v>2001</v>
      </c>
      <c r="C7" t="n">
        <v>706.983726789065</v>
      </c>
      <c r="D7" s="19">
        <f>INDEX(PWT!$B$2:$B$35, MATCH(B7, PWT!$A$2:$A$35, 0))</f>
        <v/>
      </c>
      <c r="E7">
        <f>IFERROR(C7/D7,"")</f>
        <v/>
      </c>
    </row>
    <row r="8">
      <c r="A8" s="18" t="n">
        <v>37621</v>
      </c>
      <c r="B8" t="n">
        <v>2002</v>
      </c>
      <c r="C8" t="n">
        <v>790.112565198609</v>
      </c>
      <c r="D8" s="19">
        <f>INDEX(PWT!$B$2:$B$35, MATCH(B8, PWT!$A$2:$A$35, 0))</f>
        <v/>
      </c>
      <c r="E8">
        <f>IFERROR(C8/D8,"")</f>
        <v/>
      </c>
    </row>
    <row r="9">
      <c r="A9" s="18" t="n">
        <v>37986</v>
      </c>
      <c r="B9" t="n">
        <v>2003</v>
      </c>
      <c r="C9" t="n">
        <v>932.9162196711591</v>
      </c>
      <c r="D9" s="19">
        <f>INDEX(PWT!$B$2:$B$35, MATCH(B9, PWT!$A$2:$A$35, 0))</f>
        <v/>
      </c>
      <c r="E9">
        <f>IFERROR(C9/D9,"")</f>
        <v/>
      </c>
    </row>
    <row r="10">
      <c r="A10" s="18" t="n">
        <v>38352</v>
      </c>
      <c r="B10" t="n">
        <v>2004</v>
      </c>
      <c r="C10" t="n">
        <v>976.818537799271</v>
      </c>
      <c r="D10" s="19">
        <f>INDEX(PWT!$B$2:$B$35, MATCH(B10, PWT!$A$2:$A$35, 0))</f>
        <v/>
      </c>
      <c r="E10">
        <f>IFERROR(C10/D10,"")</f>
        <v/>
      </c>
    </row>
    <row r="11">
      <c r="A11" s="18" t="n">
        <v>38717</v>
      </c>
      <c r="B11" t="n">
        <v>2005</v>
      </c>
      <c r="C11" t="n">
        <v>1113.45005859263</v>
      </c>
      <c r="D11" s="19">
        <f>INDEX(PWT!$B$2:$B$35, MATCH(B11, PWT!$A$2:$A$35, 0))</f>
        <v/>
      </c>
      <c r="E11">
        <f>IFERROR(C11/D11,"")</f>
        <v/>
      </c>
    </row>
    <row r="12">
      <c r="A12" s="18" t="n">
        <v>39082</v>
      </c>
      <c r="B12" t="n">
        <v>2006</v>
      </c>
      <c r="C12" t="n">
        <v>1306.37308413224</v>
      </c>
      <c r="D12" s="19">
        <f>INDEX(PWT!$B$2:$B$35, MATCH(B12, PWT!$A$2:$A$35, 0))</f>
        <v/>
      </c>
      <c r="E12">
        <f>IFERROR(C12/D12,"")</f>
        <v/>
      </c>
    </row>
    <row r="13">
      <c r="A13" s="18" t="n">
        <v>39447</v>
      </c>
      <c r="B13" t="n">
        <v>2007</v>
      </c>
      <c r="C13" t="n">
        <v>1617.02996625711</v>
      </c>
      <c r="D13" s="19">
        <f>INDEX(PWT!$B$2:$B$35, MATCH(B13, PWT!$A$2:$A$35, 0))</f>
        <v/>
      </c>
      <c r="E13">
        <f>IFERROR(C13/D13,"")</f>
        <v/>
      </c>
    </row>
    <row r="14">
      <c r="A14" s="18" t="n">
        <v>39813</v>
      </c>
      <c r="B14" t="n">
        <v>2008</v>
      </c>
      <c r="C14" t="n">
        <v>1758.0492676717</v>
      </c>
      <c r="D14" s="19">
        <f>INDEX(PWT!$B$2:$B$35, MATCH(B14, PWT!$A$2:$A$35, 0))</f>
        <v/>
      </c>
      <c r="E14">
        <f>IFERROR(C14/D14,"")</f>
        <v/>
      </c>
    </row>
    <row r="15">
      <c r="A15" s="18" t="n">
        <v>40178</v>
      </c>
      <c r="B15" t="n">
        <v>2009</v>
      </c>
      <c r="C15" t="n">
        <v>1751.36668488131</v>
      </c>
      <c r="D15" s="19">
        <f>INDEX(PWT!$B$2:$B$35, MATCH(B15, PWT!$A$2:$A$35, 0))</f>
        <v/>
      </c>
      <c r="E15">
        <f>IFERROR(C15/D15,"")</f>
        <v/>
      </c>
    </row>
    <row r="16">
      <c r="A16" s="18" t="n">
        <v>40543</v>
      </c>
      <c r="B16" t="n">
        <v>2010</v>
      </c>
      <c r="C16" t="n">
        <v>2046.41323466733</v>
      </c>
      <c r="D16" s="19">
        <f>INDEX(PWT!$B$2:$B$35, MATCH(B16, PWT!$A$2:$A$35, 0))</f>
        <v/>
      </c>
      <c r="E16">
        <f>IFERROR(C16/D16,"")</f>
        <v/>
      </c>
    </row>
    <row r="17">
      <c r="A17" s="18" t="n">
        <v>40908</v>
      </c>
      <c r="B17" t="n">
        <v>2011</v>
      </c>
      <c r="C17" t="n">
        <v>2350.51240590543</v>
      </c>
      <c r="D17" s="19">
        <f>INDEX(PWT!$B$2:$B$35, MATCH(B17, PWT!$A$2:$A$35, 0))</f>
        <v/>
      </c>
      <c r="E17">
        <f>IFERROR(C17/D17,"")</f>
        <v/>
      </c>
    </row>
    <row r="18">
      <c r="A18" s="18" t="n">
        <v>41274</v>
      </c>
      <c r="B18" t="n">
        <v>2012</v>
      </c>
      <c r="C18" t="n">
        <v>2643.60288796874</v>
      </c>
      <c r="D18" s="19">
        <f>INDEX(PWT!$B$2:$B$35, MATCH(B18, PWT!$A$2:$A$35, 0))</f>
        <v/>
      </c>
      <c r="E18">
        <f>IFERROR(C18/D18,"")</f>
        <v/>
      </c>
    </row>
    <row r="19">
      <c r="A19" s="18" t="n">
        <v>41639</v>
      </c>
      <c r="B19" t="n">
        <v>2013</v>
      </c>
      <c r="C19" t="n">
        <v>1555.93215231816</v>
      </c>
      <c r="D19" s="19">
        <f>INDEX(PWT!$B$2:$B$35, MATCH(B19, PWT!$A$2:$A$35, 0))</f>
        <v/>
      </c>
      <c r="E19">
        <f>IFERROR(C19/D19,"")</f>
        <v/>
      </c>
    </row>
    <row r="20">
      <c r="A20" s="18" t="n">
        <v>42004</v>
      </c>
      <c r="B20" t="n">
        <v>2014</v>
      </c>
      <c r="C20" t="n">
        <v>2984.8904686878</v>
      </c>
      <c r="D20" s="19">
        <f>INDEX(PWT!$B$2:$B$35, MATCH(B20, PWT!$A$2:$A$35, 0))</f>
        <v/>
      </c>
      <c r="E20">
        <f>IFERROR(C20/D20,"")</f>
        <v/>
      </c>
    </row>
    <row r="21">
      <c r="A21" s="18" t="n">
        <v>42369</v>
      </c>
      <c r="B21" t="n">
        <v>2015</v>
      </c>
      <c r="C21" t="n">
        <v>3657.28067254249</v>
      </c>
      <c r="D21" s="19">
        <f>INDEX(PWT!$B$2:$B$35, MATCH(B21, PWT!$A$2:$A$35, 0))</f>
        <v/>
      </c>
      <c r="E21">
        <f>IFERROR(C21/D21,"")</f>
        <v/>
      </c>
    </row>
    <row r="22">
      <c r="A22" s="18" t="n">
        <v>42735</v>
      </c>
      <c r="B22" t="n">
        <v>2016</v>
      </c>
      <c r="C22" t="n">
        <v>4004.82871985304</v>
      </c>
      <c r="D22" s="19">
        <f>INDEX(PWT!$B$2:$B$35, MATCH(B22, PWT!$A$2:$A$35, 0))</f>
        <v/>
      </c>
      <c r="E22">
        <f>IFERROR(C22/D22,"")</f>
        <v/>
      </c>
    </row>
    <row r="23">
      <c r="A23" s="18" t="n">
        <v>43100</v>
      </c>
      <c r="B23" t="n">
        <v>2017</v>
      </c>
      <c r="C23" t="n">
        <v>4492.92133490825</v>
      </c>
      <c r="D23" s="19">
        <f>INDEX(PWT!$B$2:$B$35, MATCH(B23, PWT!$A$2:$A$35, 0))</f>
        <v/>
      </c>
      <c r="E23">
        <f>IFERROR(C23/D23,"")</f>
        <v/>
      </c>
    </row>
    <row r="24">
      <c r="A24" s="18" t="n">
        <v>43465</v>
      </c>
      <c r="B24" t="n">
        <v>2018</v>
      </c>
      <c r="C24" t="n">
        <v>4843.616440286271</v>
      </c>
      <c r="D24" s="19">
        <f>INDEX(PWT!$B$2:$B$35, MATCH(B24, PWT!$A$2:$A$35, 0))</f>
        <v/>
      </c>
      <c r="E24">
        <f>IFERROR(C24/D24,"")</f>
        <v/>
      </c>
    </row>
    <row r="25">
      <c r="A25" s="18" t="n">
        <v>43830</v>
      </c>
      <c r="B25" t="n">
        <v>2019</v>
      </c>
      <c r="C25" t="n">
        <v>5452.95737935004</v>
      </c>
      <c r="D25" s="19">
        <f>INDEX(PWT!$B$2:$B$35, MATCH(B25, PWT!$A$2:$A$35, 0))</f>
        <v/>
      </c>
      <c r="E25">
        <f>IFERROR(C25/D25,"")</f>
        <v/>
      </c>
    </row>
    <row r="26">
      <c r="A26" s="18" t="n">
        <v>44196</v>
      </c>
      <c r="B26" t="n">
        <v>2020</v>
      </c>
      <c r="C26" t="n">
        <v>6152.769261618049</v>
      </c>
      <c r="D26" s="19">
        <f>INDEX(PWT!$B$2:$B$35, MATCH(B26, PWT!$A$2:$A$35, 0))</f>
        <v/>
      </c>
      <c r="E26">
        <f>IFERROR(C26/D26,"")</f>
        <v/>
      </c>
    </row>
    <row r="27">
      <c r="A27" s="18" t="n">
        <v>44561</v>
      </c>
      <c r="B27" t="n">
        <v>2021</v>
      </c>
      <c r="C27" t="n">
        <v>7072.625348898229</v>
      </c>
      <c r="D27" s="19">
        <f>INDEX(PWT!$B$2:$B$35, MATCH(B27, PWT!$A$2:$A$35, 0))</f>
        <v/>
      </c>
      <c r="E27">
        <f>IFERROR(C27/D27,"")</f>
        <v/>
      </c>
    </row>
    <row r="28">
      <c r="A28" s="18" t="n">
        <v>44926</v>
      </c>
      <c r="B28" t="n">
        <v>2022</v>
      </c>
      <c r="C28" t="n">
        <v>7661.44847488107</v>
      </c>
      <c r="D28" s="19">
        <f>INDEX(PWT!$B$2:$B$35, MATCH(B28, PWT!$A$2:$A$35, 0))</f>
        <v/>
      </c>
      <c r="E28">
        <f>IFERROR(C28/D28,"")</f>
        <v/>
      </c>
    </row>
    <row r="29">
      <c r="A29" s="18" t="n">
        <v>45291</v>
      </c>
      <c r="B29" t="n">
        <v>2023</v>
      </c>
      <c r="C29" t="n">
        <v>9410.657843710351</v>
      </c>
      <c r="D29" s="19">
        <f>INDEX(PWT!$B$2:$B$35, MATCH(B29, PWT!$A$2:$A$35, 0))</f>
        <v/>
      </c>
      <c r="E29">
        <f>IFERROR(C29/D29,"")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rgdpna</t>
        </is>
      </c>
    </row>
    <row r="2">
      <c r="A2" s="19" t="n">
        <v>1990</v>
      </c>
      <c r="B2" s="19" t="n">
        <v>333953.90625</v>
      </c>
      <c r="C2" t="n">
        <v>67440.0546875</v>
      </c>
    </row>
    <row r="3">
      <c r="A3" s="19" t="n">
        <v>1991</v>
      </c>
      <c r="B3" s="19" t="n">
        <v>336800.125</v>
      </c>
      <c r="C3" t="n">
        <v>53052.83984375</v>
      </c>
    </row>
    <row r="4">
      <c r="A4" s="19" t="n">
        <v>1992</v>
      </c>
      <c r="B4" s="19" t="n">
        <v>331575.34375</v>
      </c>
      <c r="C4" t="n">
        <v>29442.9375</v>
      </c>
    </row>
    <row r="5">
      <c r="A5" s="19" t="n">
        <v>1993</v>
      </c>
      <c r="B5" s="19" t="n">
        <v>318977.5625</v>
      </c>
      <c r="C5" t="n">
        <v>20818.90234375</v>
      </c>
    </row>
    <row r="6">
      <c r="A6" s="19" t="n">
        <v>1994</v>
      </c>
      <c r="B6" s="19" t="n">
        <v>310557.21875</v>
      </c>
      <c r="C6" t="n">
        <v>18657.6640625</v>
      </c>
    </row>
    <row r="7">
      <c r="A7" s="19" t="n">
        <v>1995</v>
      </c>
      <c r="B7" s="19" t="n">
        <v>305633.28125</v>
      </c>
      <c r="C7" t="n">
        <v>19138.576171875</v>
      </c>
    </row>
    <row r="8">
      <c r="A8" s="19" t="n">
        <v>1996</v>
      </c>
      <c r="B8" s="19" t="n">
        <v>301706.46875</v>
      </c>
      <c r="C8" t="n">
        <v>21298.572265625</v>
      </c>
    </row>
    <row r="9">
      <c r="A9" s="19" t="n">
        <v>1997</v>
      </c>
      <c r="B9" s="19" t="n">
        <v>298764.625</v>
      </c>
      <c r="C9" t="n">
        <v>23538.966796875</v>
      </c>
    </row>
    <row r="10">
      <c r="A10" s="19" t="n">
        <v>1998</v>
      </c>
      <c r="B10" s="19" t="n">
        <v>298990.5</v>
      </c>
      <c r="C10" t="n">
        <v>24269.841796875</v>
      </c>
    </row>
    <row r="11">
      <c r="A11" s="19" t="n">
        <v>1999</v>
      </c>
      <c r="B11" s="19" t="n">
        <v>299754.78125</v>
      </c>
      <c r="C11" t="n">
        <v>24966.201171875</v>
      </c>
    </row>
    <row r="12">
      <c r="A12" s="19" t="n">
        <v>2000</v>
      </c>
      <c r="B12" s="19" t="n">
        <v>300383.3125</v>
      </c>
      <c r="C12" t="n">
        <v>25425.16796875</v>
      </c>
    </row>
    <row r="13">
      <c r="A13" s="19" t="n">
        <v>2001</v>
      </c>
      <c r="B13" s="19" t="n">
        <v>302284.0625</v>
      </c>
      <c r="C13" t="n">
        <v>26646.9609375</v>
      </c>
    </row>
    <row r="14">
      <c r="A14" s="19" t="n">
        <v>2002</v>
      </c>
      <c r="B14" s="19" t="n">
        <v>303592.625</v>
      </c>
      <c r="C14" t="n">
        <v>28105.572265625</v>
      </c>
    </row>
    <row r="15">
      <c r="A15" s="19" t="n">
        <v>2003</v>
      </c>
      <c r="B15" s="19" t="n">
        <v>307310.28125</v>
      </c>
      <c r="C15" t="n">
        <v>31213.515625</v>
      </c>
    </row>
    <row r="16">
      <c r="A16" s="19" t="n">
        <v>2004</v>
      </c>
      <c r="B16" s="19" t="n">
        <v>311984.28125</v>
      </c>
      <c r="C16" t="n">
        <v>33022.64453125</v>
      </c>
    </row>
    <row r="17">
      <c r="A17" s="19" t="n">
        <v>2005</v>
      </c>
      <c r="B17" s="19" t="n">
        <v>317837.8125</v>
      </c>
      <c r="C17" t="n">
        <v>36188.953125</v>
      </c>
    </row>
    <row r="18">
      <c r="A18" s="19" t="n">
        <v>2006</v>
      </c>
      <c r="B18" s="19" t="n">
        <v>322943.65625</v>
      </c>
      <c r="C18" t="n">
        <v>39598.22265625</v>
      </c>
    </row>
    <row r="19">
      <c r="A19" s="19" t="n">
        <v>2007</v>
      </c>
      <c r="B19" s="19" t="n">
        <v>329445.875</v>
      </c>
      <c r="C19" t="n">
        <v>44579.19140625</v>
      </c>
    </row>
    <row r="20">
      <c r="A20" s="19" t="n">
        <v>2008</v>
      </c>
      <c r="B20" s="19" t="n">
        <v>332604.46875</v>
      </c>
      <c r="C20" t="n">
        <v>45657.16015625</v>
      </c>
    </row>
    <row r="21">
      <c r="A21" s="19" t="n">
        <v>2009</v>
      </c>
      <c r="B21" s="19" t="n">
        <v>330608.28125</v>
      </c>
      <c r="C21" t="n">
        <v>43990.6328125</v>
      </c>
    </row>
    <row r="22">
      <c r="A22" s="19" t="n">
        <v>2010</v>
      </c>
      <c r="B22" s="19" t="n">
        <v>332551.53125</v>
      </c>
      <c r="C22" t="n">
        <v>46739.7890625</v>
      </c>
    </row>
    <row r="23">
      <c r="A23" s="19" t="n">
        <v>2011</v>
      </c>
      <c r="B23" s="19" t="n">
        <v>336560.28125</v>
      </c>
      <c r="C23" t="n">
        <v>50455.2109375</v>
      </c>
    </row>
    <row r="24">
      <c r="A24" s="19" t="n">
        <v>2012</v>
      </c>
      <c r="B24" s="19" t="n">
        <v>341471.1875</v>
      </c>
      <c r="C24" t="n">
        <v>53774.6796875</v>
      </c>
    </row>
    <row r="25">
      <c r="A25" s="19" t="n">
        <v>2013</v>
      </c>
      <c r="B25" s="19" t="n">
        <v>344239.03125</v>
      </c>
      <c r="C25" t="n">
        <v>56535.23046875</v>
      </c>
    </row>
    <row r="26">
      <c r="A26" s="19" t="n">
        <v>2014</v>
      </c>
      <c r="B26" s="19" t="n">
        <v>350962.15625</v>
      </c>
      <c r="C26" t="n">
        <v>58847.86328125</v>
      </c>
    </row>
    <row r="27">
      <c r="A27" s="19" t="n">
        <v>2015</v>
      </c>
      <c r="B27" s="19" t="n">
        <v>360259.8125</v>
      </c>
      <c r="C27" t="n">
        <v>60819.7421875</v>
      </c>
    </row>
    <row r="28">
      <c r="A28" s="19" t="n">
        <v>2016</v>
      </c>
      <c r="B28" s="19" t="n">
        <v>370547.65625</v>
      </c>
      <c r="C28" t="n">
        <v>62917.9765625</v>
      </c>
    </row>
    <row r="29">
      <c r="A29" s="19" t="n">
        <v>2017</v>
      </c>
      <c r="B29" s="19" t="n">
        <v>380655.78125</v>
      </c>
      <c r="C29" t="n">
        <v>66165.234375</v>
      </c>
    </row>
    <row r="30">
      <c r="A30" s="19" t="n">
        <v>2018</v>
      </c>
      <c r="B30" s="19" t="n">
        <v>390625.1875</v>
      </c>
      <c r="C30" t="n">
        <v>70176.296875</v>
      </c>
    </row>
    <row r="31">
      <c r="A31" s="19" t="n">
        <v>2019</v>
      </c>
      <c r="B31" s="19" t="n">
        <v>399934.28125</v>
      </c>
      <c r="C31" t="n">
        <v>73951.9765625</v>
      </c>
    </row>
    <row r="32">
      <c r="A32" s="19" t="n">
        <v>2020</v>
      </c>
      <c r="B32" s="19" t="n">
        <v>405156.15625</v>
      </c>
      <c r="C32" t="n">
        <v>69299.46875</v>
      </c>
    </row>
    <row r="33">
      <c r="A33" s="19" t="n">
        <v>2021</v>
      </c>
      <c r="B33" s="19" t="n">
        <v>409189.75</v>
      </c>
      <c r="C33" t="n">
        <v>76675.71875</v>
      </c>
    </row>
    <row r="34">
      <c r="A34" s="19" t="n">
        <v>2022</v>
      </c>
      <c r="B34" s="19" t="n">
        <v>415085.84375</v>
      </c>
      <c r="C34" t="n">
        <v>85079.0234375</v>
      </c>
    </row>
    <row r="35">
      <c r="A35" s="19" t="n">
        <v>2023</v>
      </c>
      <c r="B35" s="19" t="n">
        <v>426190.5</v>
      </c>
      <c r="C35" t="n">
        <v>91437.8125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>
        <f>PWT!C12/1000</f>
        <v/>
      </c>
      <c r="D8" t="n">
        <v>1.9</v>
      </c>
    </row>
    <row r="9">
      <c r="B9" t="n">
        <v>2001</v>
      </c>
      <c r="C9">
        <f>C8*(1+D9/100)</f>
        <v/>
      </c>
      <c r="D9" t="n">
        <v>4.8</v>
      </c>
    </row>
    <row r="10">
      <c r="B10" t="n">
        <v>2002</v>
      </c>
      <c r="C10">
        <f>C9*(1+D10/100)</f>
        <v/>
      </c>
      <c r="D10" t="n">
        <v>5.5</v>
      </c>
    </row>
    <row r="11">
      <c r="B11" t="n">
        <v>2003</v>
      </c>
      <c r="C11">
        <f>C10*(1+D11/100)</f>
        <v/>
      </c>
      <c r="D11" t="n">
        <v>11.2</v>
      </c>
    </row>
    <row r="12">
      <c r="B12" t="n">
        <v>2004</v>
      </c>
      <c r="C12">
        <f>C11*(1+D12/100)</f>
        <v/>
      </c>
      <c r="D12" t="n">
        <v>5.8</v>
      </c>
    </row>
    <row r="13">
      <c r="B13" t="n">
        <v>2005</v>
      </c>
      <c r="C13">
        <f>C12*(1+D13/100)</f>
        <v/>
      </c>
      <c r="D13" t="n">
        <v>9.6</v>
      </c>
    </row>
    <row r="14">
      <c r="B14" t="n">
        <v>2006</v>
      </c>
      <c r="C14">
        <f>C13*(1+D14/100)</f>
        <v/>
      </c>
      <c r="D14" t="n">
        <v>9.4</v>
      </c>
    </row>
    <row r="15">
      <c r="B15" t="n">
        <v>2007</v>
      </c>
      <c r="C15">
        <f>C14*(1+D15/100)</f>
        <v/>
      </c>
      <c r="D15" t="n">
        <v>12.6</v>
      </c>
    </row>
    <row r="16">
      <c r="B16" t="n">
        <v>2008</v>
      </c>
      <c r="C16">
        <f>C15*(1+D16/100)</f>
        <v/>
      </c>
      <c r="D16" t="n">
        <v>2.4</v>
      </c>
    </row>
    <row r="17">
      <c r="B17" t="n">
        <v>2009</v>
      </c>
      <c r="C17">
        <f>C16*(1+D17/100)</f>
        <v/>
      </c>
      <c r="D17" t="n">
        <v>-3.7</v>
      </c>
    </row>
    <row r="18">
      <c r="B18" t="n">
        <v>2010</v>
      </c>
      <c r="C18">
        <f>C17*(1+D18/100)</f>
        <v/>
      </c>
      <c r="D18" t="n">
        <v>6.9</v>
      </c>
    </row>
    <row r="19">
      <c r="B19" t="n">
        <v>2011</v>
      </c>
      <c r="C19">
        <f>C18*(1+D19/100)</f>
        <v/>
      </c>
      <c r="D19" t="n">
        <v>7.9</v>
      </c>
    </row>
    <row r="20">
      <c r="B20" t="n">
        <v>2012</v>
      </c>
      <c r="C20">
        <f>C19*(1+D20/100)</f>
        <v/>
      </c>
      <c r="D20" t="n">
        <v>6.6</v>
      </c>
    </row>
    <row r="21">
      <c r="B21" t="n">
        <v>2013</v>
      </c>
      <c r="C21">
        <f>C20*(1+D21/100)</f>
        <v/>
      </c>
      <c r="D21" t="n">
        <v>5.1</v>
      </c>
    </row>
    <row r="22">
      <c r="B22" t="n">
        <v>2014</v>
      </c>
      <c r="C22">
        <f>C21*(1+D22/100)</f>
        <v/>
      </c>
      <c r="D22" t="n">
        <v>4.1</v>
      </c>
    </row>
    <row r="23">
      <c r="B23" t="n">
        <v>2015</v>
      </c>
      <c r="C23">
        <f>C22*(1+D23/100)</f>
        <v/>
      </c>
      <c r="D23" t="n">
        <v>3.4</v>
      </c>
    </row>
    <row r="24">
      <c r="B24" t="n">
        <v>2016</v>
      </c>
      <c r="C24">
        <f>C23*(1+D24/100)</f>
        <v/>
      </c>
      <c r="D24" t="n">
        <v>3.4</v>
      </c>
    </row>
    <row r="25">
      <c r="B25" t="n">
        <v>2017</v>
      </c>
      <c r="C25">
        <f>C24*(1+D25/100)</f>
        <v/>
      </c>
      <c r="D25" t="n">
        <v>5.2</v>
      </c>
    </row>
    <row r="26">
      <c r="B26" t="n">
        <v>2018</v>
      </c>
      <c r="C26">
        <f>C25*(1+D26/100)</f>
        <v/>
      </c>
      <c r="D26" t="n">
        <v>6.1</v>
      </c>
    </row>
    <row r="27">
      <c r="B27" t="n">
        <v>2019</v>
      </c>
      <c r="C27">
        <f>C26*(1+D27/100)</f>
        <v/>
      </c>
      <c r="D27" t="n">
        <v>5.4</v>
      </c>
    </row>
    <row r="28">
      <c r="B28" t="n">
        <v>2020</v>
      </c>
      <c r="C28">
        <f>C27*(1+D28/100)</f>
        <v/>
      </c>
      <c r="D28" t="n">
        <v>-6.3</v>
      </c>
    </row>
    <row r="29">
      <c r="B29" t="n">
        <v>2021</v>
      </c>
      <c r="C29">
        <f>C28*(1+D29/100)</f>
        <v/>
      </c>
      <c r="D29" t="n">
        <v>10.6</v>
      </c>
    </row>
    <row r="30">
      <c r="B30" t="n">
        <v>2022</v>
      </c>
      <c r="C30">
        <f>C29*(1+D30/100)</f>
        <v/>
      </c>
      <c r="D30" t="n">
        <v>11</v>
      </c>
    </row>
    <row r="31">
      <c r="B31" t="n">
        <v>2023</v>
      </c>
      <c r="C31">
        <f>C30*(1+D31/100)</f>
        <v/>
      </c>
      <c r="D31" t="n">
        <v>7.8</v>
      </c>
    </row>
    <row r="32">
      <c r="B32" t="n">
        <v>2024</v>
      </c>
      <c r="C32">
        <f>C31*(1+D32/100)</f>
        <v/>
      </c>
      <c r="D32" t="n">
        <v>9.699999999999999</v>
      </c>
    </row>
    <row r="33">
      <c r="B33" t="n">
        <v>2025</v>
      </c>
      <c r="C33">
        <f>C32*(1+D33/100)</f>
        <v/>
      </c>
      <c r="D33" t="n">
        <v>7.5</v>
      </c>
    </row>
    <row r="34">
      <c r="B34" t="n">
        <v>2026</v>
      </c>
      <c r="C34">
        <f>C33*(1+D34/100)</f>
        <v/>
      </c>
      <c r="D34" t="n">
        <v>5.3</v>
      </c>
    </row>
    <row r="35">
      <c r="B35" t="n">
        <v>2027</v>
      </c>
      <c r="C35">
        <f>C34*(1+D35/100)</f>
        <v/>
      </c>
      <c r="D35" t="n">
        <v>5</v>
      </c>
    </row>
    <row r="36">
      <c r="B36" t="n">
        <v>2028</v>
      </c>
      <c r="C36">
        <f>C35*(1+D36/100)</f>
        <v/>
      </c>
      <c r="D36">
        <f>$D$35</f>
        <v/>
      </c>
    </row>
    <row r="37">
      <c r="B37" t="n">
        <v>2029</v>
      </c>
      <c r="C37">
        <f>C36*(1+D37/100)</f>
        <v/>
      </c>
      <c r="D37">
        <f>$D$35</f>
        <v/>
      </c>
    </row>
    <row r="38">
      <c r="B38" t="n">
        <v>2030</v>
      </c>
      <c r="C38">
        <f>C37*(1+D38/100)</f>
        <v/>
      </c>
      <c r="D38">
        <f>$D$35</f>
        <v/>
      </c>
    </row>
    <row r="39">
      <c r="B39" t="n">
        <v>2031</v>
      </c>
      <c r="C39">
        <f>C38*(1+D39/100)</f>
        <v/>
      </c>
      <c r="D39">
        <f>$D$35</f>
        <v/>
      </c>
    </row>
    <row r="40">
      <c r="B40" t="n">
        <v>2032</v>
      </c>
      <c r="C40">
        <f>C39*(1+D40/100)</f>
        <v/>
      </c>
      <c r="D40">
        <f>$D$35</f>
        <v/>
      </c>
    </row>
    <row r="41">
      <c r="B41" t="n">
        <v>2033</v>
      </c>
      <c r="C41">
        <f>C40*(1+D41/100)</f>
        <v/>
      </c>
      <c r="D41">
        <f>$D$35</f>
        <v/>
      </c>
    </row>
    <row r="42">
      <c r="B42" t="n">
        <v>2034</v>
      </c>
      <c r="C42">
        <f>C41*(1+D42/100)</f>
        <v/>
      </c>
      <c r="D42">
        <f>$D$35</f>
        <v/>
      </c>
    </row>
    <row r="43">
      <c r="B43" t="n">
        <v>2035</v>
      </c>
      <c r="C43">
        <f>C42*(1+D43/100)</f>
        <v/>
      </c>
      <c r="D43">
        <f>$D$35</f>
        <v/>
      </c>
    </row>
    <row r="44">
      <c r="B44" t="n">
        <v>2036</v>
      </c>
      <c r="C44">
        <f>C43*(1+D44/100)</f>
        <v/>
      </c>
      <c r="D44">
        <f>$D$35</f>
        <v/>
      </c>
    </row>
    <row r="45">
      <c r="B45" t="n">
        <v>2037</v>
      </c>
      <c r="C45">
        <f>C44*(1+D45/100)</f>
        <v/>
      </c>
      <c r="D45">
        <f>$D$35</f>
        <v/>
      </c>
    </row>
    <row r="46">
      <c r="B46" t="n">
        <v>2038</v>
      </c>
      <c r="C46">
        <f>C45*(1+D46/100)</f>
        <v/>
      </c>
      <c r="D46">
        <f>$D$35</f>
        <v/>
      </c>
    </row>
    <row r="47">
      <c r="B47" t="n">
        <v>2039</v>
      </c>
      <c r="C47">
        <f>C46*(1+D47/100)</f>
        <v/>
      </c>
      <c r="D47">
        <f>$D$35</f>
        <v/>
      </c>
    </row>
    <row r="48">
      <c r="B48" t="n">
        <v>2040</v>
      </c>
      <c r="C48">
        <f>C47*(1+D48/100)</f>
        <v/>
      </c>
      <c r="D48">
        <f>$D$35</f>
        <v/>
      </c>
    </row>
    <row r="49">
      <c r="B49" t="n">
        <v>2041</v>
      </c>
      <c r="C49">
        <f>C48*(1+D49/100)</f>
        <v/>
      </c>
      <c r="D49">
        <f>$D$35</f>
        <v/>
      </c>
    </row>
    <row r="50">
      <c r="B50" t="n">
        <v>2042</v>
      </c>
      <c r="C50">
        <f>C49*(1+D50/100)</f>
        <v/>
      </c>
      <c r="D50">
        <f>$D$35</f>
        <v/>
      </c>
    </row>
    <row r="51">
      <c r="B51" t="n">
        <v>2043</v>
      </c>
      <c r="C51">
        <f>C50*(1+D51/100)</f>
        <v/>
      </c>
      <c r="D51">
        <f>$D$35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2026-09-23T16:14:24Z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