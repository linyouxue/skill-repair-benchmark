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2"/>
    <row r="3">
      <c r="B3" t="inlineStr">
        <is>
          <t>Z-score (95% one-sided)</t>
        </is>
      </c>
      <c r="C3" s="5">
        <f>NORM.S.INV(0.95)</f>
        <v/>
      </c>
    </row>
    <row r="4">
      <c r="B4" t="inlineStr">
        <is>
          <t>3-month volatility</t>
        </is>
      </c>
      <c r="C4" s="3">
        <f>LOOKUP(2,1/('Gold price'!D:D&lt;&gt;""),'Gold price'!D:D)</f>
        <v/>
      </c>
    </row>
    <row r="5">
      <c r="B5" t="inlineStr">
        <is>
          <t>3-month volatility annualized</t>
        </is>
      </c>
      <c r="C5" s="3">
        <f>C4*SQRT(12)</f>
        <v/>
      </c>
    </row>
    <row r="6">
      <c r="B6" t="inlineStr">
        <is>
          <t>12-month volatility</t>
        </is>
      </c>
      <c r="C6" s="3">
        <f>LOOKUP(2,1/('Gold price'!E:E&lt;&gt;""),'Gold price'!E:E)</f>
        <v/>
      </c>
    </row>
    <row r="7"/>
    <row r="8"/>
    <row r="9">
      <c r="B9" t="inlineStr">
        <is>
          <t>STEP 2</t>
        </is>
      </c>
    </row>
    <row r="10"/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3">
        <f>'Value'!D18</f>
        <v/>
      </c>
      <c r="D12" s="3">
        <f>'Value'!F18</f>
        <v/>
      </c>
      <c r="E12" s="3">
        <f>'Value'!J18</f>
        <v/>
      </c>
      <c r="F12" s="3">
        <f>'Value'!L18</f>
        <v/>
      </c>
      <c r="G12" s="3">
        <f>'Value'!M18</f>
        <v/>
      </c>
      <c r="H12" s="3">
        <f>'Value'!N18</f>
        <v/>
      </c>
      <c r="I12" s="3">
        <f>'Value'!O18</f>
        <v/>
      </c>
      <c r="J12" s="3">
        <f>'Value'!Q18</f>
        <v/>
      </c>
      <c r="K12" s="3">
        <f>'Volume'!H18*AVERAGE('Gold price'!$B$422:$B$430)</f>
        <v/>
      </c>
    </row>
    <row r="13">
      <c r="B13" t="inlineStr">
        <is>
          <t>Gold valuation exposure (95% one-sided shock)</t>
        </is>
      </c>
      <c r="C13" s="3">
        <f>IF(C12="","",C12*$C$3*$C$5/100)</f>
        <v/>
      </c>
      <c r="D13" s="3">
        <f>IF(D12="","",D12*$C$3*$C$5/100)</f>
        <v/>
      </c>
      <c r="E13" s="3">
        <f>IF(E12="","",E12*$C$3*$C$5/100)</f>
        <v/>
      </c>
      <c r="F13" s="3">
        <f>IF(F12="","",F12*$C$3*$C$5/100)</f>
        <v/>
      </c>
      <c r="G13" s="3">
        <f>IF(G12="","",G12*$C$3*$C$5/100)</f>
        <v/>
      </c>
      <c r="H13" s="3">
        <f>IF(H12="","",H12*$C$3*$C$5/100)</f>
        <v/>
      </c>
      <c r="I13" s="3">
        <f>IF(I12="","",I12*$C$3*$C$5/100)</f>
        <v/>
      </c>
      <c r="J13" s="3">
        <f>IF(J12="","",J12*$C$3*$C$5/100)</f>
        <v/>
      </c>
      <c r="K13" s="3">
        <f>IF(K12="","",K12*$C$3*$C$5/100)</f>
        <v/>
      </c>
    </row>
    <row r="14"/>
    <row r="15"/>
    <row r="16">
      <c r="B16" t="inlineStr">
        <is>
          <t>STEP 3</t>
        </is>
      </c>
    </row>
    <row r="17"/>
    <row r="18"/>
    <row r="19"/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3">
        <f>XLOOKUP(C20,$C$11:$XFD$11,$C$12:$XFD$12,"")</f>
        <v/>
      </c>
      <c r="D21" s="3">
        <f>XLOOKUP(D20,$C$11:$XFD$11,$C$12:$XFD$12,"")</f>
        <v/>
      </c>
      <c r="E21" s="3">
        <f>XLOOKUP(E20,$C$11:$XFD$11,$C$12:$XFD$12,"")</f>
        <v/>
      </c>
      <c r="F21" s="3">
        <f>XLOOKUP(F20,$C$11:$XFD$11,$C$12:$XFD$12,"")</f>
        <v/>
      </c>
      <c r="G21" s="3">
        <f>XLOOKUP(G20,$C$11:$XFD$11,$C$12:$XFD$12,"")</f>
        <v/>
      </c>
      <c r="H21" s="3">
        <f>XLOOKUP(H20,$C$11:$XFD$11,$C$12:$XFD$12,"")</f>
        <v/>
      </c>
      <c r="I21" s="3">
        <f>XLOOKUP(I20,$C$11:$XFD$11,$C$12:$XFD$12,"")</f>
        <v/>
      </c>
    </row>
    <row r="22">
      <c r="B22" t="inlineStr">
        <is>
          <t>Gold valuation exposure (95% one-sided shock)</t>
        </is>
      </c>
      <c r="C22" s="3">
        <f>XLOOKUP(C20,$C$11:$XFD$11,$C$13:$XFD$13,"")</f>
        <v/>
      </c>
      <c r="D22" s="3">
        <f>XLOOKUP(D20,$C$11:$XFD$11,$C$13:$XFD$13,"")</f>
        <v/>
      </c>
      <c r="E22" s="3">
        <f>XLOOKUP(E20,$C$11:$XFD$11,$C$13:$XFD$13,"")</f>
        <v/>
      </c>
      <c r="F22" s="3">
        <f>XLOOKUP(F20,$C$11:$XFD$11,$C$13:$XFD$13,"")</f>
        <v/>
      </c>
      <c r="G22" s="3">
        <f>XLOOKUP(G20,$C$11:$XFD$11,$C$13:$XFD$13,"")</f>
        <v/>
      </c>
      <c r="H22" s="3">
        <f>XLOOKUP(H20,$C$11:$XFD$11,$C$13:$XFD$13,"")</f>
        <v/>
      </c>
      <c r="I22" s="3">
        <f>XLOOKUP(I20,$C$11:$XFD$11,$C$13:$XFD$13,"")</f>
        <v/>
      </c>
    </row>
    <row r="23">
      <c r="B23" t="inlineStr">
        <is>
          <t>Total Reserve</t>
        </is>
      </c>
      <c r="C23" s="3">
        <f>IFERROR(XLOOKUP(C20&amp;"*",'Total Reserves'!$C$1:$XFD$1,'Total Reserves'!$C$18:$XFD$18,"",2),"")</f>
        <v/>
      </c>
      <c r="D23" s="3">
        <f>IFERROR(XLOOKUP(D20&amp;"*",'Total Reserves'!$C$1:$XFD$1,'Total Reserves'!$C$18:$XFD$18,"",2),"")</f>
        <v/>
      </c>
      <c r="E23" s="3">
        <f>IFERROR(XLOOKUP(E20&amp;"*",'Total Reserves'!$C$1:$XFD$1,'Total Reserves'!$C$18:$XFD$18,"",2),"")</f>
        <v/>
      </c>
      <c r="F23" s="3">
        <f>IFERROR(XLOOKUP(F20&amp;"*",'Total Reserves'!$C$1:$XFD$1,'Total Reserves'!$C$18:$XFD$18,"",2),"")</f>
        <v/>
      </c>
      <c r="G23" s="3">
        <f>IFERROR(XLOOKUP(G20&amp;"*",'Total Reserves'!$C$1:$XFD$1,'Total Reserves'!$C$18:$XFD$18,"",2),"")</f>
        <v/>
      </c>
      <c r="H23" s="3">
        <f>IFERROR(XLOOKUP(H20&amp;"*",'Total Reserves'!$C$1:$XFD$1,'Total Reserves'!$C$18:$XFD$18,"",2),"")</f>
        <v/>
      </c>
      <c r="I23" s="3">
        <f>IFERROR(XLOOKUP(I20&amp;"*",'Total Reserves'!$C$1:$XFD$1,'Total Reserves'!$C$18:$XFD$18,"",2),"")</f>
        <v/>
      </c>
    </row>
    <row r="24">
      <c r="B24" t="inlineStr">
        <is>
          <t>RaR(in percent of total reserves)</t>
        </is>
      </c>
      <c r="C24" s="7">
        <f>IF(C23="","",C22/C23)</f>
        <v/>
      </c>
      <c r="D24" s="7">
        <f>IF(D23="","",D22/D23)</f>
        <v/>
      </c>
      <c r="E24" s="7">
        <f>IF(E23="","",E22/E23)</f>
        <v/>
      </c>
      <c r="F24" s="7">
        <f>IF(F23="","",F22/F23)</f>
        <v/>
      </c>
      <c r="G24" s="7">
        <f>IF(G23="","",G22/G23)</f>
        <v/>
      </c>
      <c r="H24" s="7">
        <f>IF(H23="","",H22/H23)</f>
        <v/>
      </c>
      <c r="I24" s="7">
        <f>IF(I23="","",I22/I23)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s="3" t="n">
        <v>409.819061279297</v>
      </c>
      <c r="D2" s="3">
        <f>IF(COUNT(C3:C2)&lt;3,"",STDEV.S(C3:C2))</f>
        <v/>
      </c>
      <c r="E2" s="3">
        <f>IF(COUNT(C3:C2)&lt;12,"",STDEV.S(C3:C2))</f>
        <v/>
      </c>
    </row>
    <row r="3">
      <c r="A3" s="6" t="inlineStr">
        <is>
          <t>1990M2</t>
        </is>
      </c>
      <c r="B3" s="3" t="n">
        <v>417.181060791016</v>
      </c>
      <c r="C3" s="3">
        <f>IF(OR(B3="",B2=""),"",LN(B3/B2)*100)</f>
        <v/>
      </c>
      <c r="D3" s="3">
        <f>IF(COUNT(C3:C3)&lt;3,"",STDEV.S(C3:C3))</f>
        <v/>
      </c>
      <c r="E3" s="3">
        <f>IF(COUNT(C3:C3)&lt;12,"",STDEV.S(C3:C3))</f>
        <v/>
      </c>
    </row>
    <row r="4">
      <c r="A4" s="6" t="inlineStr">
        <is>
          <t>1990M3</t>
        </is>
      </c>
      <c r="B4" s="3" t="n">
        <v>392.703338623047</v>
      </c>
      <c r="C4" s="3">
        <f>IF(OR(B4="",B3=""),"",LN(B4/B3)*100)</f>
        <v/>
      </c>
      <c r="D4" s="3">
        <f>IF(COUNT(C3:C4)&lt;3,"",STDEV.S(C3:C4))</f>
        <v/>
      </c>
      <c r="E4" s="3">
        <f>IF(COUNT(C3:C4)&lt;12,"",STDEV.S(C3:C4))</f>
        <v/>
      </c>
    </row>
    <row r="5">
      <c r="A5" s="6" t="inlineStr">
        <is>
          <t>1990M4</t>
        </is>
      </c>
      <c r="B5" s="3" t="n">
        <v>374.292114257813</v>
      </c>
      <c r="C5" s="3">
        <f>IF(OR(B5="",B4=""),"",LN(B5/B4)*100)</f>
        <v/>
      </c>
      <c r="D5" s="3">
        <f>IF(COUNT(C3:C5)&lt;3,"",STDEV.S(C3:C5))</f>
        <v/>
      </c>
      <c r="E5" s="3">
        <f>IF(COUNT(C3:C5)&lt;12,"",STDEV.S(C3:C5))</f>
        <v/>
      </c>
    </row>
    <row r="6">
      <c r="A6" s="6" t="inlineStr">
        <is>
          <t>1990M5</t>
        </is>
      </c>
      <c r="B6" s="3" t="n">
        <v>369.197631835938</v>
      </c>
      <c r="C6" s="3">
        <f>IF(OR(B6="",B5=""),"",LN(B6/B5)*100)</f>
        <v/>
      </c>
      <c r="D6" s="3">
        <f>IF(COUNT(C4:C6)&lt;3,"",STDEV.S(C4:C6))</f>
        <v/>
      </c>
      <c r="E6" s="3">
        <f>IF(COUNT(C3:C6)&lt;12,"",STDEV.S(C3:C6))</f>
        <v/>
      </c>
    </row>
    <row r="7">
      <c r="A7" s="6" t="inlineStr">
        <is>
          <t>1990M6</t>
        </is>
      </c>
      <c r="B7" s="3" t="n">
        <v>352.527618408203</v>
      </c>
      <c r="C7" s="3">
        <f>IF(OR(B7="",B6=""),"",LN(B7/B6)*100)</f>
        <v/>
      </c>
      <c r="D7" s="3">
        <f>IF(COUNT(C5:C7)&lt;3,"",STDEV.S(C5:C7))</f>
        <v/>
      </c>
      <c r="E7" s="3">
        <f>IF(COUNT(C3:C7)&lt;12,"",STDEV.S(C3:C7))</f>
        <v/>
      </c>
    </row>
    <row r="8">
      <c r="A8" s="6" t="inlineStr">
        <is>
          <t>1990M7</t>
        </is>
      </c>
      <c r="B8" s="3" t="n">
        <v>362.498565673828</v>
      </c>
      <c r="C8" s="3">
        <f>IF(OR(B8="",B7=""),"",LN(B8/B7)*100)</f>
        <v/>
      </c>
      <c r="D8" s="3">
        <f>IF(COUNT(C6:C8)&lt;3,"",STDEV.S(C6:C8))</f>
        <v/>
      </c>
      <c r="E8" s="3">
        <f>IF(COUNT(C3:C8)&lt;12,"",STDEV.S(C3:C8))</f>
        <v/>
      </c>
    </row>
    <row r="9">
      <c r="A9" s="6" t="inlineStr">
        <is>
          <t>1990M8</t>
        </is>
      </c>
      <c r="B9" s="3" t="n">
        <v>394.631805419922</v>
      </c>
      <c r="C9" s="3">
        <f>IF(OR(B9="",B8=""),"",LN(B9/B8)*100)</f>
        <v/>
      </c>
      <c r="D9" s="3">
        <f>IF(COUNT(C7:C9)&lt;3,"",STDEV.S(C7:C9))</f>
        <v/>
      </c>
      <c r="E9" s="3">
        <f>IF(COUNT(C3:C9)&lt;12,"",STDEV.S(C3:C9))</f>
        <v/>
      </c>
    </row>
    <row r="10">
      <c r="A10" s="6" t="inlineStr">
        <is>
          <t>1990M9</t>
        </is>
      </c>
      <c r="B10" s="3" t="n">
        <v>389.755004882813</v>
      </c>
      <c r="C10" s="3">
        <f>IF(OR(B10="",B9=""),"",LN(B10/B9)*100)</f>
        <v/>
      </c>
      <c r="D10" s="3">
        <f>IF(COUNT(C8:C10)&lt;3,"",STDEV.S(C8:C10))</f>
        <v/>
      </c>
      <c r="E10" s="3">
        <f>IF(COUNT(C3:C10)&lt;12,"",STDEV.S(C3:C10))</f>
        <v/>
      </c>
    </row>
    <row r="11">
      <c r="A11" s="6" t="inlineStr">
        <is>
          <t>1990M10</t>
        </is>
      </c>
      <c r="B11" s="3" t="n">
        <v>380.995208740234</v>
      </c>
      <c r="C11" s="3">
        <f>IF(OR(B11="",B10=""),"",LN(B11/B10)*100)</f>
        <v/>
      </c>
      <c r="D11" s="3">
        <f>IF(COUNT(C9:C11)&lt;3,"",STDEV.S(C9:C11))</f>
        <v/>
      </c>
      <c r="E11" s="3">
        <f>IF(COUNT(C3:C11)&lt;12,"",STDEV.S(C3:C11))</f>
        <v/>
      </c>
    </row>
    <row r="12">
      <c r="A12" s="6" t="inlineStr">
        <is>
          <t>1990M11</t>
        </is>
      </c>
      <c r="B12" s="3" t="n">
        <v>381.794097900391</v>
      </c>
      <c r="C12" s="3">
        <f>IF(OR(B12="",B11=""),"",LN(B12/B11)*100)</f>
        <v/>
      </c>
      <c r="D12" s="3">
        <f>IF(COUNT(C10:C12)&lt;3,"",STDEV.S(C10:C12))</f>
        <v/>
      </c>
      <c r="E12" s="3">
        <f>IF(COUNT(C3:C12)&lt;12,"",STDEV.S(C3:C12))</f>
        <v/>
      </c>
    </row>
    <row r="13">
      <c r="A13" s="6" t="inlineStr">
        <is>
          <t>1990M12</t>
        </is>
      </c>
      <c r="B13" s="3" t="n">
        <v>376.682342529297</v>
      </c>
      <c r="C13" s="3">
        <f>IF(OR(B13="",B12=""),"",LN(B13/B12)*100)</f>
        <v/>
      </c>
      <c r="D13" s="3">
        <f>IF(COUNT(C11:C13)&lt;3,"",STDEV.S(C11:C13))</f>
        <v/>
      </c>
      <c r="E13" s="3">
        <f>IF(COUNT(C3:C13)&lt;12,"",STDEV.S(C3:C13))</f>
        <v/>
      </c>
    </row>
    <row r="14">
      <c r="A14" s="6" t="inlineStr">
        <is>
          <t>1991M1</t>
        </is>
      </c>
      <c r="B14" s="3" t="n">
        <v>383.702270507813</v>
      </c>
      <c r="C14" s="3">
        <f>IF(OR(B14="",B13=""),"",LN(B14/B13)*100)</f>
        <v/>
      </c>
      <c r="D14" s="3">
        <f>IF(COUNT(C12:C14)&lt;3,"",STDEV.S(C12:C14))</f>
        <v/>
      </c>
      <c r="E14" s="3">
        <f>IF(COUNT(C3:C14)&lt;12,"",STDEV.S(C3:C14))</f>
        <v/>
      </c>
    </row>
    <row r="15">
      <c r="A15" s="6" t="inlineStr">
        <is>
          <t>1991M2</t>
        </is>
      </c>
      <c r="B15" s="3" t="n">
        <v>364.391662597656</v>
      </c>
      <c r="C15" s="3">
        <f>IF(OR(B15="",B14=""),"",LN(B15/B14)*100)</f>
        <v/>
      </c>
      <c r="D15" s="3">
        <f>IF(COUNT(C13:C15)&lt;3,"",STDEV.S(C13:C15))</f>
        <v/>
      </c>
      <c r="E15" s="3">
        <f>IF(COUNT(C4:C15)&lt;12,"",STDEV.S(C4:C15))</f>
        <v/>
      </c>
    </row>
    <row r="16">
      <c r="A16" s="6" t="inlineStr">
        <is>
          <t>1991M3</t>
        </is>
      </c>
      <c r="B16" s="3" t="n">
        <v>362.760803222656</v>
      </c>
      <c r="C16" s="3">
        <f>IF(OR(B16="",B15=""),"",LN(B16/B15)*100)</f>
        <v/>
      </c>
      <c r="D16" s="3">
        <f>IF(COUNT(C14:C16)&lt;3,"",STDEV.S(C14:C16))</f>
        <v/>
      </c>
      <c r="E16" s="3">
        <f>IF(COUNT(C5:C16)&lt;12,"",STDEV.S(C5:C16))</f>
        <v/>
      </c>
    </row>
    <row r="17">
      <c r="A17" s="6" t="inlineStr">
        <is>
          <t>1991M4</t>
        </is>
      </c>
      <c r="B17" s="3" t="n">
        <v>358.323333740234</v>
      </c>
      <c r="C17" s="3">
        <f>IF(OR(B17="",B16=""),"",LN(B17/B16)*100)</f>
        <v/>
      </c>
      <c r="D17" s="3">
        <f>IF(COUNT(C15:C17)&lt;3,"",STDEV.S(C15:C17))</f>
        <v/>
      </c>
      <c r="E17" s="3">
        <f>IF(COUNT(C6:C17)&lt;12,"",STDEV.S(C6:C17))</f>
        <v/>
      </c>
    </row>
    <row r="18">
      <c r="A18" s="6" t="inlineStr">
        <is>
          <t>1991M5</t>
        </is>
      </c>
      <c r="B18" s="3" t="n">
        <v>356.964294433594</v>
      </c>
      <c r="C18" s="3">
        <f>IF(OR(B18="",B17=""),"",LN(B18/B17)*100)</f>
        <v/>
      </c>
      <c r="D18" s="3">
        <f>IF(COUNT(C16:C18)&lt;3,"",STDEV.S(C16:C18))</f>
        <v/>
      </c>
      <c r="E18" s="3">
        <f>IF(COUNT(C7:C18)&lt;12,"",STDEV.S(C7:C18))</f>
        <v/>
      </c>
    </row>
    <row r="19">
      <c r="A19" s="6" t="inlineStr">
        <is>
          <t>1991M6</t>
        </is>
      </c>
      <c r="B19" s="3" t="n">
        <v>366.910003662109</v>
      </c>
      <c r="C19" s="3">
        <f>IF(OR(B19="",B18=""),"",LN(B19/B18)*100)</f>
        <v/>
      </c>
      <c r="D19" s="3">
        <f>IF(COUNT(C17:C19)&lt;3,"",STDEV.S(C17:C19))</f>
        <v/>
      </c>
      <c r="E19" s="3">
        <f>IF(COUNT(C8:C19)&lt;12,"",STDEV.S(C8:C19))</f>
        <v/>
      </c>
    </row>
    <row r="20">
      <c r="A20" s="6" t="inlineStr">
        <is>
          <t>1991M7</t>
        </is>
      </c>
      <c r="B20" s="3" t="n">
        <v>367.792266845703</v>
      </c>
      <c r="C20" s="3">
        <f>IF(OR(B20="",B19=""),"",LN(B20/B19)*100)</f>
        <v/>
      </c>
      <c r="D20" s="3">
        <f>IF(COUNT(C18:C20)&lt;3,"",STDEV.S(C18:C20))</f>
        <v/>
      </c>
      <c r="E20" s="3">
        <f>IF(COUNT(C9:C20)&lt;12,"",STDEV.S(C9:C20))</f>
        <v/>
      </c>
    </row>
    <row r="21">
      <c r="A21" s="6" t="inlineStr">
        <is>
          <t>1991M8</t>
        </is>
      </c>
      <c r="B21" s="3" t="n">
        <v>356.669525146484</v>
      </c>
      <c r="C21" s="3">
        <f>IF(OR(B21="",B20=""),"",LN(B21/B20)*100)</f>
        <v/>
      </c>
      <c r="D21" s="3">
        <f>IF(COUNT(C19:C21)&lt;3,"",STDEV.S(C19:C21))</f>
        <v/>
      </c>
      <c r="E21" s="3">
        <f>IF(COUNT(C10:C21)&lt;12,"",STDEV.S(C10:C21))</f>
        <v/>
      </c>
    </row>
    <row r="22">
      <c r="A22" s="6" t="inlineStr">
        <is>
          <t>1991M9</t>
        </is>
      </c>
      <c r="B22" s="3" t="n">
        <v>348.742858886719</v>
      </c>
      <c r="C22" s="3">
        <f>IF(OR(B22="",B21=""),"",LN(B22/B21)*100)</f>
        <v/>
      </c>
      <c r="D22" s="3">
        <f>IF(COUNT(C20:C22)&lt;3,"",STDEV.S(C20:C22))</f>
        <v/>
      </c>
      <c r="E22" s="3">
        <f>IF(COUNT(C11:C22)&lt;12,"",STDEV.S(C11:C22))</f>
        <v/>
      </c>
    </row>
    <row r="23">
      <c r="A23" s="6" t="inlineStr">
        <is>
          <t>1991M10</t>
        </is>
      </c>
      <c r="B23" s="3" t="n">
        <v>358.814361572266</v>
      </c>
      <c r="C23" s="3">
        <f>IF(OR(B23="",B22=""),"",LN(B23/B22)*100)</f>
        <v/>
      </c>
      <c r="D23" s="3">
        <f>IF(COUNT(C21:C23)&lt;3,"",STDEV.S(C21:C23))</f>
        <v/>
      </c>
      <c r="E23" s="3">
        <f>IF(COUNT(C12:C23)&lt;12,"",STDEV.S(C12:C23))</f>
        <v/>
      </c>
    </row>
    <row r="24">
      <c r="A24" s="6" t="inlineStr">
        <is>
          <t>1991M11</t>
        </is>
      </c>
      <c r="B24" s="3" t="n">
        <v>359.589996337891</v>
      </c>
      <c r="C24" s="3">
        <f>IF(OR(B24="",B23=""),"",LN(B24/B23)*100)</f>
        <v/>
      </c>
      <c r="D24" s="3">
        <f>IF(COUNT(C22:C24)&lt;3,"",STDEV.S(C22:C24))</f>
        <v/>
      </c>
      <c r="E24" s="3">
        <f>IF(COUNT(C13:C24)&lt;12,"",STDEV.S(C13:C24))</f>
        <v/>
      </c>
    </row>
    <row r="25">
      <c r="A25" s="6" t="inlineStr">
        <is>
          <t>1991M12</t>
        </is>
      </c>
      <c r="B25" s="3" t="n">
        <v>361.532012939453</v>
      </c>
      <c r="C25" s="3">
        <f>IF(OR(B25="",B24=""),"",LN(B25/B24)*100)</f>
        <v/>
      </c>
      <c r="D25" s="3">
        <f>IF(COUNT(C23:C25)&lt;3,"",STDEV.S(C23:C25))</f>
        <v/>
      </c>
      <c r="E25" s="3">
        <f>IF(COUNT(C14:C25)&lt;12,"",STDEV.S(C14:C25))</f>
        <v/>
      </c>
    </row>
    <row r="26">
      <c r="A26" s="6" t="inlineStr">
        <is>
          <t>1992M1</t>
        </is>
      </c>
      <c r="B26" s="3" t="n">
        <v>354.700958251953</v>
      </c>
      <c r="C26" s="3">
        <f>IF(OR(B26="",B25=""),"",LN(B26/B25)*100)</f>
        <v/>
      </c>
      <c r="D26" s="3">
        <f>IF(COUNT(C24:C26)&lt;3,"",STDEV.S(C24:C26))</f>
        <v/>
      </c>
      <c r="E26" s="3">
        <f>IF(COUNT(C15:C26)&lt;12,"",STDEV.S(C15:C26))</f>
        <v/>
      </c>
    </row>
    <row r="27">
      <c r="A27" s="6" t="inlineStr">
        <is>
          <t>1992M2</t>
        </is>
      </c>
      <c r="B27" s="3" t="n">
        <v>353.779998779297</v>
      </c>
      <c r="C27" s="3">
        <f>IF(OR(B27="",B26=""),"",LN(B27/B26)*100)</f>
        <v/>
      </c>
      <c r="D27" s="3">
        <f>IF(COUNT(C25:C27)&lt;3,"",STDEV.S(C25:C27))</f>
        <v/>
      </c>
      <c r="E27" s="3">
        <f>IF(COUNT(C16:C27)&lt;12,"",STDEV.S(C16:C27))</f>
        <v/>
      </c>
    </row>
    <row r="28">
      <c r="A28" s="6" t="inlineStr">
        <is>
          <t>1992M3</t>
        </is>
      </c>
      <c r="B28" s="3" t="n">
        <v>344.183319091797</v>
      </c>
      <c r="C28" s="3">
        <f>IF(OR(B28="",B27=""),"",LN(B28/B27)*100)</f>
        <v/>
      </c>
      <c r="D28" s="3">
        <f>IF(COUNT(C26:C28)&lt;3,"",STDEV.S(C26:C28))</f>
        <v/>
      </c>
      <c r="E28" s="3">
        <f>IF(COUNT(C17:C28)&lt;12,"",STDEV.S(C17:C28))</f>
        <v/>
      </c>
    </row>
    <row r="29">
      <c r="A29" s="6" t="inlineStr">
        <is>
          <t>1992M4</t>
        </is>
      </c>
      <c r="B29" s="3" t="n">
        <v>338.691589355469</v>
      </c>
      <c r="C29" s="3">
        <f>IF(OR(B29="",B28=""),"",LN(B29/B28)*100)</f>
        <v/>
      </c>
      <c r="D29" s="3">
        <f>IF(COUNT(C27:C29)&lt;3,"",STDEV.S(C27:C29))</f>
        <v/>
      </c>
      <c r="E29" s="3">
        <f>IF(COUNT(C18:C29)&lt;12,"",STDEV.S(C18:C29))</f>
        <v/>
      </c>
    </row>
    <row r="30">
      <c r="A30" s="6" t="inlineStr">
        <is>
          <t>1992M5</t>
        </is>
      </c>
      <c r="B30" s="3" t="n">
        <v>337.098937988281</v>
      </c>
      <c r="C30" s="3">
        <f>IF(OR(B30="",B29=""),"",LN(B30/B29)*100)</f>
        <v/>
      </c>
      <c r="D30" s="3">
        <f>IF(COUNT(C28:C30)&lt;3,"",STDEV.S(C28:C30))</f>
        <v/>
      </c>
      <c r="E30" s="3">
        <f>IF(COUNT(C19:C30)&lt;12,"",STDEV.S(C19:C30))</f>
        <v/>
      </c>
    </row>
    <row r="31">
      <c r="A31" s="6" t="inlineStr">
        <is>
          <t>1992M6</t>
        </is>
      </c>
      <c r="B31" s="3" t="n">
        <v>341.021911621094</v>
      </c>
      <c r="C31" s="3">
        <f>IF(OR(B31="",B30=""),"",LN(B31/B30)*100)</f>
        <v/>
      </c>
      <c r="D31" s="3">
        <f>IF(COUNT(C29:C31)&lt;3,"",STDEV.S(C29:C31))</f>
        <v/>
      </c>
      <c r="E31" s="3">
        <f>IF(COUNT(C20:C31)&lt;12,"",STDEV.S(C20:C31))</f>
        <v/>
      </c>
    </row>
    <row r="32">
      <c r="A32" s="6" t="inlineStr">
        <is>
          <t>1992M7</t>
        </is>
      </c>
      <c r="B32" s="3" t="n">
        <v>352.254486083984</v>
      </c>
      <c r="C32" s="3">
        <f>IF(OR(B32="",B31=""),"",LN(B32/B31)*100)</f>
        <v/>
      </c>
      <c r="D32" s="3">
        <f>IF(COUNT(C30:C32)&lt;3,"",STDEV.S(C30:C32))</f>
        <v/>
      </c>
      <c r="E32" s="3">
        <f>IF(COUNT(C21:C32)&lt;12,"",STDEV.S(C21:C32))</f>
        <v/>
      </c>
    </row>
    <row r="33">
      <c r="A33" s="6" t="inlineStr">
        <is>
          <t>1992M8</t>
        </is>
      </c>
      <c r="B33" s="3" t="n">
        <v>342.892852783203</v>
      </c>
      <c r="C33" s="3">
        <f>IF(OR(B33="",B32=""),"",LN(B33/B32)*100)</f>
        <v/>
      </c>
      <c r="D33" s="3">
        <f>IF(COUNT(C31:C33)&lt;3,"",STDEV.S(C31:C33))</f>
        <v/>
      </c>
      <c r="E33" s="3">
        <f>IF(COUNT(C22:C33)&lt;12,"",STDEV.S(C22:C33))</f>
        <v/>
      </c>
    </row>
    <row r="34">
      <c r="A34" s="6" t="inlineStr">
        <is>
          <t>1992M9</t>
        </is>
      </c>
      <c r="B34" s="3" t="n">
        <v>345.006500244141</v>
      </c>
      <c r="C34" s="3">
        <f>IF(OR(B34="",B33=""),"",LN(B34/B33)*100)</f>
        <v/>
      </c>
      <c r="D34" s="3">
        <f>IF(COUNT(C32:C34)&lt;3,"",STDEV.S(C32:C34))</f>
        <v/>
      </c>
      <c r="E34" s="3">
        <f>IF(COUNT(C23:C34)&lt;12,"",STDEV.S(C23:C34))</f>
        <v/>
      </c>
    </row>
    <row r="35">
      <c r="A35" s="6" t="inlineStr">
        <is>
          <t>1992M10</t>
        </is>
      </c>
      <c r="B35" s="3" t="n">
        <v>344.892395019531</v>
      </c>
      <c r="C35" s="3">
        <f>IF(OR(B35="",B34=""),"",LN(B35/B34)*100)</f>
        <v/>
      </c>
      <c r="D35" s="3">
        <f>IF(COUNT(C33:C35)&lt;3,"",STDEV.S(C33:C35))</f>
        <v/>
      </c>
      <c r="E35" s="3">
        <f>IF(COUNT(C24:C35)&lt;12,"",STDEV.S(C24:C35))</f>
        <v/>
      </c>
    </row>
    <row r="36">
      <c r="A36" s="6" t="inlineStr">
        <is>
          <t>1992M11</t>
        </is>
      </c>
      <c r="B36" s="3" t="n">
        <v>335.050537109375</v>
      </c>
      <c r="C36" s="3">
        <f>IF(OR(B36="",B35=""),"",LN(B36/B35)*100)</f>
        <v/>
      </c>
      <c r="D36" s="3">
        <f>IF(COUNT(C34:C36)&lt;3,"",STDEV.S(C34:C36))</f>
        <v/>
      </c>
      <c r="E36" s="3">
        <f>IF(COUNT(C25:C36)&lt;12,"",STDEV.S(C25:C36))</f>
        <v/>
      </c>
    </row>
    <row r="37">
      <c r="A37" s="6" t="inlineStr">
        <is>
          <t>1992M12</t>
        </is>
      </c>
      <c r="B37" s="3" t="n">
        <v>334.80712890625</v>
      </c>
      <c r="C37" s="3">
        <f>IF(OR(B37="",B36=""),"",LN(B37/B36)*100)</f>
        <v/>
      </c>
      <c r="D37" s="3">
        <f>IF(COUNT(C35:C37)&lt;3,"",STDEV.S(C35:C37))</f>
        <v/>
      </c>
      <c r="E37" s="3">
        <f>IF(COUNT(C26:C37)&lt;12,"",STDEV.S(C26:C37))</f>
        <v/>
      </c>
    </row>
    <row r="38">
      <c r="A38" s="6" t="inlineStr">
        <is>
          <t>1993M1</t>
        </is>
      </c>
      <c r="B38" s="3" t="n">
        <v>329.030548095703</v>
      </c>
      <c r="C38" s="3">
        <f>IF(OR(B38="",B37=""),"",LN(B38/B37)*100)</f>
        <v/>
      </c>
      <c r="D38" s="3">
        <f>IF(COUNT(C36:C38)&lt;3,"",STDEV.S(C36:C38))</f>
        <v/>
      </c>
      <c r="E38" s="3">
        <f>IF(COUNT(C27:C38)&lt;12,"",STDEV.S(C27:C38))</f>
        <v/>
      </c>
    </row>
    <row r="39">
      <c r="A39" s="6" t="inlineStr">
        <is>
          <t>1993M2</t>
        </is>
      </c>
      <c r="B39" s="3" t="n">
        <v>329.299987792969</v>
      </c>
      <c r="C39" s="3">
        <f>IF(OR(B39="",B38=""),"",LN(B39/B38)*100)</f>
        <v/>
      </c>
      <c r="D39" s="3">
        <f>IF(COUNT(C37:C39)&lt;3,"",STDEV.S(C37:C39))</f>
        <v/>
      </c>
      <c r="E39" s="3">
        <f>IF(COUNT(C28:C39)&lt;12,"",STDEV.S(C28:C39))</f>
        <v/>
      </c>
    </row>
    <row r="40">
      <c r="A40" s="6" t="inlineStr">
        <is>
          <t>1993M3</t>
        </is>
      </c>
      <c r="B40" s="3" t="n">
        <v>330.096954345703</v>
      </c>
      <c r="C40" s="3">
        <f>IF(OR(B40="",B39=""),"",LN(B40/B39)*100)</f>
        <v/>
      </c>
      <c r="D40" s="3">
        <f>IF(COUNT(C38:C40)&lt;3,"",STDEV.S(C38:C40))</f>
        <v/>
      </c>
      <c r="E40" s="3">
        <f>IF(COUNT(C29:C40)&lt;12,"",STDEV.S(C29:C40))</f>
        <v/>
      </c>
    </row>
    <row r="41">
      <c r="A41" s="6" t="inlineStr">
        <is>
          <t>1993M4</t>
        </is>
      </c>
      <c r="B41" s="3" t="n">
        <v>342.05712890625</v>
      </c>
      <c r="C41" s="3">
        <f>IF(OR(B41="",B40=""),"",LN(B41/B40)*100)</f>
        <v/>
      </c>
      <c r="D41" s="3">
        <f>IF(COUNT(C39:C41)&lt;3,"",STDEV.S(C39:C41))</f>
        <v/>
      </c>
      <c r="E41" s="3">
        <f>IF(COUNT(C30:C41)&lt;12,"",STDEV.S(C30:C41))</f>
        <v/>
      </c>
    </row>
    <row r="42">
      <c r="A42" s="6" t="inlineStr">
        <is>
          <t>1993M5</t>
        </is>
      </c>
      <c r="B42" s="3" t="n">
        <v>366.667999267578</v>
      </c>
      <c r="C42" s="3">
        <f>IF(OR(B42="",B41=""),"",LN(B42/B41)*100)</f>
        <v/>
      </c>
      <c r="D42" s="3">
        <f>IF(COUNT(C40:C42)&lt;3,"",STDEV.S(C40:C42))</f>
        <v/>
      </c>
      <c r="E42" s="3">
        <f>IF(COUNT(C31:C42)&lt;12,"",STDEV.S(C31:C42))</f>
        <v/>
      </c>
    </row>
    <row r="43">
      <c r="A43" s="6" t="inlineStr">
        <is>
          <t>1993M6</t>
        </is>
      </c>
      <c r="B43" s="3" t="n">
        <v>371.809997558594</v>
      </c>
      <c r="C43" s="3">
        <f>IF(OR(B43="",B42=""),"",LN(B43/B42)*100)</f>
        <v/>
      </c>
      <c r="D43" s="3">
        <f>IF(COUNT(C41:C43)&lt;3,"",STDEV.S(C41:C43))</f>
        <v/>
      </c>
      <c r="E43" s="3">
        <f>IF(COUNT(C32:C43)&lt;12,"",STDEV.S(C32:C43))</f>
        <v/>
      </c>
    </row>
    <row r="44">
      <c r="A44" s="6" t="inlineStr">
        <is>
          <t>1993M7</t>
        </is>
      </c>
      <c r="B44" s="3" t="n">
        <v>392.399993896484</v>
      </c>
      <c r="C44" s="3">
        <f>IF(OR(B44="",B43=""),"",LN(B44/B43)*100)</f>
        <v/>
      </c>
      <c r="D44" s="3">
        <f>IF(COUNT(C42:C44)&lt;3,"",STDEV.S(C42:C44))</f>
        <v/>
      </c>
      <c r="E44" s="3">
        <f>IF(COUNT(C33:C44)&lt;12,"",STDEV.S(C33:C44))</f>
        <v/>
      </c>
    </row>
    <row r="45">
      <c r="A45" s="6" t="inlineStr">
        <is>
          <t>1993M8</t>
        </is>
      </c>
      <c r="B45" s="3" t="n">
        <v>378.700012207031</v>
      </c>
      <c r="C45" s="3">
        <f>IF(OR(B45="",B44=""),"",LN(B45/B44)*100)</f>
        <v/>
      </c>
      <c r="D45" s="3">
        <f>IF(COUNT(C43:C45)&lt;3,"",STDEV.S(C43:C45))</f>
        <v/>
      </c>
      <c r="E45" s="3">
        <f>IF(COUNT(C34:C45)&lt;12,"",STDEV.S(C34:C45))</f>
        <v/>
      </c>
    </row>
    <row r="46">
      <c r="A46" s="6" t="inlineStr">
        <is>
          <t>1993M9</t>
        </is>
      </c>
      <c r="B46" s="3" t="n">
        <v>354.399993896484</v>
      </c>
      <c r="C46" s="3">
        <f>IF(OR(B46="",B45=""),"",LN(B46/B45)*100)</f>
        <v/>
      </c>
      <c r="D46" s="3">
        <f>IF(COUNT(C44:C46)&lt;3,"",STDEV.S(C44:C46))</f>
        <v/>
      </c>
      <c r="E46" s="3">
        <f>IF(COUNT(C35:C46)&lt;12,"",STDEV.S(C35:C46))</f>
        <v/>
      </c>
    </row>
    <row r="47">
      <c r="A47" s="6" t="inlineStr">
        <is>
          <t>1993M10</t>
        </is>
      </c>
      <c r="B47" s="3" t="n">
        <v>362.380004882813</v>
      </c>
      <c r="C47" s="3">
        <f>IF(OR(B47="",B46=""),"",LN(B47/B46)*100)</f>
        <v/>
      </c>
      <c r="D47" s="3">
        <f>IF(COUNT(C45:C47)&lt;3,"",STDEV.S(C45:C47))</f>
        <v/>
      </c>
      <c r="E47" s="3">
        <f>IF(COUNT(C36:C47)&lt;12,"",STDEV.S(C36:C47))</f>
        <v/>
      </c>
    </row>
    <row r="48">
      <c r="A48" s="6" t="inlineStr">
        <is>
          <t>1993M11</t>
        </is>
      </c>
      <c r="B48" s="3" t="n">
        <v>374.167510986328</v>
      </c>
      <c r="C48" s="3">
        <f>IF(OR(B48="",B47=""),"",LN(B48/B47)*100)</f>
        <v/>
      </c>
      <c r="D48" s="3">
        <f>IF(COUNT(C46:C48)&lt;3,"",STDEV.S(C46:C48))</f>
        <v/>
      </c>
      <c r="E48" s="3">
        <f>IF(COUNT(C37:C48)&lt;12,"",STDEV.S(C37:C48))</f>
        <v/>
      </c>
    </row>
    <row r="49">
      <c r="A49" s="6" t="inlineStr">
        <is>
          <t>1993M12</t>
        </is>
      </c>
      <c r="B49" s="3" t="n">
        <v>383.302001953125</v>
      </c>
      <c r="C49" s="3">
        <f>IF(OR(B49="",B48=""),"",LN(B49/B48)*100)</f>
        <v/>
      </c>
      <c r="D49" s="3">
        <f>IF(COUNT(C47:C49)&lt;3,"",STDEV.S(C47:C49))</f>
        <v/>
      </c>
      <c r="E49" s="3">
        <f>IF(COUNT(C38:C49)&lt;12,"",STDEV.S(C38:C49))</f>
        <v/>
      </c>
    </row>
    <row r="50">
      <c r="A50" s="6" t="inlineStr">
        <is>
          <t>1994M1</t>
        </is>
      </c>
      <c r="B50" s="3" t="n">
        <v>387.077514648438</v>
      </c>
      <c r="C50" s="3">
        <f>IF(OR(B50="",B49=""),"",LN(B50/B49)*100)</f>
        <v/>
      </c>
      <c r="D50" s="3">
        <f>IF(COUNT(C48:C50)&lt;3,"",STDEV.S(C48:C50))</f>
        <v/>
      </c>
      <c r="E50" s="3">
        <f>IF(COUNT(C39:C50)&lt;12,"",STDEV.S(C39:C50))</f>
        <v/>
      </c>
    </row>
    <row r="51">
      <c r="A51" s="6" t="inlineStr">
        <is>
          <t>1994M2</t>
        </is>
      </c>
      <c r="B51" s="3" t="n">
        <v>382.304992675781</v>
      </c>
      <c r="C51" s="3">
        <f>IF(OR(B51="",B50=""),"",LN(B51/B50)*100)</f>
        <v/>
      </c>
      <c r="D51" s="3">
        <f>IF(COUNT(C49:C51)&lt;3,"",STDEV.S(C49:C51))</f>
        <v/>
      </c>
      <c r="E51" s="3">
        <f>IF(COUNT(C40:C51)&lt;12,"",STDEV.S(C40:C51))</f>
        <v/>
      </c>
    </row>
    <row r="52">
      <c r="A52" s="6" t="inlineStr">
        <is>
          <t>1994M3</t>
        </is>
      </c>
      <c r="B52" s="3" t="n">
        <v>383.877502441406</v>
      </c>
      <c r="C52" s="3">
        <f>IF(OR(B52="",B51=""),"",LN(B52/B51)*100)</f>
        <v/>
      </c>
      <c r="D52" s="3">
        <f>IF(COUNT(C50:C52)&lt;3,"",STDEV.S(C50:C52))</f>
        <v/>
      </c>
      <c r="E52" s="3">
        <f>IF(COUNT(C41:C52)&lt;12,"",STDEV.S(C41:C52))</f>
        <v/>
      </c>
    </row>
    <row r="53">
      <c r="A53" s="6" t="inlineStr">
        <is>
          <t>1994M4</t>
        </is>
      </c>
      <c r="B53" s="3" t="n">
        <v>377.321044921875</v>
      </c>
      <c r="C53" s="3">
        <f>IF(OR(B53="",B52=""),"",LN(B53/B52)*100)</f>
        <v/>
      </c>
      <c r="D53" s="3">
        <f>IF(COUNT(C51:C53)&lt;3,"",STDEV.S(C51:C53))</f>
        <v/>
      </c>
      <c r="E53" s="3">
        <f>IF(COUNT(C42:C53)&lt;12,"",STDEV.S(C42:C53))</f>
        <v/>
      </c>
    </row>
    <row r="54">
      <c r="A54" s="6" t="inlineStr">
        <is>
          <t>1994M5</t>
        </is>
      </c>
      <c r="B54" s="3" t="n">
        <v>381.589996337891</v>
      </c>
      <c r="C54" s="3">
        <f>IF(OR(B54="",B53=""),"",LN(B54/B53)*100)</f>
        <v/>
      </c>
      <c r="D54" s="3">
        <f>IF(COUNT(C52:C54)&lt;3,"",STDEV.S(C52:C54))</f>
        <v/>
      </c>
      <c r="E54" s="3">
        <f>IF(COUNT(C43:C54)&lt;12,"",STDEV.S(C43:C54))</f>
        <v/>
      </c>
    </row>
    <row r="55">
      <c r="A55" s="6" t="inlineStr">
        <is>
          <t>1994M6</t>
        </is>
      </c>
      <c r="B55" s="3" t="n">
        <v>385.743194580078</v>
      </c>
      <c r="C55" s="3">
        <f>IF(OR(B55="",B54=""),"",LN(B55/B54)*100)</f>
        <v/>
      </c>
      <c r="D55" s="3">
        <f>IF(COUNT(C53:C55)&lt;3,"",STDEV.S(C53:C55))</f>
        <v/>
      </c>
      <c r="E55" s="3">
        <f>IF(COUNT(C44:C55)&lt;12,"",STDEV.S(C44:C55))</f>
        <v/>
      </c>
    </row>
    <row r="56">
      <c r="A56" s="6" t="inlineStr">
        <is>
          <t>1994M7</t>
        </is>
      </c>
      <c r="B56" s="3" t="n">
        <v>385.399993896484</v>
      </c>
      <c r="C56" s="3">
        <f>IF(OR(B56="",B55=""),"",LN(B56/B55)*100)</f>
        <v/>
      </c>
      <c r="D56" s="3">
        <f>IF(COUNT(C54:C56)&lt;3,"",STDEV.S(C54:C56))</f>
        <v/>
      </c>
      <c r="E56" s="3">
        <f>IF(COUNT(C45:C56)&lt;12,"",STDEV.S(C45:C56))</f>
        <v/>
      </c>
    </row>
    <row r="57">
      <c r="A57" s="6" t="inlineStr">
        <is>
          <t>1994M8</t>
        </is>
      </c>
      <c r="B57" s="3" t="n">
        <v>380.761352539063</v>
      </c>
      <c r="C57" s="3">
        <f>IF(OR(B57="",B56=""),"",LN(B57/B56)*100)</f>
        <v/>
      </c>
      <c r="D57" s="3">
        <f>IF(COUNT(C55:C57)&lt;3,"",STDEV.S(C55:C57))</f>
        <v/>
      </c>
      <c r="E57" s="3">
        <f>IF(COUNT(C46:C57)&lt;12,"",STDEV.S(C46:C57))</f>
        <v/>
      </c>
    </row>
    <row r="58">
      <c r="A58" s="6" t="inlineStr">
        <is>
          <t>1994M9</t>
        </is>
      </c>
      <c r="B58" s="3" t="n">
        <v>391.928100585938</v>
      </c>
      <c r="C58" s="3">
        <f>IF(OR(B58="",B57=""),"",LN(B58/B57)*100)</f>
        <v/>
      </c>
      <c r="D58" s="3">
        <f>IF(COUNT(C56:C58)&lt;3,"",STDEV.S(C56:C58))</f>
        <v/>
      </c>
      <c r="E58" s="3">
        <f>IF(COUNT(C47:C58)&lt;12,"",STDEV.S(C47:C58))</f>
        <v/>
      </c>
    </row>
    <row r="59">
      <c r="A59" s="6" t="inlineStr">
        <is>
          <t>1994M10</t>
        </is>
      </c>
      <c r="B59" s="3" t="n">
        <v>389.594451904297</v>
      </c>
      <c r="C59" s="3">
        <f>IF(OR(B59="",B58=""),"",LN(B59/B58)*100)</f>
        <v/>
      </c>
      <c r="D59" s="3">
        <f>IF(COUNT(C57:C59)&lt;3,"",STDEV.S(C57:C59))</f>
        <v/>
      </c>
      <c r="E59" s="3">
        <f>IF(COUNT(C48:C59)&lt;12,"",STDEV.S(C48:C59))</f>
        <v/>
      </c>
    </row>
    <row r="60">
      <c r="A60" s="6" t="inlineStr">
        <is>
          <t>1994M11</t>
        </is>
      </c>
      <c r="B60" s="3" t="n">
        <v>384.441253662109</v>
      </c>
      <c r="C60" s="3">
        <f>IF(OR(B60="",B59=""),"",LN(B60/B59)*100)</f>
        <v/>
      </c>
      <c r="D60" s="3">
        <f>IF(COUNT(C58:C60)&lt;3,"",STDEV.S(C58:C60))</f>
        <v/>
      </c>
      <c r="E60" s="3">
        <f>IF(COUNT(C49:C60)&lt;12,"",STDEV.S(C49:C60))</f>
        <v/>
      </c>
    </row>
    <row r="61">
      <c r="A61" s="6" t="inlineStr">
        <is>
          <t>1994M12</t>
        </is>
      </c>
      <c r="B61" s="3" t="n">
        <v>379.399993896484</v>
      </c>
      <c r="C61" s="3">
        <f>IF(OR(B61="",B60=""),"",LN(B61/B60)*100)</f>
        <v/>
      </c>
      <c r="D61" s="3">
        <f>IF(COUNT(C59:C61)&lt;3,"",STDEV.S(C59:C61))</f>
        <v/>
      </c>
      <c r="E61" s="3">
        <f>IF(COUNT(C50:C61)&lt;12,"",STDEV.S(C50:C61))</f>
        <v/>
      </c>
    </row>
    <row r="62">
      <c r="A62" s="6" t="inlineStr">
        <is>
          <t>1995M1</t>
        </is>
      </c>
      <c r="B62" s="3" t="n">
        <v>378.549987792969</v>
      </c>
      <c r="C62" s="3">
        <f>IF(OR(B62="",B61=""),"",LN(B62/B61)*100)</f>
        <v/>
      </c>
      <c r="D62" s="3">
        <f>IF(COUNT(C60:C62)&lt;3,"",STDEV.S(C60:C62))</f>
        <v/>
      </c>
      <c r="E62" s="3">
        <f>IF(COUNT(C51:C62)&lt;12,"",STDEV.S(C51:C62))</f>
        <v/>
      </c>
    </row>
    <row r="63">
      <c r="A63" s="6" t="inlineStr">
        <is>
          <t>1995M2</t>
        </is>
      </c>
      <c r="B63" s="3" t="n">
        <v>376.505249023438</v>
      </c>
      <c r="C63" s="3">
        <f>IF(OR(B63="",B62=""),"",LN(B63/B62)*100)</f>
        <v/>
      </c>
      <c r="D63" s="3">
        <f>IF(COUNT(C61:C63)&lt;3,"",STDEV.S(C61:C63))</f>
        <v/>
      </c>
      <c r="E63" s="3">
        <f>IF(COUNT(C52:C63)&lt;12,"",STDEV.S(C52:C63))</f>
        <v/>
      </c>
    </row>
    <row r="64">
      <c r="A64" s="6" t="inlineStr">
        <is>
          <t>1995M3</t>
        </is>
      </c>
      <c r="B64" s="3" t="n">
        <v>381.661895751953</v>
      </c>
      <c r="C64" s="3">
        <f>IF(OR(B64="",B63=""),"",LN(B64/B63)*100)</f>
        <v/>
      </c>
      <c r="D64" s="3">
        <f>IF(COUNT(C62:C64)&lt;3,"",STDEV.S(C62:C64))</f>
        <v/>
      </c>
      <c r="E64" s="3">
        <f>IF(COUNT(C53:C64)&lt;12,"",STDEV.S(C53:C64))</f>
        <v/>
      </c>
    </row>
    <row r="65">
      <c r="A65" s="6" t="inlineStr">
        <is>
          <t>1995M4</t>
        </is>
      </c>
      <c r="B65" s="3" t="n">
        <v>391.04443359375</v>
      </c>
      <c r="C65" s="3">
        <f>IF(OR(B65="",B64=""),"",LN(B65/B64)*100)</f>
        <v/>
      </c>
      <c r="D65" s="3">
        <f>IF(COUNT(C63:C65)&lt;3,"",STDEV.S(C63:C65))</f>
        <v/>
      </c>
      <c r="E65" s="3">
        <f>IF(COUNT(C54:C65)&lt;12,"",STDEV.S(C54:C65))</f>
        <v/>
      </c>
    </row>
    <row r="66">
      <c r="A66" s="6" t="inlineStr">
        <is>
          <t>1995M5</t>
        </is>
      </c>
      <c r="B66" s="3" t="n">
        <v>385.219055175781</v>
      </c>
      <c r="C66" s="3">
        <f>IF(OR(B66="",B65=""),"",LN(B66/B65)*100)</f>
        <v/>
      </c>
      <c r="D66" s="3">
        <f>IF(COUNT(C64:C66)&lt;3,"",STDEV.S(C64:C66))</f>
        <v/>
      </c>
      <c r="E66" s="3">
        <f>IF(COUNT(C55:C66)&lt;12,"",STDEV.S(C55:C66))</f>
        <v/>
      </c>
    </row>
    <row r="67">
      <c r="A67" s="6" t="inlineStr">
        <is>
          <t>1995M6</t>
        </is>
      </c>
      <c r="B67" s="3" t="n">
        <v>387.490478515625</v>
      </c>
      <c r="C67" s="3">
        <f>IF(OR(B67="",B66=""),"",LN(B67/B66)*100)</f>
        <v/>
      </c>
      <c r="D67" s="3">
        <f>IF(COUNT(C65:C67)&lt;3,"",STDEV.S(C65:C67))</f>
        <v/>
      </c>
      <c r="E67" s="3">
        <f>IF(COUNT(C56:C67)&lt;12,"",STDEV.S(C56:C67))</f>
        <v/>
      </c>
    </row>
    <row r="68">
      <c r="A68" s="6" t="inlineStr">
        <is>
          <t>1995M7</t>
        </is>
      </c>
      <c r="B68" s="3" t="n">
        <v>386.240478515625</v>
      </c>
      <c r="C68" s="3">
        <f>IF(OR(B68="",B67=""),"",LN(B68/B67)*100)</f>
        <v/>
      </c>
      <c r="D68" s="3">
        <f>IF(COUNT(C66:C68)&lt;3,"",STDEV.S(C66:C68))</f>
        <v/>
      </c>
      <c r="E68" s="3">
        <f>IF(COUNT(C57:C68)&lt;12,"",STDEV.S(C57:C68))</f>
        <v/>
      </c>
    </row>
    <row r="69">
      <c r="A69" s="6" t="inlineStr">
        <is>
          <t>1995M8</t>
        </is>
      </c>
      <c r="B69" s="3" t="n">
        <v>383.697631835938</v>
      </c>
      <c r="C69" s="3">
        <f>IF(OR(B69="",B68=""),"",LN(B69/B68)*100)</f>
        <v/>
      </c>
      <c r="D69" s="3">
        <f>IF(COUNT(C67:C69)&lt;3,"",STDEV.S(C67:C69))</f>
        <v/>
      </c>
      <c r="E69" s="3">
        <f>IF(COUNT(C58:C69)&lt;12,"",STDEV.S(C58:C69))</f>
        <v/>
      </c>
    </row>
    <row r="70">
      <c r="A70" s="6" t="inlineStr">
        <is>
          <t>1995M9</t>
        </is>
      </c>
      <c r="B70" s="3" t="n">
        <v>383.217498779297</v>
      </c>
      <c r="C70" s="3">
        <f>IF(OR(B70="",B69=""),"",LN(B70/B69)*100)</f>
        <v/>
      </c>
      <c r="D70" s="3">
        <f>IF(COUNT(C68:C70)&lt;3,"",STDEV.S(C68:C70))</f>
        <v/>
      </c>
      <c r="E70" s="3">
        <f>IF(COUNT(C59:C70)&lt;12,"",STDEV.S(C59:C70))</f>
        <v/>
      </c>
    </row>
    <row r="71">
      <c r="A71" s="6" t="inlineStr">
        <is>
          <t>1995M10</t>
        </is>
      </c>
      <c r="B71" s="3" t="n">
        <v>383.069030761719</v>
      </c>
      <c r="C71" s="3">
        <f>IF(OR(B71="",B70=""),"",LN(B71/B70)*100)</f>
        <v/>
      </c>
      <c r="D71" s="3">
        <f>IF(COUNT(C69:C71)&lt;3,"",STDEV.S(C69:C71))</f>
        <v/>
      </c>
      <c r="E71" s="3">
        <f>IF(COUNT(C60:C71)&lt;12,"",STDEV.S(C60:C71))</f>
        <v/>
      </c>
    </row>
    <row r="72">
      <c r="A72" s="6" t="inlineStr">
        <is>
          <t>1995M11</t>
        </is>
      </c>
      <c r="B72" s="3" t="n">
        <v>385.676300048828</v>
      </c>
      <c r="C72" s="3">
        <f>IF(OR(B72="",B71=""),"",LN(B72/B71)*100)</f>
        <v/>
      </c>
      <c r="D72" s="3">
        <f>IF(COUNT(C70:C72)&lt;3,"",STDEV.S(C70:C72))</f>
        <v/>
      </c>
      <c r="E72" s="3">
        <f>IF(COUNT(C61:C72)&lt;12,"",STDEV.S(C61:C72))</f>
        <v/>
      </c>
    </row>
    <row r="73">
      <c r="A73" s="6" t="inlineStr">
        <is>
          <t>1995M12</t>
        </is>
      </c>
      <c r="B73" s="3" t="n">
        <v>387.557678222656</v>
      </c>
      <c r="C73" s="3">
        <f>IF(OR(B73="",B72=""),"",LN(B73/B72)*100)</f>
        <v/>
      </c>
      <c r="D73" s="3">
        <f>IF(COUNT(C71:C73)&lt;3,"",STDEV.S(C71:C73))</f>
        <v/>
      </c>
      <c r="E73" s="3">
        <f>IF(COUNT(C62:C73)&lt;12,"",STDEV.S(C62:C73))</f>
        <v/>
      </c>
    </row>
    <row r="74">
      <c r="A74" s="6" t="inlineStr">
        <is>
          <t>1996M1</t>
        </is>
      </c>
      <c r="B74" s="3" t="n">
        <v>400.070587158203</v>
      </c>
      <c r="C74" s="3">
        <f>IF(OR(B74="",B73=""),"",LN(B74/B73)*100)</f>
        <v/>
      </c>
      <c r="D74" s="3">
        <f>IF(COUNT(C72:C74)&lt;3,"",STDEV.S(C72:C74))</f>
        <v/>
      </c>
      <c r="E74" s="3">
        <f>IF(COUNT(C63:C74)&lt;12,"",STDEV.S(C63:C74))</f>
        <v/>
      </c>
    </row>
    <row r="75">
      <c r="A75" s="6" t="inlineStr">
        <is>
          <t>1996M2</t>
        </is>
      </c>
      <c r="B75" s="3" t="n">
        <v>404.484222412109</v>
      </c>
      <c r="C75" s="3">
        <f>IF(OR(B75="",B74=""),"",LN(B75/B74)*100)</f>
        <v/>
      </c>
      <c r="D75" s="3">
        <f>IF(COUNT(C73:C75)&lt;3,"",STDEV.S(C73:C75))</f>
        <v/>
      </c>
      <c r="E75" s="3">
        <f>IF(COUNT(C64:C75)&lt;12,"",STDEV.S(C64:C75))</f>
        <v/>
      </c>
    </row>
    <row r="76">
      <c r="A76" s="6" t="inlineStr">
        <is>
          <t>1996M3</t>
        </is>
      </c>
      <c r="B76" s="3" t="n">
        <v>396.326324462891</v>
      </c>
      <c r="C76" s="3">
        <f>IF(OR(B76="",B75=""),"",LN(B76/B75)*100)</f>
        <v/>
      </c>
      <c r="D76" s="3">
        <f>IF(COUNT(C74:C76)&lt;3,"",STDEV.S(C74:C76))</f>
        <v/>
      </c>
      <c r="E76" s="3">
        <f>IF(COUNT(C65:C76)&lt;12,"",STDEV.S(C65:C76))</f>
        <v/>
      </c>
    </row>
    <row r="77">
      <c r="A77" s="6" t="inlineStr">
        <is>
          <t>1996M4</t>
        </is>
      </c>
      <c r="B77" s="3" t="n">
        <v>393.144989013672</v>
      </c>
      <c r="C77" s="3">
        <f>IF(OR(B77="",B76=""),"",LN(B77/B76)*100)</f>
        <v/>
      </c>
      <c r="D77" s="3">
        <f>IF(COUNT(C75:C77)&lt;3,"",STDEV.S(C75:C77))</f>
        <v/>
      </c>
      <c r="E77" s="3">
        <f>IF(COUNT(C66:C77)&lt;12,"",STDEV.S(C66:C77))</f>
        <v/>
      </c>
    </row>
    <row r="78">
      <c r="A78" s="6" t="inlineStr">
        <is>
          <t>1996M5</t>
        </is>
      </c>
      <c r="B78" s="3" t="n">
        <v>391.94287109375</v>
      </c>
      <c r="C78" s="3">
        <f>IF(OR(B78="",B77=""),"",LN(B78/B77)*100)</f>
        <v/>
      </c>
      <c r="D78" s="3">
        <f>IF(COUNT(C76:C78)&lt;3,"",STDEV.S(C76:C78))</f>
        <v/>
      </c>
      <c r="E78" s="3">
        <f>IF(COUNT(C67:C78)&lt;12,"",STDEV.S(C67:C78))</f>
        <v/>
      </c>
    </row>
    <row r="79">
      <c r="A79" s="6" t="inlineStr">
        <is>
          <t>1996M6</t>
        </is>
      </c>
      <c r="B79" s="3" t="n">
        <v>385.272491455078</v>
      </c>
      <c r="C79" s="3">
        <f>IF(OR(B79="",B78=""),"",LN(B79/B78)*100)</f>
        <v/>
      </c>
      <c r="D79" s="3">
        <f>IF(COUNT(C77:C79)&lt;3,"",STDEV.S(C77:C79))</f>
        <v/>
      </c>
      <c r="E79" s="3">
        <f>IF(COUNT(C68:C79)&lt;12,"",STDEV.S(C68:C79))</f>
        <v/>
      </c>
    </row>
    <row r="80">
      <c r="A80" s="6" t="inlineStr">
        <is>
          <t>1996M7</t>
        </is>
      </c>
      <c r="B80" s="3" t="n">
        <v>383.586364746094</v>
      </c>
      <c r="C80" s="3">
        <f>IF(OR(B80="",B79=""),"",LN(B80/B79)*100)</f>
        <v/>
      </c>
      <c r="D80" s="3">
        <f>IF(COUNT(C78:C80)&lt;3,"",STDEV.S(C78:C80))</f>
        <v/>
      </c>
      <c r="E80" s="3">
        <f>IF(COUNT(C69:C80)&lt;12,"",STDEV.S(C69:C80))</f>
        <v/>
      </c>
    </row>
    <row r="81">
      <c r="A81" s="6" t="inlineStr">
        <is>
          <t>1996M8</t>
        </is>
      </c>
      <c r="B81" s="3" t="n">
        <v>387.471435546875</v>
      </c>
      <c r="C81" s="3">
        <f>IF(OR(B81="",B80=""),"",LN(B81/B80)*100)</f>
        <v/>
      </c>
      <c r="D81" s="3">
        <f>IF(COUNT(C79:C81)&lt;3,"",STDEV.S(C79:C81))</f>
        <v/>
      </c>
      <c r="E81" s="3">
        <f>IF(COUNT(C70:C81)&lt;12,"",STDEV.S(C70:C81))</f>
        <v/>
      </c>
    </row>
    <row r="82">
      <c r="A82" s="6" t="inlineStr">
        <is>
          <t>1996M9</t>
        </is>
      </c>
      <c r="B82" s="3" t="n">
        <v>382.964996337891</v>
      </c>
      <c r="C82" s="3">
        <f>IF(OR(B82="",B81=""),"",LN(B82/B81)*100)</f>
        <v/>
      </c>
      <c r="D82" s="3">
        <f>IF(COUNT(C80:C82)&lt;3,"",STDEV.S(C80:C82))</f>
        <v/>
      </c>
      <c r="E82" s="3">
        <f>IF(COUNT(C71:C82)&lt;12,"",STDEV.S(C71:C82))</f>
        <v/>
      </c>
    </row>
    <row r="83">
      <c r="A83" s="6" t="inlineStr">
        <is>
          <t>1996M10</t>
        </is>
      </c>
      <c r="B83" s="3" t="n">
        <v>381.072723388672</v>
      </c>
      <c r="C83" s="3">
        <f>IF(OR(B83="",B82=""),"",LN(B83/B82)*100)</f>
        <v/>
      </c>
      <c r="D83" s="3">
        <f>IF(COUNT(C81:C83)&lt;3,"",STDEV.S(C81:C83))</f>
        <v/>
      </c>
      <c r="E83" s="3">
        <f>IF(COUNT(C72:C83)&lt;12,"",STDEV.S(C72:C83))</f>
        <v/>
      </c>
    </row>
    <row r="84">
      <c r="A84" s="6" t="inlineStr">
        <is>
          <t>1996M11</t>
        </is>
      </c>
      <c r="B84" s="3" t="n">
        <v>378.516662597656</v>
      </c>
      <c r="C84" s="3">
        <f>IF(OR(B84="",B83=""),"",LN(B84/B83)*100)</f>
        <v/>
      </c>
      <c r="D84" s="3">
        <f>IF(COUNT(C82:C84)&lt;3,"",STDEV.S(C82:C84))</f>
        <v/>
      </c>
      <c r="E84" s="3">
        <f>IF(COUNT(C73:C84)&lt;12,"",STDEV.S(C73:C84))</f>
        <v/>
      </c>
    </row>
    <row r="85">
      <c r="A85" s="6" t="inlineStr">
        <is>
          <t>1996M12</t>
        </is>
      </c>
      <c r="B85" s="3" t="n">
        <v>368.977661132813</v>
      </c>
      <c r="C85" s="3">
        <f>IF(OR(B85="",B84=""),"",LN(B85/B84)*100)</f>
        <v/>
      </c>
      <c r="D85" s="3">
        <f>IF(COUNT(C83:C85)&lt;3,"",STDEV.S(C83:C85))</f>
        <v/>
      </c>
      <c r="E85" s="3">
        <f>IF(COUNT(C74:C85)&lt;12,"",STDEV.S(C74:C85))</f>
        <v/>
      </c>
    </row>
    <row r="86">
      <c r="A86" s="6" t="inlineStr">
        <is>
          <t>1997M1</t>
        </is>
      </c>
      <c r="B86" s="3" t="n">
        <v>355.200012207031</v>
      </c>
      <c r="C86" s="3">
        <f>IF(OR(B86="",B85=""),"",LN(B86/B85)*100)</f>
        <v/>
      </c>
      <c r="D86" s="3">
        <f>IF(COUNT(C84:C86)&lt;3,"",STDEV.S(C84:C86))</f>
        <v/>
      </c>
      <c r="E86" s="3">
        <f>IF(COUNT(C75:C86)&lt;12,"",STDEV.S(C75:C86))</f>
        <v/>
      </c>
    </row>
    <row r="87">
      <c r="A87" s="6" t="inlineStr">
        <is>
          <t>1997M2</t>
        </is>
      </c>
      <c r="B87" s="3" t="n">
        <v>346.713195800781</v>
      </c>
      <c r="C87" s="3">
        <f>IF(OR(B87="",B86=""),"",LN(B87/B86)*100)</f>
        <v/>
      </c>
      <c r="D87" s="3">
        <f>IF(COUNT(C85:C87)&lt;3,"",STDEV.S(C85:C87))</f>
        <v/>
      </c>
      <c r="E87" s="3">
        <f>IF(COUNT(C76:C87)&lt;12,"",STDEV.S(C76:C87))</f>
        <v/>
      </c>
    </row>
    <row r="88">
      <c r="A88" s="6" t="inlineStr">
        <is>
          <t>1997M3</t>
        </is>
      </c>
      <c r="B88" s="3" t="n">
        <v>351.805267333984</v>
      </c>
      <c r="C88" s="3">
        <f>IF(OR(B88="",B87=""),"",LN(B88/B87)*100)</f>
        <v/>
      </c>
      <c r="D88" s="3">
        <f>IF(COUNT(C86:C88)&lt;3,"",STDEV.S(C86:C88))</f>
        <v/>
      </c>
      <c r="E88" s="3">
        <f>IF(COUNT(C77:C88)&lt;12,"",STDEV.S(C77:C88))</f>
        <v/>
      </c>
    </row>
    <row r="89">
      <c r="A89" s="6" t="inlineStr">
        <is>
          <t>1997M4</t>
        </is>
      </c>
      <c r="B89" s="3" t="n">
        <v>344.583343505859</v>
      </c>
      <c r="C89" s="3">
        <f>IF(OR(B89="",B88=""),"",LN(B89/B88)*100)</f>
        <v/>
      </c>
      <c r="D89" s="3">
        <f>IF(COUNT(C87:C89)&lt;3,"",STDEV.S(C87:C89))</f>
        <v/>
      </c>
      <c r="E89" s="3">
        <f>IF(COUNT(C78:C89)&lt;12,"",STDEV.S(C78:C89))</f>
        <v/>
      </c>
    </row>
    <row r="90">
      <c r="A90" s="6" t="inlineStr">
        <is>
          <t>1997M5</t>
        </is>
      </c>
      <c r="B90" s="3" t="n">
        <v>343.702789306641</v>
      </c>
      <c r="C90" s="3">
        <f>IF(OR(B90="",B89=""),"",LN(B90/B89)*100)</f>
        <v/>
      </c>
      <c r="D90" s="3">
        <f>IF(COUNT(C88:C90)&lt;3,"",STDEV.S(C88:C90))</f>
        <v/>
      </c>
      <c r="E90" s="3">
        <f>IF(COUNT(C79:C90)&lt;12,"",STDEV.S(C79:C90))</f>
        <v/>
      </c>
    </row>
    <row r="91">
      <c r="A91" s="6" t="inlineStr">
        <is>
          <t>1997M6</t>
        </is>
      </c>
      <c r="B91" s="3" t="n">
        <v>340.476318359375</v>
      </c>
      <c r="C91" s="3">
        <f>IF(OR(B91="",B90=""),"",LN(B91/B90)*100)</f>
        <v/>
      </c>
      <c r="D91" s="3">
        <f>IF(COUNT(C89:C91)&lt;3,"",STDEV.S(C89:C91))</f>
        <v/>
      </c>
      <c r="E91" s="3">
        <f>IF(COUNT(C80:C91)&lt;12,"",STDEV.S(C80:C91))</f>
        <v/>
      </c>
    </row>
    <row r="92">
      <c r="A92" s="6" t="inlineStr">
        <is>
          <t>1997M7</t>
        </is>
      </c>
      <c r="B92" s="3" t="n">
        <v>324.088623046875</v>
      </c>
      <c r="C92" s="3">
        <f>IF(OR(B92="",B91=""),"",LN(B92/B91)*100)</f>
        <v/>
      </c>
      <c r="D92" s="3">
        <f>IF(COUNT(C90:C92)&lt;3,"",STDEV.S(C90:C92))</f>
        <v/>
      </c>
      <c r="E92" s="3">
        <f>IF(COUNT(C81:C92)&lt;12,"",STDEV.S(C81:C92))</f>
        <v/>
      </c>
    </row>
    <row r="93">
      <c r="A93" s="6" t="inlineStr">
        <is>
          <t>1997M8</t>
        </is>
      </c>
      <c r="B93" s="3" t="n">
        <v>324.049987792969</v>
      </c>
      <c r="C93" s="3">
        <f>IF(OR(B93="",B92=""),"",LN(B93/B92)*100)</f>
        <v/>
      </c>
      <c r="D93" s="3">
        <f>IF(COUNT(C91:C93)&lt;3,"",STDEV.S(C91:C93))</f>
        <v/>
      </c>
      <c r="E93" s="3">
        <f>IF(COUNT(C82:C93)&lt;12,"",STDEV.S(C82:C93))</f>
        <v/>
      </c>
    </row>
    <row r="94">
      <c r="A94" s="6" t="inlineStr">
        <is>
          <t>1997M9</t>
        </is>
      </c>
      <c r="B94" s="3" t="n">
        <v>324.476196289063</v>
      </c>
      <c r="C94" s="3">
        <f>IF(OR(B94="",B93=""),"",LN(B94/B93)*100)</f>
        <v/>
      </c>
      <c r="D94" s="3">
        <f>IF(COUNT(C92:C94)&lt;3,"",STDEV.S(C92:C94))</f>
        <v/>
      </c>
      <c r="E94" s="3">
        <f>IF(COUNT(C83:C94)&lt;12,"",STDEV.S(C83:C94))</f>
        <v/>
      </c>
    </row>
    <row r="95">
      <c r="A95" s="6" t="inlineStr">
        <is>
          <t>1997M10</t>
        </is>
      </c>
      <c r="B95" s="3" t="n">
        <v>323.883331298828</v>
      </c>
      <c r="C95" s="3">
        <f>IF(OR(B95="",B94=""),"",LN(B95/B94)*100)</f>
        <v/>
      </c>
      <c r="D95" s="3">
        <f>IF(COUNT(C93:C95)&lt;3,"",STDEV.S(C93:C95))</f>
        <v/>
      </c>
      <c r="E95" s="3">
        <f>IF(COUNT(C84:C95)&lt;12,"",STDEV.S(C84:C95))</f>
        <v/>
      </c>
    </row>
    <row r="96">
      <c r="A96" s="6" t="inlineStr">
        <is>
          <t>1997M11</t>
        </is>
      </c>
      <c r="B96" s="3" t="n">
        <v>305.346160888672</v>
      </c>
      <c r="C96" s="3">
        <f>IF(OR(B96="",B95=""),"",LN(B96/B95)*100)</f>
        <v/>
      </c>
      <c r="D96" s="3">
        <f>IF(COUNT(C94:C96)&lt;3,"",STDEV.S(C94:C96))</f>
        <v/>
      </c>
      <c r="E96" s="3">
        <f>IF(COUNT(C85:C96)&lt;12,"",STDEV.S(C85:C96))</f>
        <v/>
      </c>
    </row>
    <row r="97">
      <c r="A97" s="6" t="inlineStr">
        <is>
          <t>1997M12</t>
        </is>
      </c>
      <c r="B97" s="3" t="n">
        <v>287.619995117188</v>
      </c>
      <c r="C97" s="3">
        <f>IF(OR(B97="",B96=""),"",LN(B97/B96)*100)</f>
        <v/>
      </c>
      <c r="D97" s="3">
        <f>IF(COUNT(C95:C97)&lt;3,"",STDEV.S(C95:C97))</f>
        <v/>
      </c>
      <c r="E97" s="3">
        <f>IF(COUNT(C86:C97)&lt;12,"",STDEV.S(C86:C97))</f>
        <v/>
      </c>
    </row>
    <row r="98">
      <c r="A98" s="6" t="inlineStr">
        <is>
          <t>1998M1</t>
        </is>
      </c>
      <c r="B98" s="3" t="n">
        <v>289.5</v>
      </c>
      <c r="C98" s="3">
        <f>IF(OR(B98="",B97=""),"",LN(B98/B97)*100)</f>
        <v/>
      </c>
      <c r="D98" s="3">
        <f>IF(COUNT(C96:C98)&lt;3,"",STDEV.S(C96:C98))</f>
        <v/>
      </c>
      <c r="E98" s="3">
        <f>IF(COUNT(C87:C98)&lt;12,"",STDEV.S(C87:C98))</f>
        <v/>
      </c>
    </row>
    <row r="99">
      <c r="A99" s="6" t="inlineStr">
        <is>
          <t>1998M2</t>
        </is>
      </c>
      <c r="B99" s="3" t="n">
        <v>297.455261230469</v>
      </c>
      <c r="C99" s="3">
        <f>IF(OR(B99="",B98=""),"",LN(B99/B98)*100)</f>
        <v/>
      </c>
      <c r="D99" s="3">
        <f>IF(COUNT(C97:C99)&lt;3,"",STDEV.S(C97:C99))</f>
        <v/>
      </c>
      <c r="E99" s="3">
        <f>IF(COUNT(C88:C99)&lt;12,"",STDEV.S(C88:C99))</f>
        <v/>
      </c>
    </row>
    <row r="100">
      <c r="A100" s="6" t="inlineStr">
        <is>
          <t>1998M3</t>
        </is>
      </c>
      <c r="B100" s="3" t="n">
        <v>295.954559326172</v>
      </c>
      <c r="C100" s="3">
        <f>IF(OR(B100="",B99=""),"",LN(B100/B99)*100)</f>
        <v/>
      </c>
      <c r="D100" s="3">
        <f>IF(COUNT(C98:C100)&lt;3,"",STDEV.S(C98:C100))</f>
        <v/>
      </c>
      <c r="E100" s="3">
        <f>IF(COUNT(C89:C100)&lt;12,"",STDEV.S(C89:C100))</f>
        <v/>
      </c>
    </row>
    <row r="101">
      <c r="A101" s="6" t="inlineStr">
        <is>
          <t>1998M4</t>
        </is>
      </c>
      <c r="B101" s="3" t="n">
        <v>308.285003662109</v>
      </c>
      <c r="C101" s="3">
        <f>IF(OR(B101="",B100=""),"",LN(B101/B100)*100)</f>
        <v/>
      </c>
      <c r="D101" s="3">
        <f>IF(COUNT(C99:C101)&lt;3,"",STDEV.S(C99:C101))</f>
        <v/>
      </c>
      <c r="E101" s="3">
        <f>IF(COUNT(C90:C101)&lt;12,"",STDEV.S(C90:C101))</f>
        <v/>
      </c>
    </row>
    <row r="102">
      <c r="A102" s="6" t="inlineStr">
        <is>
          <t>1998M5</t>
        </is>
      </c>
      <c r="B102" s="3" t="n">
        <v>298.978942871094</v>
      </c>
      <c r="C102" s="3">
        <f>IF(OR(B102="",B101=""),"",LN(B102/B101)*100)</f>
        <v/>
      </c>
      <c r="D102" s="3">
        <f>IF(COUNT(C100:C102)&lt;3,"",STDEV.S(C100:C102))</f>
        <v/>
      </c>
      <c r="E102" s="3">
        <f>IF(COUNT(C91:C102)&lt;12,"",STDEV.S(C91:C102))</f>
        <v/>
      </c>
    </row>
    <row r="103">
      <c r="A103" s="6" t="inlineStr">
        <is>
          <t>1998M6</t>
        </is>
      </c>
      <c r="B103" s="3" t="n">
        <v>292.538635253906</v>
      </c>
      <c r="C103" s="3">
        <f>IF(OR(B103="",B102=""),"",LN(B103/B102)*100)</f>
        <v/>
      </c>
      <c r="D103" s="3">
        <f>IF(COUNT(C101:C103)&lt;3,"",STDEV.S(C101:C103))</f>
        <v/>
      </c>
      <c r="E103" s="3">
        <f>IF(COUNT(C92:C103)&lt;12,"",STDEV.S(C92:C103))</f>
        <v/>
      </c>
    </row>
    <row r="104">
      <c r="A104" s="6" t="inlineStr">
        <is>
          <t>1998M7</t>
        </is>
      </c>
      <c r="B104" s="3" t="n">
        <v>292.752258300781</v>
      </c>
      <c r="C104" s="3">
        <f>IF(OR(B104="",B103=""),"",LN(B104/B103)*100)</f>
        <v/>
      </c>
      <c r="D104" s="3">
        <f>IF(COUNT(C102:C104)&lt;3,"",STDEV.S(C102:C104))</f>
        <v/>
      </c>
      <c r="E104" s="3">
        <f>IF(COUNT(C93:C104)&lt;12,"",STDEV.S(C93:C104))</f>
        <v/>
      </c>
    </row>
    <row r="105">
      <c r="A105" s="6" t="inlineStr">
        <is>
          <t>1998M8</t>
        </is>
      </c>
      <c r="B105" s="3" t="n">
        <v>284.109985351563</v>
      </c>
      <c r="C105" s="3">
        <f>IF(OR(B105="",B104=""),"",LN(B105/B104)*100)</f>
        <v/>
      </c>
      <c r="D105" s="3">
        <f>IF(COUNT(C103:C105)&lt;3,"",STDEV.S(C103:C105))</f>
        <v/>
      </c>
      <c r="E105" s="3">
        <f>IF(COUNT(C94:C105)&lt;12,"",STDEV.S(C94:C105))</f>
        <v/>
      </c>
    </row>
    <row r="106">
      <c r="A106" s="6" t="inlineStr">
        <is>
          <t>1998M9</t>
        </is>
      </c>
      <c r="B106" s="3" t="n">
        <v>288.981811523438</v>
      </c>
      <c r="C106" s="3">
        <f>IF(OR(B106="",B105=""),"",LN(B106/B105)*100)</f>
        <v/>
      </c>
      <c r="D106" s="3">
        <f>IF(COUNT(C104:C106)&lt;3,"",STDEV.S(C104:C106))</f>
        <v/>
      </c>
      <c r="E106" s="3">
        <f>IF(COUNT(C95:C106)&lt;12,"",STDEV.S(C95:C106))</f>
        <v/>
      </c>
    </row>
    <row r="107">
      <c r="A107" s="6" t="inlineStr">
        <is>
          <t>1998M10</t>
        </is>
      </c>
      <c r="B107" s="3" t="n">
        <v>295.714996337891</v>
      </c>
      <c r="C107" s="3">
        <f>IF(OR(B107="",B106=""),"",LN(B107/B106)*100)</f>
        <v/>
      </c>
      <c r="D107" s="3">
        <f>IF(COUNT(C105:C107)&lt;3,"",STDEV.S(C105:C107))</f>
        <v/>
      </c>
      <c r="E107" s="3">
        <f>IF(COUNT(C96:C107)&lt;12,"",STDEV.S(C96:C107))</f>
        <v/>
      </c>
    </row>
    <row r="108">
      <c r="A108" s="6" t="inlineStr">
        <is>
          <t>1998M11</t>
        </is>
      </c>
      <c r="B108" s="3" t="n">
        <v>293.716674804688</v>
      </c>
      <c r="C108" s="3">
        <f>IF(OR(B108="",B107=""),"",LN(B108/B107)*100)</f>
        <v/>
      </c>
      <c r="D108" s="3">
        <f>IF(COUNT(C106:C108)&lt;3,"",STDEV.S(C106:C108))</f>
        <v/>
      </c>
      <c r="E108" s="3">
        <f>IF(COUNT(C97:C108)&lt;12,"",STDEV.S(C97:C108))</f>
        <v/>
      </c>
    </row>
    <row r="109">
      <c r="A109" s="6" t="inlineStr">
        <is>
          <t>1998M12</t>
        </is>
      </c>
      <c r="B109" s="3" t="n">
        <v>291.678955078125</v>
      </c>
      <c r="C109" s="3">
        <f>IF(OR(B109="",B108=""),"",LN(B109/B108)*100)</f>
        <v/>
      </c>
      <c r="D109" s="3">
        <f>IF(COUNT(C107:C109)&lt;3,"",STDEV.S(C107:C109))</f>
        <v/>
      </c>
      <c r="E109" s="3">
        <f>IF(COUNT(C98:C109)&lt;12,"",STDEV.S(C98:C109))</f>
        <v/>
      </c>
    </row>
    <row r="110">
      <c r="A110" s="6" t="inlineStr">
        <is>
          <t>1999M1</t>
        </is>
      </c>
      <c r="B110" s="3" t="n">
        <v>286.9368286</v>
      </c>
      <c r="C110" s="3">
        <f>IF(OR(B110="",B109=""),"",LN(B110/B109)*100)</f>
        <v/>
      </c>
      <c r="D110" s="3">
        <f>IF(COUNT(C108:C110)&lt;3,"",STDEV.S(C108:C110))</f>
        <v/>
      </c>
      <c r="E110" s="3">
        <f>IF(COUNT(C99:C110)&lt;12,"",STDEV.S(C99:C110))</f>
        <v/>
      </c>
    </row>
    <row r="111">
      <c r="A111" s="6" t="inlineStr">
        <is>
          <t>1999M2</t>
        </is>
      </c>
      <c r="B111" s="3" t="n">
        <v>287.655</v>
      </c>
      <c r="C111" s="3">
        <f>IF(OR(B111="",B110=""),"",LN(B111/B110)*100)</f>
        <v/>
      </c>
      <c r="D111" s="3">
        <f>IF(COUNT(C109:C111)&lt;3,"",STDEV.S(C109:C111))</f>
        <v/>
      </c>
      <c r="E111" s="3">
        <f>IF(COUNT(C100:C111)&lt;12,"",STDEV.S(C100:C111))</f>
        <v/>
      </c>
    </row>
    <row r="112">
      <c r="A112" s="6" t="inlineStr">
        <is>
          <t>1999M3</t>
        </is>
      </c>
      <c r="B112" s="3" t="n">
        <v>286.2136364</v>
      </c>
      <c r="C112" s="3">
        <f>IF(OR(B112="",B111=""),"",LN(B112/B111)*100)</f>
        <v/>
      </c>
      <c r="D112" s="3">
        <f>IF(COUNT(C110:C112)&lt;3,"",STDEV.S(C110:C112))</f>
        <v/>
      </c>
      <c r="E112" s="3">
        <f>IF(COUNT(C101:C112)&lt;12,"",STDEV.S(C101:C112))</f>
        <v/>
      </c>
    </row>
    <row r="113">
      <c r="A113" s="6" t="inlineStr">
        <is>
          <t>1999M4</t>
        </is>
      </c>
      <c r="B113" s="3" t="n">
        <v>282.6175</v>
      </c>
      <c r="C113" s="3">
        <f>IF(OR(B113="",B112=""),"",LN(B113/B112)*100)</f>
        <v/>
      </c>
      <c r="D113" s="3">
        <f>IF(COUNT(C111:C113)&lt;3,"",STDEV.S(C111:C113))</f>
        <v/>
      </c>
      <c r="E113" s="3">
        <f>IF(COUNT(C102:C113)&lt;12,"",STDEV.S(C102:C113))</f>
        <v/>
      </c>
    </row>
    <row r="114">
      <c r="A114" s="6" t="inlineStr">
        <is>
          <t>1999M5</t>
        </is>
      </c>
      <c r="B114" s="3" t="n">
        <v>276.91</v>
      </c>
      <c r="C114" s="3">
        <f>IF(OR(B114="",B113=""),"",LN(B114/B113)*100)</f>
        <v/>
      </c>
      <c r="D114" s="3">
        <f>IF(COUNT(C112:C114)&lt;3,"",STDEV.S(C112:C114))</f>
        <v/>
      </c>
      <c r="E114" s="3">
        <f>IF(COUNT(C103:C114)&lt;12,"",STDEV.S(C103:C114))</f>
        <v/>
      </c>
    </row>
    <row r="115">
      <c r="A115" s="6" t="inlineStr">
        <is>
          <t>1999M6</t>
        </is>
      </c>
      <c r="B115" s="3" t="n">
        <v>261.3136364</v>
      </c>
      <c r="C115" s="3">
        <f>IF(OR(B115="",B114=""),"",LN(B115/B114)*100)</f>
        <v/>
      </c>
      <c r="D115" s="3">
        <f>IF(COUNT(C113:C115)&lt;3,"",STDEV.S(C113:C115))</f>
        <v/>
      </c>
      <c r="E115" s="3">
        <f>IF(COUNT(C104:C115)&lt;12,"",STDEV.S(C104:C115))</f>
        <v/>
      </c>
    </row>
    <row r="116">
      <c r="A116" s="6" t="inlineStr">
        <is>
          <t>1999M7</t>
        </is>
      </c>
      <c r="B116" s="3" t="n">
        <v>256.6931818</v>
      </c>
      <c r="C116" s="3">
        <f>IF(OR(B116="",B115=""),"",LN(B116/B115)*100)</f>
        <v/>
      </c>
      <c r="D116" s="3">
        <f>IF(COUNT(C114:C116)&lt;3,"",STDEV.S(C114:C116))</f>
        <v/>
      </c>
      <c r="E116" s="3">
        <f>IF(COUNT(C105:C116)&lt;12,"",STDEV.S(C105:C116))</f>
        <v/>
      </c>
    </row>
    <row r="117">
      <c r="A117" s="6" t="inlineStr">
        <is>
          <t>1999M8</t>
        </is>
      </c>
      <c r="B117" s="3" t="n">
        <v>256.9052632</v>
      </c>
      <c r="C117" s="3">
        <f>IF(OR(B117="",B116=""),"",LN(B117/B116)*100)</f>
        <v/>
      </c>
      <c r="D117" s="3">
        <f>IF(COUNT(C115:C117)&lt;3,"",STDEV.S(C115:C117))</f>
        <v/>
      </c>
      <c r="E117" s="3">
        <f>IF(COUNT(C106:C117)&lt;12,"",STDEV.S(C106:C117))</f>
        <v/>
      </c>
    </row>
    <row r="118">
      <c r="A118" s="6" t="inlineStr">
        <is>
          <t>1999M9</t>
        </is>
      </c>
      <c r="B118" s="3" t="n">
        <v>264.3108696</v>
      </c>
      <c r="C118" s="3">
        <f>IF(OR(B118="",B117=""),"",LN(B118/B117)*100)</f>
        <v/>
      </c>
      <c r="D118" s="3">
        <f>IF(COUNT(C116:C118)&lt;3,"",STDEV.S(C116:C118))</f>
        <v/>
      </c>
      <c r="E118" s="3">
        <f>IF(COUNT(C107:C118)&lt;12,"",STDEV.S(C107:C118))</f>
        <v/>
      </c>
    </row>
    <row r="119">
      <c r="A119" s="6" t="inlineStr">
        <is>
          <t>1999M10</t>
        </is>
      </c>
      <c r="B119" s="3" t="n">
        <v>310.7815789</v>
      </c>
      <c r="C119" s="3">
        <f>IF(OR(B119="",B118=""),"",LN(B119/B118)*100)</f>
        <v/>
      </c>
      <c r="D119" s="3">
        <f>IF(COUNT(C117:C119)&lt;3,"",STDEV.S(C117:C119))</f>
        <v/>
      </c>
      <c r="E119" s="3">
        <f>IF(COUNT(C108:C119)&lt;12,"",STDEV.S(C108:C119))</f>
        <v/>
      </c>
    </row>
    <row r="120">
      <c r="A120" s="6" t="inlineStr">
        <is>
          <t>1999M11</t>
        </is>
      </c>
      <c r="B120" s="3" t="n">
        <v>293.1840909</v>
      </c>
      <c r="C120" s="3">
        <f>IF(OR(B120="",B119=""),"",LN(B120/B119)*100)</f>
        <v/>
      </c>
      <c r="D120" s="3">
        <f>IF(COUNT(C118:C120)&lt;3,"",STDEV.S(C118:C120))</f>
        <v/>
      </c>
      <c r="E120" s="3">
        <f>IF(COUNT(C109:C120)&lt;12,"",STDEV.S(C109:C120))</f>
        <v/>
      </c>
    </row>
    <row r="121">
      <c r="A121" s="6" t="inlineStr">
        <is>
          <t>1999M12</t>
        </is>
      </c>
      <c r="B121" s="3" t="n">
        <v>282.9526316</v>
      </c>
      <c r="C121" s="3">
        <f>IF(OR(B121="",B120=""),"",LN(B121/B120)*100)</f>
        <v/>
      </c>
      <c r="D121" s="3">
        <f>IF(COUNT(C119:C121)&lt;3,"",STDEV.S(C119:C121))</f>
        <v/>
      </c>
      <c r="E121" s="3">
        <f>IF(COUNT(C110:C121)&lt;12,"",STDEV.S(C110:C121))</f>
        <v/>
      </c>
    </row>
    <row r="122">
      <c r="A122" s="6" t="inlineStr">
        <is>
          <t>2000M1</t>
        </is>
      </c>
      <c r="B122" s="3" t="n">
        <v>284.065625</v>
      </c>
      <c r="C122" s="3">
        <f>IF(OR(B122="",B121=""),"",LN(B122/B121)*100)</f>
        <v/>
      </c>
      <c r="D122" s="3">
        <f>IF(COUNT(C120:C122)&lt;3,"",STDEV.S(C120:C122))</f>
        <v/>
      </c>
      <c r="E122" s="3">
        <f>IF(COUNT(C111:C122)&lt;12,"",STDEV.S(C111:C122))</f>
        <v/>
      </c>
    </row>
    <row r="123">
      <c r="A123" s="6" t="inlineStr">
        <is>
          <t>2000M2</t>
        </is>
      </c>
      <c r="B123" s="3" t="n">
        <v>299.715</v>
      </c>
      <c r="C123" s="3">
        <f>IF(OR(B123="",B122=""),"",LN(B123/B122)*100)</f>
        <v/>
      </c>
      <c r="D123" s="3">
        <f>IF(COUNT(C121:C123)&lt;3,"",STDEV.S(C121:C123))</f>
        <v/>
      </c>
      <c r="E123" s="3">
        <f>IF(COUNT(C112:C123)&lt;12,"",STDEV.S(C112:C123))</f>
        <v/>
      </c>
    </row>
    <row r="124">
      <c r="A124" s="6" t="inlineStr">
        <is>
          <t>2000M3</t>
        </is>
      </c>
      <c r="B124" s="3" t="n">
        <v>286.924</v>
      </c>
      <c r="C124" s="3">
        <f>IF(OR(B124="",B123=""),"",LN(B124/B123)*100)</f>
        <v/>
      </c>
      <c r="D124" s="3">
        <f>IF(COUNT(C122:C124)&lt;3,"",STDEV.S(C122:C124))</f>
        <v/>
      </c>
      <c r="E124" s="3">
        <f>IF(COUNT(C113:C124)&lt;12,"",STDEV.S(C113:C124))</f>
        <v/>
      </c>
    </row>
    <row r="125">
      <c r="A125" s="6" t="inlineStr">
        <is>
          <t>2000M4</t>
        </is>
      </c>
      <c r="B125" s="3" t="n">
        <v>279.6526316</v>
      </c>
      <c r="C125" s="3">
        <f>IF(OR(B125="",B124=""),"",LN(B125/B124)*100)</f>
        <v/>
      </c>
      <c r="D125" s="3">
        <f>IF(COUNT(C123:C125)&lt;3,"",STDEV.S(C123:C125))</f>
        <v/>
      </c>
      <c r="E125" s="3">
        <f>IF(COUNT(C114:C125)&lt;12,"",STDEV.S(C114:C125))</f>
        <v/>
      </c>
    </row>
    <row r="126">
      <c r="A126" s="6" t="inlineStr">
        <is>
          <t>2000M5</t>
        </is>
      </c>
      <c r="B126" s="3" t="n">
        <v>276.7409091</v>
      </c>
      <c r="C126" s="3">
        <f>IF(OR(B126="",B125=""),"",LN(B126/B125)*100)</f>
        <v/>
      </c>
      <c r="D126" s="3">
        <f>IF(COUNT(C124:C126)&lt;3,"",STDEV.S(C124:C126))</f>
        <v/>
      </c>
      <c r="E126" s="3">
        <f>IF(COUNT(C115:C126)&lt;12,"",STDEV.S(C115:C126))</f>
        <v/>
      </c>
    </row>
    <row r="127">
      <c r="A127" s="6" t="inlineStr">
        <is>
          <t>2000M6</t>
        </is>
      </c>
      <c r="B127" s="3" t="n">
        <v>285.7318182</v>
      </c>
      <c r="C127" s="3">
        <f>IF(OR(B127="",B126=""),"",LN(B127/B126)*100)</f>
        <v/>
      </c>
      <c r="D127" s="3">
        <f>IF(COUNT(C125:C127)&lt;3,"",STDEV.S(C125:C127))</f>
        <v/>
      </c>
      <c r="E127" s="3">
        <f>IF(COUNT(C116:C127)&lt;12,"",STDEV.S(C116:C127))</f>
        <v/>
      </c>
    </row>
    <row r="128">
      <c r="A128" s="6" t="inlineStr">
        <is>
          <t>2000M7</t>
        </is>
      </c>
      <c r="B128" s="3" t="n">
        <v>281.5857143</v>
      </c>
      <c r="C128" s="3">
        <f>IF(OR(B128="",B127=""),"",LN(B128/B127)*100)</f>
        <v/>
      </c>
      <c r="D128" s="3">
        <f>IF(COUNT(C126:C128)&lt;3,"",STDEV.S(C126:C128))</f>
        <v/>
      </c>
      <c r="E128" s="3">
        <f>IF(COUNT(C117:C128)&lt;12,"",STDEV.S(C117:C128))</f>
        <v/>
      </c>
    </row>
    <row r="129">
      <c r="A129" s="6" t="inlineStr">
        <is>
          <t>2000M8</t>
        </is>
      </c>
      <c r="B129" s="3" t="n">
        <v>274.425</v>
      </c>
      <c r="C129" s="3">
        <f>IF(OR(B129="",B128=""),"",LN(B129/B128)*100)</f>
        <v/>
      </c>
      <c r="D129" s="3">
        <f>IF(COUNT(C127:C129)&lt;3,"",STDEV.S(C127:C129))</f>
        <v/>
      </c>
      <c r="E129" s="3">
        <f>IF(COUNT(C118:C129)&lt;12,"",STDEV.S(C118:C129))</f>
        <v/>
      </c>
    </row>
    <row r="130">
      <c r="A130" s="6" t="inlineStr">
        <is>
          <t>2000M9</t>
        </is>
      </c>
      <c r="B130" s="3" t="n">
        <v>273.53</v>
      </c>
      <c r="C130" s="3">
        <f>IF(OR(B130="",B129=""),"",LN(B130/B129)*100)</f>
        <v/>
      </c>
      <c r="D130" s="3">
        <f>IF(COUNT(C128:C130)&lt;3,"",STDEV.S(C128:C130))</f>
        <v/>
      </c>
      <c r="E130" s="3">
        <f>IF(COUNT(C119:C130)&lt;12,"",STDEV.S(C119:C130))</f>
        <v/>
      </c>
    </row>
    <row r="131">
      <c r="A131" s="6" t="inlineStr">
        <is>
          <t>2000M10</t>
        </is>
      </c>
      <c r="B131" s="3" t="n">
        <v>269.9285714</v>
      </c>
      <c r="C131" s="3">
        <f>IF(OR(B131="",B130=""),"",LN(B131/B130)*100)</f>
        <v/>
      </c>
      <c r="D131" s="3">
        <f>IF(COUNT(C129:C131)&lt;3,"",STDEV.S(C129:C131))</f>
        <v/>
      </c>
      <c r="E131" s="3">
        <f>IF(COUNT(C120:C131)&lt;12,"",STDEV.S(C120:C131))</f>
        <v/>
      </c>
    </row>
    <row r="132">
      <c r="A132" s="6" t="inlineStr">
        <is>
          <t>2000M11</t>
        </is>
      </c>
      <c r="B132" s="3" t="n">
        <v>266.2973684</v>
      </c>
      <c r="C132" s="3">
        <f>IF(OR(B132="",B131=""),"",LN(B132/B131)*100)</f>
        <v/>
      </c>
      <c r="D132" s="3">
        <f>IF(COUNT(C130:C132)&lt;3,"",STDEV.S(C130:C132))</f>
        <v/>
      </c>
      <c r="E132" s="3">
        <f>IF(COUNT(C121:C132)&lt;12,"",STDEV.S(C121:C132))</f>
        <v/>
      </c>
    </row>
    <row r="133">
      <c r="A133" s="6" t="inlineStr">
        <is>
          <t>2000M12</t>
        </is>
      </c>
      <c r="B133" s="3" t="n">
        <v>271.45</v>
      </c>
      <c r="C133" s="3">
        <f>IF(OR(B133="",B132=""),"",LN(B133/B132)*100)</f>
        <v/>
      </c>
      <c r="D133" s="3">
        <f>IF(COUNT(C131:C133)&lt;3,"",STDEV.S(C131:C133))</f>
        <v/>
      </c>
      <c r="E133" s="3">
        <f>IF(COUNT(C122:C133)&lt;12,"",STDEV.S(C122:C133))</f>
        <v/>
      </c>
    </row>
    <row r="134">
      <c r="A134" s="6" t="inlineStr">
        <is>
          <t>2001M1</t>
        </is>
      </c>
      <c r="B134" s="3" t="n">
        <v>265.4863636</v>
      </c>
      <c r="C134" s="3">
        <f>IF(OR(B134="",B133=""),"",LN(B134/B133)*100)</f>
        <v/>
      </c>
      <c r="D134" s="3">
        <f>IF(COUNT(C132:C134)&lt;3,"",STDEV.S(C132:C134))</f>
        <v/>
      </c>
      <c r="E134" s="3">
        <f>IF(COUNT(C123:C134)&lt;12,"",STDEV.S(C123:C134))</f>
        <v/>
      </c>
    </row>
    <row r="135">
      <c r="A135" s="6" t="inlineStr">
        <is>
          <t>2001M2</t>
        </is>
      </c>
      <c r="B135" s="3" t="n">
        <v>262.0894737</v>
      </c>
      <c r="C135" s="3">
        <f>IF(OR(B135="",B134=""),"",LN(B135/B134)*100)</f>
        <v/>
      </c>
      <c r="D135" s="3">
        <f>IF(COUNT(C133:C135)&lt;3,"",STDEV.S(C133:C135))</f>
        <v/>
      </c>
      <c r="E135" s="3">
        <f>IF(COUNT(C124:C135)&lt;12,"",STDEV.S(C124:C135))</f>
        <v/>
      </c>
    </row>
    <row r="136">
      <c r="A136" s="6" t="inlineStr">
        <is>
          <t>2001M3</t>
        </is>
      </c>
      <c r="B136" s="3" t="n">
        <v>263.0272727</v>
      </c>
      <c r="C136" s="3">
        <f>IF(OR(B136="",B135=""),"",LN(B136/B135)*100)</f>
        <v/>
      </c>
      <c r="D136" s="3">
        <f>IF(COUNT(C134:C136)&lt;3,"",STDEV.S(C134:C136))</f>
        <v/>
      </c>
      <c r="E136" s="3">
        <f>IF(COUNT(C125:C136)&lt;12,"",STDEV.S(C125:C136))</f>
        <v/>
      </c>
    </row>
    <row r="137">
      <c r="A137" s="6" t="inlineStr">
        <is>
          <t>2001M4</t>
        </is>
      </c>
      <c r="B137" s="3" t="n">
        <v>260.3305556</v>
      </c>
      <c r="C137" s="3">
        <f>IF(OR(B137="",B136=""),"",LN(B137/B136)*100)</f>
        <v/>
      </c>
      <c r="D137" s="3">
        <f>IF(COUNT(C135:C137)&lt;3,"",STDEV.S(C135:C137))</f>
        <v/>
      </c>
      <c r="E137" s="3">
        <f>IF(COUNT(C126:C137)&lt;12,"",STDEV.S(C126:C137))</f>
        <v/>
      </c>
    </row>
    <row r="138">
      <c r="A138" s="6" t="inlineStr">
        <is>
          <t>2001M5</t>
        </is>
      </c>
      <c r="B138" s="3" t="n">
        <v>272.0931818</v>
      </c>
      <c r="C138" s="3">
        <f>IF(OR(B138="",B137=""),"",LN(B138/B137)*100)</f>
        <v/>
      </c>
      <c r="D138" s="3">
        <f>IF(COUNT(C136:C138)&lt;3,"",STDEV.S(C136:C138))</f>
        <v/>
      </c>
      <c r="E138" s="3">
        <f>IF(COUNT(C127:C138)&lt;12,"",STDEV.S(C127:C138))</f>
        <v/>
      </c>
    </row>
    <row r="139">
      <c r="A139" s="6" t="inlineStr">
        <is>
          <t>2001M6</t>
        </is>
      </c>
      <c r="B139" s="3" t="n">
        <v>270.202381</v>
      </c>
      <c r="C139" s="3">
        <f>IF(OR(B139="",B138=""),"",LN(B139/B138)*100)</f>
        <v/>
      </c>
      <c r="D139" s="3">
        <f>IF(COUNT(C137:C139)&lt;3,"",STDEV.S(C137:C139))</f>
        <v/>
      </c>
      <c r="E139" s="3">
        <f>IF(COUNT(C128:C139)&lt;12,"",STDEV.S(C128:C139))</f>
        <v/>
      </c>
    </row>
    <row r="140">
      <c r="A140" s="6" t="inlineStr">
        <is>
          <t>2001M7</t>
        </is>
      </c>
      <c r="B140" s="3" t="n">
        <v>267.5261905</v>
      </c>
      <c r="C140" s="3">
        <f>IF(OR(B140="",B139=""),"",LN(B140/B139)*100)</f>
        <v/>
      </c>
      <c r="D140" s="3">
        <f>IF(COUNT(C138:C140)&lt;3,"",STDEV.S(C138:C140))</f>
        <v/>
      </c>
      <c r="E140" s="3">
        <f>IF(COUNT(C129:C140)&lt;12,"",STDEV.S(C129:C140))</f>
        <v/>
      </c>
    </row>
    <row r="141">
      <c r="A141" s="6" t="inlineStr">
        <is>
          <t>2001M8</t>
        </is>
      </c>
      <c r="B141" s="3" t="n">
        <v>272.0921053</v>
      </c>
      <c r="C141" s="3">
        <f>IF(OR(B141="",B140=""),"",LN(B141/B140)*100)</f>
        <v/>
      </c>
      <c r="D141" s="3">
        <f>IF(COUNT(C139:C141)&lt;3,"",STDEV.S(C139:C141))</f>
        <v/>
      </c>
      <c r="E141" s="3">
        <f>IF(COUNT(C130:C141)&lt;12,"",STDEV.S(C130:C141))</f>
        <v/>
      </c>
    </row>
    <row r="142">
      <c r="A142" s="6" t="inlineStr">
        <is>
          <t>2001M9</t>
        </is>
      </c>
      <c r="B142" s="3" t="n">
        <v>284.4723529</v>
      </c>
      <c r="C142" s="3">
        <f>IF(OR(B142="",B141=""),"",LN(B142/B141)*100)</f>
        <v/>
      </c>
      <c r="D142" s="3">
        <f>IF(COUNT(C140:C142)&lt;3,"",STDEV.S(C140:C142))</f>
        <v/>
      </c>
      <c r="E142" s="3">
        <f>IF(COUNT(C131:C142)&lt;12,"",STDEV.S(C131:C142))</f>
        <v/>
      </c>
    </row>
    <row r="143">
      <c r="A143" s="6" t="inlineStr">
        <is>
          <t>2001M10</t>
        </is>
      </c>
      <c r="B143" s="3" t="n">
        <v>282.2671429</v>
      </c>
      <c r="C143" s="3">
        <f>IF(OR(B143="",B142=""),"",LN(B143/B142)*100)</f>
        <v/>
      </c>
      <c r="D143" s="3">
        <f>IF(COUNT(C141:C143)&lt;3,"",STDEV.S(C141:C143))</f>
        <v/>
      </c>
      <c r="E143" s="3">
        <f>IF(COUNT(C132:C143)&lt;12,"",STDEV.S(C132:C143))</f>
        <v/>
      </c>
    </row>
    <row r="144">
      <c r="A144" s="6" t="inlineStr">
        <is>
          <t>2001M11</t>
        </is>
      </c>
      <c r="B144" s="3" t="n">
        <v>277.184375</v>
      </c>
      <c r="C144" s="3">
        <f>IF(OR(B144="",B143=""),"",LN(B144/B143)*100)</f>
        <v/>
      </c>
      <c r="D144" s="3">
        <f>IF(COUNT(C142:C144)&lt;3,"",STDEV.S(C142:C144))</f>
        <v/>
      </c>
      <c r="E144" s="3">
        <f>IF(COUNT(C133:C144)&lt;12,"",STDEV.S(C133:C144))</f>
        <v/>
      </c>
    </row>
    <row r="145">
      <c r="A145" s="6" t="inlineStr">
        <is>
          <t>2001M12</t>
        </is>
      </c>
      <c r="B145" s="3" t="n">
        <v>275.8357143</v>
      </c>
      <c r="C145" s="3">
        <f>IF(OR(B145="",B144=""),"",LN(B145/B144)*100)</f>
        <v/>
      </c>
      <c r="D145" s="3">
        <f>IF(COUNT(C143:C145)&lt;3,"",STDEV.S(C143:C145))</f>
        <v/>
      </c>
      <c r="E145" s="3">
        <f>IF(COUNT(C134:C145)&lt;12,"",STDEV.S(C134:C145))</f>
        <v/>
      </c>
    </row>
    <row r="146">
      <c r="A146" s="6" t="inlineStr">
        <is>
          <t>2002M1</t>
        </is>
      </c>
      <c r="B146" s="3" t="n">
        <v>281</v>
      </c>
      <c r="C146" s="3">
        <f>IF(OR(B146="",B145=""),"",LN(B146/B145)*100)</f>
        <v/>
      </c>
      <c r="D146" s="3">
        <f>IF(COUNT(C144:C146)&lt;3,"",STDEV.S(C144:C146))</f>
        <v/>
      </c>
      <c r="E146" s="3">
        <f>IF(COUNT(C135:C146)&lt;12,"",STDEV.S(C135:C146))</f>
        <v/>
      </c>
    </row>
    <row r="147">
      <c r="A147" s="6" t="inlineStr">
        <is>
          <t>2002M2</t>
        </is>
      </c>
      <c r="B147" s="3" t="n">
        <v>295.2875</v>
      </c>
      <c r="C147" s="3">
        <f>IF(OR(B147="",B146=""),"",LN(B147/B146)*100)</f>
        <v/>
      </c>
      <c r="D147" s="3">
        <f>IF(COUNT(C145:C147)&lt;3,"",STDEV.S(C145:C147))</f>
        <v/>
      </c>
      <c r="E147" s="3">
        <f>IF(COUNT(C136:C147)&lt;12,"",STDEV.S(C136:C147))</f>
        <v/>
      </c>
    </row>
    <row r="148">
      <c r="A148" s="6" t="inlineStr">
        <is>
          <t>2002M3</t>
        </is>
      </c>
      <c r="B148" s="3" t="n">
        <v>294.0475</v>
      </c>
      <c r="C148" s="3">
        <f>IF(OR(B148="",B147=""),"",LN(B148/B147)*100)</f>
        <v/>
      </c>
      <c r="D148" s="3">
        <f>IF(COUNT(C146:C148)&lt;3,"",STDEV.S(C146:C148))</f>
        <v/>
      </c>
      <c r="E148" s="3">
        <f>IF(COUNT(C137:C148)&lt;12,"",STDEV.S(C137:C148))</f>
        <v/>
      </c>
    </row>
    <row r="149">
      <c r="A149" s="6" t="inlineStr">
        <is>
          <t>2002M4</t>
        </is>
      </c>
      <c r="B149" s="3" t="n">
        <v>302.6833333</v>
      </c>
      <c r="C149" s="3">
        <f>IF(OR(B149="",B148=""),"",LN(B149/B148)*100)</f>
        <v/>
      </c>
      <c r="D149" s="3">
        <f>IF(COUNT(C147:C149)&lt;3,"",STDEV.S(C147:C149))</f>
        <v/>
      </c>
      <c r="E149" s="3">
        <f>IF(COUNT(C138:C149)&lt;12,"",STDEV.S(C138:C149))</f>
        <v/>
      </c>
    </row>
    <row r="150">
      <c r="A150" s="6" t="inlineStr">
        <is>
          <t>2002M5</t>
        </is>
      </c>
      <c r="B150" s="3" t="n">
        <v>314.4931818</v>
      </c>
      <c r="C150" s="3">
        <f>IF(OR(B150="",B149=""),"",LN(B150/B149)*100)</f>
        <v/>
      </c>
      <c r="D150" s="3">
        <f>IF(COUNT(C148:C150)&lt;3,"",STDEV.S(C148:C150))</f>
        <v/>
      </c>
      <c r="E150" s="3">
        <f>IF(COUNT(C139:C150)&lt;12,"",STDEV.S(C139:C150))</f>
        <v/>
      </c>
    </row>
    <row r="151">
      <c r="A151" s="6" t="inlineStr">
        <is>
          <t>2002M6</t>
        </is>
      </c>
      <c r="B151" s="3" t="n">
        <v>321.1777778</v>
      </c>
      <c r="C151" s="3">
        <f>IF(OR(B151="",B150=""),"",LN(B151/B150)*100)</f>
        <v/>
      </c>
      <c r="D151" s="3">
        <f>IF(COUNT(C149:C151)&lt;3,"",STDEV.S(C149:C151))</f>
        <v/>
      </c>
      <c r="E151" s="3">
        <f>IF(COUNT(C140:C151)&lt;12,"",STDEV.S(C140:C151))</f>
        <v/>
      </c>
    </row>
    <row r="152">
      <c r="A152" s="6" t="inlineStr">
        <is>
          <t>2002M7</t>
        </is>
      </c>
      <c r="B152" s="3" t="n">
        <v>313.2913043</v>
      </c>
      <c r="C152" s="3">
        <f>IF(OR(B152="",B151=""),"",LN(B152/B151)*100)</f>
        <v/>
      </c>
      <c r="D152" s="3">
        <f>IF(COUNT(C150:C152)&lt;3,"",STDEV.S(C150:C152))</f>
        <v/>
      </c>
      <c r="E152" s="3">
        <f>IF(COUNT(C141:C152)&lt;12,"",STDEV.S(C141:C152))</f>
        <v/>
      </c>
    </row>
    <row r="153">
      <c r="A153" s="6" t="inlineStr">
        <is>
          <t>2002M8</t>
        </is>
      </c>
      <c r="B153" s="3" t="n">
        <v>310.2809524</v>
      </c>
      <c r="C153" s="3">
        <f>IF(OR(B153="",B152=""),"",LN(B153/B152)*100)</f>
        <v/>
      </c>
      <c r="D153" s="3">
        <f>IF(COUNT(C151:C153)&lt;3,"",STDEV.S(C151:C153))</f>
        <v/>
      </c>
      <c r="E153" s="3">
        <f>IF(COUNT(C142:C153)&lt;12,"",STDEV.S(C142:C153))</f>
        <v/>
      </c>
    </row>
    <row r="154">
      <c r="A154" s="6" t="inlineStr">
        <is>
          <t>2002M9</t>
        </is>
      </c>
      <c r="B154" s="3" t="n">
        <v>319.1357143</v>
      </c>
      <c r="C154" s="3">
        <f>IF(OR(B154="",B153=""),"",LN(B154/B153)*100)</f>
        <v/>
      </c>
      <c r="D154" s="3">
        <f>IF(COUNT(C152:C154)&lt;3,"",STDEV.S(C152:C154))</f>
        <v/>
      </c>
      <c r="E154" s="3">
        <f>IF(COUNT(C143:C154)&lt;12,"",STDEV.S(C143:C154))</f>
        <v/>
      </c>
    </row>
    <row r="155">
      <c r="A155" s="6" t="inlineStr">
        <is>
          <t>2002M10</t>
        </is>
      </c>
      <c r="B155" s="3" t="n">
        <v>316.5565217</v>
      </c>
      <c r="C155" s="3">
        <f>IF(OR(B155="",B154=""),"",LN(B155/B154)*100)</f>
        <v/>
      </c>
      <c r="D155" s="3">
        <f>IF(COUNT(C153:C155)&lt;3,"",STDEV.S(C153:C155))</f>
        <v/>
      </c>
      <c r="E155" s="3">
        <f>IF(COUNT(C144:C155)&lt;12,"",STDEV.S(C144:C155))</f>
        <v/>
      </c>
    </row>
    <row r="156">
      <c r="A156" s="6" t="inlineStr">
        <is>
          <t>2002M11</t>
        </is>
      </c>
      <c r="B156" s="3" t="n">
        <v>320.4357143</v>
      </c>
      <c r="C156" s="3">
        <f>IF(OR(B156="",B155=""),"",LN(B156/B155)*100)</f>
        <v/>
      </c>
      <c r="D156" s="3">
        <f>IF(COUNT(C154:C156)&lt;3,"",STDEV.S(C154:C156))</f>
        <v/>
      </c>
      <c r="E156" s="3">
        <f>IF(COUNT(C145:C156)&lt;12,"",STDEV.S(C145:C156))</f>
        <v/>
      </c>
    </row>
    <row r="157">
      <c r="A157" s="6" t="inlineStr">
        <is>
          <t>2002M12</t>
        </is>
      </c>
      <c r="B157" s="3" t="n">
        <v>332.0361111</v>
      </c>
      <c r="C157" s="3">
        <f>IF(OR(B157="",B156=""),"",LN(B157/B156)*100)</f>
        <v/>
      </c>
      <c r="D157" s="3">
        <f>IF(COUNT(C155:C157)&lt;3,"",STDEV.S(C155:C157))</f>
        <v/>
      </c>
      <c r="E157" s="3">
        <f>IF(COUNT(C146:C157)&lt;12,"",STDEV.S(C146:C157))</f>
        <v/>
      </c>
    </row>
    <row r="158">
      <c r="A158" s="6" t="inlineStr">
        <is>
          <t>2003M1</t>
        </is>
      </c>
      <c r="B158" s="3" t="n">
        <v>356.85909090909</v>
      </c>
      <c r="C158" s="3">
        <f>IF(OR(B158="",B157=""),"",LN(B158/B157)*100)</f>
        <v/>
      </c>
      <c r="D158" s="3">
        <f>IF(COUNT(C156:C158)&lt;3,"",STDEV.S(C156:C158))</f>
        <v/>
      </c>
      <c r="E158" s="3">
        <f>IF(COUNT(C147:C158)&lt;12,"",STDEV.S(C147:C158))</f>
        <v/>
      </c>
    </row>
    <row r="159">
      <c r="A159" s="6" t="inlineStr">
        <is>
          <t>2003M2</t>
        </is>
      </c>
      <c r="B159" s="3" t="n">
        <v>358.97</v>
      </c>
      <c r="C159" s="3">
        <f>IF(OR(B159="",B158=""),"",LN(B159/B158)*100)</f>
        <v/>
      </c>
      <c r="D159" s="3">
        <f>IF(COUNT(C157:C159)&lt;3,"",STDEV.S(C157:C159))</f>
        <v/>
      </c>
      <c r="E159" s="3">
        <f>IF(COUNT(C148:C159)&lt;12,"",STDEV.S(C148:C159))</f>
        <v/>
      </c>
    </row>
    <row r="160">
      <c r="A160" s="6" t="inlineStr">
        <is>
          <t>2003M3</t>
        </is>
      </c>
      <c r="B160" s="3" t="n">
        <v>340.55</v>
      </c>
      <c r="C160" s="3">
        <f>IF(OR(B160="",B159=""),"",LN(B160/B159)*100)</f>
        <v/>
      </c>
      <c r="D160" s="3">
        <f>IF(COUNT(C158:C160)&lt;3,"",STDEV.S(C158:C160))</f>
        <v/>
      </c>
      <c r="E160" s="3">
        <f>IF(COUNT(C149:C160)&lt;12,"",STDEV.S(C149:C160))</f>
        <v/>
      </c>
    </row>
    <row r="161">
      <c r="A161" s="6" t="inlineStr">
        <is>
          <t>2003M4</t>
        </is>
      </c>
      <c r="B161" s="3" t="n">
        <v>328.18</v>
      </c>
      <c r="C161" s="3">
        <f>IF(OR(B161="",B160=""),"",LN(B161/B160)*100)</f>
        <v/>
      </c>
      <c r="D161" s="3">
        <f>IF(COUNT(C159:C161)&lt;3,"",STDEV.S(C159:C161))</f>
        <v/>
      </c>
      <c r="E161" s="3">
        <f>IF(COUNT(C150:C161)&lt;12,"",STDEV.S(C150:C161))</f>
        <v/>
      </c>
    </row>
    <row r="162">
      <c r="A162" s="6" t="inlineStr">
        <is>
          <t>2003M5</t>
        </is>
      </c>
      <c r="B162" s="3" t="n">
        <v>355.6825</v>
      </c>
      <c r="C162" s="3">
        <f>IF(OR(B162="",B161=""),"",LN(B162/B161)*100)</f>
        <v/>
      </c>
      <c r="D162" s="3">
        <f>IF(COUNT(C160:C162)&lt;3,"",STDEV.S(C160:C162))</f>
        <v/>
      </c>
      <c r="E162" s="3">
        <f>IF(COUNT(C151:C162)&lt;12,"",STDEV.S(C151:C162))</f>
        <v/>
      </c>
    </row>
    <row r="163">
      <c r="A163" s="6" t="inlineStr">
        <is>
          <t>2003M6</t>
        </is>
      </c>
      <c r="B163" s="3" t="n">
        <v>356.352380952381</v>
      </c>
      <c r="C163" s="3">
        <f>IF(OR(B163="",B162=""),"",LN(B163/B162)*100)</f>
        <v/>
      </c>
      <c r="D163" s="3">
        <f>IF(COUNT(C161:C163)&lt;3,"",STDEV.S(C161:C163))</f>
        <v/>
      </c>
      <c r="E163" s="3">
        <f>IF(COUNT(C152:C163)&lt;12,"",STDEV.S(C152:C163))</f>
        <v/>
      </c>
    </row>
    <row r="164">
      <c r="A164" s="6" t="inlineStr">
        <is>
          <t>2003M7</t>
        </is>
      </c>
      <c r="B164" s="3" t="n">
        <v>351.019565217391</v>
      </c>
      <c r="C164" s="3">
        <f>IF(OR(B164="",B163=""),"",LN(B164/B163)*100)</f>
        <v/>
      </c>
      <c r="D164" s="3">
        <f>IF(COUNT(C162:C164)&lt;3,"",STDEV.S(C162:C164))</f>
        <v/>
      </c>
      <c r="E164" s="3">
        <f>IF(COUNT(C153:C164)&lt;12,"",STDEV.S(C153:C164))</f>
        <v/>
      </c>
    </row>
    <row r="165">
      <c r="A165" s="6" t="inlineStr">
        <is>
          <t>2003M8</t>
        </is>
      </c>
      <c r="B165" s="3" t="n">
        <v>359.7675</v>
      </c>
      <c r="C165" s="3">
        <f>IF(OR(B165="",B164=""),"",LN(B165/B164)*100)</f>
        <v/>
      </c>
      <c r="D165" s="3">
        <f>IF(COUNT(C163:C165)&lt;3,"",STDEV.S(C163:C165))</f>
        <v/>
      </c>
      <c r="E165" s="3">
        <f>IF(COUNT(C154:C165)&lt;12,"",STDEV.S(C154:C165))</f>
        <v/>
      </c>
    </row>
    <row r="166">
      <c r="A166" s="6" t="inlineStr">
        <is>
          <t>2003M9</t>
        </is>
      </c>
      <c r="B166" s="3" t="n">
        <v>378.945454545454</v>
      </c>
      <c r="C166" s="3">
        <f>IF(OR(B166="",B165=""),"",LN(B166/B165)*100)</f>
        <v/>
      </c>
      <c r="D166" s="3">
        <f>IF(COUNT(C164:C166)&lt;3,"",STDEV.S(C164:C166))</f>
        <v/>
      </c>
      <c r="E166" s="3">
        <f>IF(COUNT(C155:C166)&lt;12,"",STDEV.S(C155:C166))</f>
        <v/>
      </c>
    </row>
    <row r="167">
      <c r="A167" s="6" t="inlineStr">
        <is>
          <t>2003M10</t>
        </is>
      </c>
      <c r="B167" s="3" t="n">
        <v>378.919565217391</v>
      </c>
      <c r="C167" s="3">
        <f>IF(OR(B167="",B166=""),"",LN(B167/B166)*100)</f>
        <v/>
      </c>
      <c r="D167" s="3">
        <f>IF(COUNT(C165:C167)&lt;3,"",STDEV.S(C165:C167))</f>
        <v/>
      </c>
      <c r="E167" s="3">
        <f>IF(COUNT(C156:C167)&lt;12,"",STDEV.S(C156:C167))</f>
        <v/>
      </c>
    </row>
    <row r="168">
      <c r="A168" s="6" t="inlineStr">
        <is>
          <t>2003M11</t>
        </is>
      </c>
      <c r="B168" s="3" t="n">
        <v>389.91</v>
      </c>
      <c r="C168" s="3">
        <f>IF(OR(B168="",B167=""),"",LN(B168/B167)*100)</f>
        <v/>
      </c>
      <c r="D168" s="3">
        <f>IF(COUNT(C166:C168)&lt;3,"",STDEV.S(C166:C168))</f>
        <v/>
      </c>
      <c r="E168" s="3">
        <f>IF(COUNT(C157:C168)&lt;12,"",STDEV.S(C157:C168))</f>
        <v/>
      </c>
    </row>
    <row r="169">
      <c r="A169" s="6" t="inlineStr">
        <is>
          <t>2003M12</t>
        </is>
      </c>
      <c r="B169" s="3" t="n">
        <v>406.952631578947</v>
      </c>
      <c r="C169" s="3">
        <f>IF(OR(B169="",B168=""),"",LN(B169/B168)*100)</f>
        <v/>
      </c>
      <c r="D169" s="3">
        <f>IF(COUNT(C167:C169)&lt;3,"",STDEV.S(C167:C169))</f>
        <v/>
      </c>
      <c r="E169" s="3">
        <f>IF(COUNT(C158:C169)&lt;12,"",STDEV.S(C158:C169))</f>
        <v/>
      </c>
    </row>
    <row r="170">
      <c r="A170" s="6" t="inlineStr">
        <is>
          <t>2004M1</t>
        </is>
      </c>
      <c r="B170" s="3" t="n">
        <v>413.788095238095</v>
      </c>
      <c r="C170" s="3">
        <f>IF(OR(B170="",B169=""),"",LN(B170/B169)*100)</f>
        <v/>
      </c>
      <c r="D170" s="3">
        <f>IF(COUNT(C168:C170)&lt;3,"",STDEV.S(C168:C170))</f>
        <v/>
      </c>
      <c r="E170" s="3">
        <f>IF(COUNT(C159:C170)&lt;12,"",STDEV.S(C159:C170))</f>
        <v/>
      </c>
    </row>
    <row r="171">
      <c r="A171" s="6" t="inlineStr">
        <is>
          <t>2004M2</t>
        </is>
      </c>
      <c r="B171" s="3" t="n">
        <v>404.8775</v>
      </c>
      <c r="C171" s="3">
        <f>IF(OR(B171="",B170=""),"",LN(B171/B170)*100)</f>
        <v/>
      </c>
      <c r="D171" s="3">
        <f>IF(COUNT(C169:C171)&lt;3,"",STDEV.S(C169:C171))</f>
        <v/>
      </c>
      <c r="E171" s="3">
        <f>IF(COUNT(C160:C171)&lt;12,"",STDEV.S(C160:C171))</f>
        <v/>
      </c>
    </row>
    <row r="172">
      <c r="A172" s="6" t="inlineStr">
        <is>
          <t>2004M3</t>
        </is>
      </c>
      <c r="B172" s="3" t="n">
        <v>406.667391304347</v>
      </c>
      <c r="C172" s="3">
        <f>IF(OR(B172="",B171=""),"",LN(B172/B171)*100)</f>
        <v/>
      </c>
      <c r="D172" s="3">
        <f>IF(COUNT(C170:C172)&lt;3,"",STDEV.S(C170:C172))</f>
        <v/>
      </c>
      <c r="E172" s="3">
        <f>IF(COUNT(C161:C172)&lt;12,"",STDEV.S(C161:C172))</f>
        <v/>
      </c>
    </row>
    <row r="173">
      <c r="A173" s="6" t="inlineStr">
        <is>
          <t>2004M4</t>
        </is>
      </c>
      <c r="B173" s="3" t="n">
        <v>403.26</v>
      </c>
      <c r="C173" s="3">
        <f>IF(OR(B173="",B172=""),"",LN(B173/B172)*100)</f>
        <v/>
      </c>
      <c r="D173" s="3">
        <f>IF(COUNT(C171:C173)&lt;3,"",STDEV.S(C171:C173))</f>
        <v/>
      </c>
      <c r="E173" s="3">
        <f>IF(COUNT(C162:C173)&lt;12,"",STDEV.S(C162:C173))</f>
        <v/>
      </c>
    </row>
    <row r="174">
      <c r="A174" s="6" t="inlineStr">
        <is>
          <t>2004M5</t>
        </is>
      </c>
      <c r="B174" s="3" t="n">
        <v>383.778947368421</v>
      </c>
      <c r="C174" s="3">
        <f>IF(OR(B174="",B173=""),"",LN(B174/B173)*100)</f>
        <v/>
      </c>
      <c r="D174" s="3">
        <f>IF(COUNT(C172:C174)&lt;3,"",STDEV.S(C172:C174))</f>
        <v/>
      </c>
      <c r="E174" s="3">
        <f>IF(COUNT(C163:C174)&lt;12,"",STDEV.S(C163:C174))</f>
        <v/>
      </c>
    </row>
    <row r="175">
      <c r="A175" s="6" t="inlineStr">
        <is>
          <t>2004M6</t>
        </is>
      </c>
      <c r="B175" s="3" t="n">
        <v>392.372727272727</v>
      </c>
      <c r="C175" s="3">
        <f>IF(OR(B175="",B174=""),"",LN(B175/B174)*100)</f>
        <v/>
      </c>
      <c r="D175" s="3">
        <f>IF(COUNT(C173:C175)&lt;3,"",STDEV.S(C173:C175))</f>
        <v/>
      </c>
      <c r="E175" s="3">
        <f>IF(COUNT(C164:C175)&lt;12,"",STDEV.S(C164:C175))</f>
        <v/>
      </c>
    </row>
    <row r="176">
      <c r="A176" s="6" t="inlineStr">
        <is>
          <t>2004M7</t>
        </is>
      </c>
      <c r="B176" s="3" t="n">
        <v>398.090909090909</v>
      </c>
      <c r="C176" s="3">
        <f>IF(OR(B176="",B175=""),"",LN(B176/B175)*100)</f>
        <v/>
      </c>
      <c r="D176" s="3">
        <f>IF(COUNT(C174:C176)&lt;3,"",STDEV.S(C174:C176))</f>
        <v/>
      </c>
      <c r="E176" s="3">
        <f>IF(COUNT(C165:C176)&lt;12,"",STDEV.S(C165:C176))</f>
        <v/>
      </c>
    </row>
    <row r="177">
      <c r="A177" s="6" t="inlineStr">
        <is>
          <t>2004M8</t>
        </is>
      </c>
      <c r="B177" s="3" t="n">
        <v>400.509523809523</v>
      </c>
      <c r="C177" s="3">
        <f>IF(OR(B177="",B176=""),"",LN(B177/B176)*100)</f>
        <v/>
      </c>
      <c r="D177" s="3">
        <f>IF(COUNT(C175:C177)&lt;3,"",STDEV.S(C175:C177))</f>
        <v/>
      </c>
      <c r="E177" s="3">
        <f>IF(COUNT(C166:C177)&lt;12,"",STDEV.S(C166:C177))</f>
        <v/>
      </c>
    </row>
    <row r="178">
      <c r="A178" s="6" t="inlineStr">
        <is>
          <t>2004M9</t>
        </is>
      </c>
      <c r="B178" s="3" t="n">
        <v>405.275</v>
      </c>
      <c r="C178" s="3">
        <f>IF(OR(B178="",B177=""),"",LN(B178/B177)*100)</f>
        <v/>
      </c>
      <c r="D178" s="3">
        <f>IF(COUNT(C176:C178)&lt;3,"",STDEV.S(C176:C178))</f>
        <v/>
      </c>
      <c r="E178" s="3">
        <f>IF(COUNT(C167:C178)&lt;12,"",STDEV.S(C167:C178))</f>
        <v/>
      </c>
    </row>
    <row r="179">
      <c r="A179" s="6" t="inlineStr">
        <is>
          <t>2004M10</t>
        </is>
      </c>
      <c r="B179" s="3" t="n">
        <v>420.464285714285</v>
      </c>
      <c r="C179" s="3">
        <f>IF(OR(B179="",B178=""),"",LN(B179/B178)*100)</f>
        <v/>
      </c>
      <c r="D179" s="3">
        <f>IF(COUNT(C177:C179)&lt;3,"",STDEV.S(C177:C179))</f>
        <v/>
      </c>
      <c r="E179" s="3">
        <f>IF(COUNT(C168:C179)&lt;12,"",STDEV.S(C168:C179))</f>
        <v/>
      </c>
    </row>
    <row r="180">
      <c r="A180" s="6" t="inlineStr">
        <is>
          <t>2004M11</t>
        </is>
      </c>
      <c r="B180" s="3" t="n">
        <v>439.375</v>
      </c>
      <c r="C180" s="3">
        <f>IF(OR(B180="",B179=""),"",LN(B180/B179)*100)</f>
        <v/>
      </c>
      <c r="D180" s="3">
        <f>IF(COUNT(C178:C180)&lt;3,"",STDEV.S(C178:C180))</f>
        <v/>
      </c>
      <c r="E180" s="3">
        <f>IF(COUNT(C169:C180)&lt;12,"",STDEV.S(C169:C180))</f>
        <v/>
      </c>
    </row>
    <row r="181">
      <c r="A181" s="6" t="inlineStr">
        <is>
          <t>2004M12</t>
        </is>
      </c>
      <c r="B181" s="3" t="n">
        <v>442.078947368421</v>
      </c>
      <c r="C181" s="3">
        <f>IF(OR(B181="",B180=""),"",LN(B181/B180)*100)</f>
        <v/>
      </c>
      <c r="D181" s="3">
        <f>IF(COUNT(C179:C181)&lt;3,"",STDEV.S(C179:C181))</f>
        <v/>
      </c>
      <c r="E181" s="3">
        <f>IF(COUNT(C170:C181)&lt;12,"",STDEV.S(C170:C181))</f>
        <v/>
      </c>
    </row>
    <row r="182">
      <c r="A182" s="6" t="inlineStr">
        <is>
          <t>2005M1</t>
        </is>
      </c>
      <c r="B182" s="3" t="n">
        <v>424.03</v>
      </c>
      <c r="C182" s="3">
        <f>IF(OR(B182="",B181=""),"",LN(B182/B181)*100)</f>
        <v/>
      </c>
      <c r="D182" s="3">
        <f>IF(COUNT(C180:C182)&lt;3,"",STDEV.S(C180:C182))</f>
        <v/>
      </c>
      <c r="E182" s="3">
        <f>IF(COUNT(C171:C182)&lt;12,"",STDEV.S(C171:C182))</f>
        <v/>
      </c>
    </row>
    <row r="183">
      <c r="A183" s="6" t="inlineStr">
        <is>
          <t>2005M2</t>
        </is>
      </c>
      <c r="B183" s="3" t="n">
        <v>423.35</v>
      </c>
      <c r="C183" s="3">
        <f>IF(OR(B183="",B182=""),"",LN(B183/B182)*100)</f>
        <v/>
      </c>
      <c r="D183" s="3">
        <f>IF(COUNT(C181:C183)&lt;3,"",STDEV.S(C181:C183))</f>
        <v/>
      </c>
      <c r="E183" s="3">
        <f>IF(COUNT(C172:C183)&lt;12,"",STDEV.S(C172:C183))</f>
        <v/>
      </c>
    </row>
    <row r="184">
      <c r="A184" s="6" t="inlineStr">
        <is>
          <t>2005M3</t>
        </is>
      </c>
      <c r="B184" s="3" t="n">
        <v>434.321428571428</v>
      </c>
      <c r="C184" s="3">
        <f>IF(OR(B184="",B183=""),"",LN(B184/B183)*100)</f>
        <v/>
      </c>
      <c r="D184" s="3">
        <f>IF(COUNT(C182:C184)&lt;3,"",STDEV.S(C182:C184))</f>
        <v/>
      </c>
      <c r="E184" s="3">
        <f>IF(COUNT(C173:C184)&lt;12,"",STDEV.S(C173:C184))</f>
        <v/>
      </c>
    </row>
    <row r="185">
      <c r="A185" s="6" t="inlineStr">
        <is>
          <t>2005M4</t>
        </is>
      </c>
      <c r="B185" s="3" t="n">
        <v>429.233333333333</v>
      </c>
      <c r="C185" s="3">
        <f>IF(OR(B185="",B184=""),"",LN(B185/B184)*100)</f>
        <v/>
      </c>
      <c r="D185" s="3">
        <f>IF(COUNT(C183:C185)&lt;3,"",STDEV.S(C183:C185))</f>
        <v/>
      </c>
      <c r="E185" s="3">
        <f>IF(COUNT(C174:C185)&lt;12,"",STDEV.S(C174:C185))</f>
        <v/>
      </c>
    </row>
    <row r="186">
      <c r="A186" s="6" t="inlineStr">
        <is>
          <t>2005M5</t>
        </is>
      </c>
      <c r="B186" s="3" t="n">
        <v>421.8725</v>
      </c>
      <c r="C186" s="3">
        <f>IF(OR(B186="",B185=""),"",LN(B186/B185)*100)</f>
        <v/>
      </c>
      <c r="D186" s="3">
        <f>IF(COUNT(C184:C186)&lt;3,"",STDEV.S(C184:C186))</f>
        <v/>
      </c>
      <c r="E186" s="3">
        <f>IF(COUNT(C175:C186)&lt;12,"",STDEV.S(C175:C186))</f>
        <v/>
      </c>
    </row>
    <row r="187">
      <c r="A187" s="6" t="inlineStr">
        <is>
          <t>2005M6</t>
        </is>
      </c>
      <c r="B187" s="3" t="n">
        <v>430.656818181818</v>
      </c>
      <c r="C187" s="3">
        <f>IF(OR(B187="",B186=""),"",LN(B187/B186)*100)</f>
        <v/>
      </c>
      <c r="D187" s="3">
        <f>IF(COUNT(C185:C187)&lt;3,"",STDEV.S(C185:C187))</f>
        <v/>
      </c>
      <c r="E187" s="3">
        <f>IF(COUNT(C176:C187)&lt;12,"",STDEV.S(C176:C187))</f>
        <v/>
      </c>
    </row>
    <row r="188">
      <c r="A188" s="6" t="inlineStr">
        <is>
          <t>2005M7</t>
        </is>
      </c>
      <c r="B188" s="3" t="n">
        <v>424.478571428571</v>
      </c>
      <c r="C188" s="3">
        <f>IF(OR(B188="",B187=""),"",LN(B188/B187)*100)</f>
        <v/>
      </c>
      <c r="D188" s="3">
        <f>IF(COUNT(C186:C188)&lt;3,"",STDEV.S(C186:C188))</f>
        <v/>
      </c>
      <c r="E188" s="3">
        <f>IF(COUNT(C177:C188)&lt;12,"",STDEV.S(C177:C188))</f>
        <v/>
      </c>
    </row>
    <row r="189">
      <c r="A189" s="6" t="inlineStr">
        <is>
          <t>2005M8</t>
        </is>
      </c>
      <c r="B189" s="3" t="n">
        <v>437.929545454545</v>
      </c>
      <c r="C189" s="3">
        <f>IF(OR(B189="",B188=""),"",LN(B189/B188)*100)</f>
        <v/>
      </c>
      <c r="D189" s="3">
        <f>IF(COUNT(C187:C189)&lt;3,"",STDEV.S(C187:C189))</f>
        <v/>
      </c>
      <c r="E189" s="3">
        <f>IF(COUNT(C178:C189)&lt;12,"",STDEV.S(C178:C189))</f>
        <v/>
      </c>
    </row>
    <row r="190">
      <c r="A190" s="6" t="inlineStr">
        <is>
          <t>2005M9</t>
        </is>
      </c>
      <c r="B190" s="3" t="n">
        <v>456.047727272727</v>
      </c>
      <c r="C190" s="3">
        <f>IF(OR(B190="",B189=""),"",LN(B190/B189)*100)</f>
        <v/>
      </c>
      <c r="D190" s="3">
        <f>IF(COUNT(C188:C190)&lt;3,"",STDEV.S(C188:C190))</f>
        <v/>
      </c>
      <c r="E190" s="3">
        <f>IF(COUNT(C179:C190)&lt;12,"",STDEV.S(C179:C190))</f>
        <v/>
      </c>
    </row>
    <row r="191">
      <c r="A191" s="6" t="inlineStr">
        <is>
          <t>2005M10</t>
        </is>
      </c>
      <c r="B191" s="3" t="n">
        <v>469.897619047619</v>
      </c>
      <c r="C191" s="3">
        <f>IF(OR(B191="",B190=""),"",LN(B191/B190)*100)</f>
        <v/>
      </c>
      <c r="D191" s="3">
        <f>IF(COUNT(C189:C191)&lt;3,"",STDEV.S(C189:C191))</f>
        <v/>
      </c>
      <c r="E191" s="3">
        <f>IF(COUNT(C180:C191)&lt;12,"",STDEV.S(C180:C191))</f>
        <v/>
      </c>
    </row>
    <row r="192">
      <c r="A192" s="6" t="inlineStr">
        <is>
          <t>2005M11</t>
        </is>
      </c>
      <c r="B192" s="3" t="n">
        <v>476.665909090909</v>
      </c>
      <c r="C192" s="3">
        <f>IF(OR(B192="",B191=""),"",LN(B192/B191)*100)</f>
        <v/>
      </c>
      <c r="D192" s="3">
        <f>IF(COUNT(C190:C192)&lt;3,"",STDEV.S(C190:C192))</f>
        <v/>
      </c>
      <c r="E192" s="3">
        <f>IF(COUNT(C181:C192)&lt;12,"",STDEV.S(C181:C192))</f>
        <v/>
      </c>
    </row>
    <row r="193">
      <c r="A193" s="6" t="inlineStr">
        <is>
          <t>2005M12</t>
        </is>
      </c>
      <c r="B193" s="3" t="n">
        <v>510.097222222222</v>
      </c>
      <c r="C193" s="3">
        <f>IF(OR(B193="",B192=""),"",LN(B193/B192)*100)</f>
        <v/>
      </c>
      <c r="D193" s="3">
        <f>IF(COUNT(C191:C193)&lt;3,"",STDEV.S(C191:C193))</f>
        <v/>
      </c>
      <c r="E193" s="3">
        <f>IF(COUNT(C182:C193)&lt;12,"",STDEV.S(C182:C193))</f>
        <v/>
      </c>
    </row>
    <row r="194">
      <c r="A194" s="6" t="inlineStr">
        <is>
          <t>2006M1</t>
        </is>
      </c>
      <c r="B194" s="3" t="n">
        <v>549.864285714285</v>
      </c>
      <c r="C194" s="3">
        <f>IF(OR(B194="",B193=""),"",LN(B194/B193)*100)</f>
        <v/>
      </c>
      <c r="D194" s="3">
        <f>IF(COUNT(C192:C194)&lt;3,"",STDEV.S(C192:C194))</f>
        <v/>
      </c>
      <c r="E194" s="3">
        <f>IF(COUNT(C183:C194)&lt;12,"",STDEV.S(C183:C194))</f>
        <v/>
      </c>
    </row>
    <row r="195">
      <c r="A195" s="6" t="inlineStr">
        <is>
          <t>2006M2</t>
        </is>
      </c>
      <c r="B195" s="3" t="n">
        <v>554.995</v>
      </c>
      <c r="C195" s="3">
        <f>IF(OR(B195="",B194=""),"",LN(B195/B194)*100)</f>
        <v/>
      </c>
      <c r="D195" s="3">
        <f>IF(COUNT(C193:C195)&lt;3,"",STDEV.S(C193:C195))</f>
        <v/>
      </c>
      <c r="E195" s="3">
        <f>IF(COUNT(C184:C195)&lt;12,"",STDEV.S(C184:C195))</f>
        <v/>
      </c>
    </row>
    <row r="196">
      <c r="A196" s="6" t="inlineStr">
        <is>
          <t>2006M3</t>
        </is>
      </c>
      <c r="B196" s="3" t="n">
        <v>557.093478260869</v>
      </c>
      <c r="C196" s="3">
        <f>IF(OR(B196="",B195=""),"",LN(B196/B195)*100)</f>
        <v/>
      </c>
      <c r="D196" s="3">
        <f>IF(COUNT(C194:C196)&lt;3,"",STDEV.S(C194:C196))</f>
        <v/>
      </c>
      <c r="E196" s="3">
        <f>IF(COUNT(C185:C196)&lt;12,"",STDEV.S(C185:C196))</f>
        <v/>
      </c>
    </row>
    <row r="197">
      <c r="A197" s="6" t="inlineStr">
        <is>
          <t>2006M4</t>
        </is>
      </c>
      <c r="B197" s="3" t="n">
        <v>610.652777777777</v>
      </c>
      <c r="C197" s="3">
        <f>IF(OR(B197="",B196=""),"",LN(B197/B196)*100)</f>
        <v/>
      </c>
      <c r="D197" s="3">
        <f>IF(COUNT(C195:C197)&lt;3,"",STDEV.S(C195:C197))</f>
        <v/>
      </c>
      <c r="E197" s="3">
        <f>IF(COUNT(C186:C197)&lt;12,"",STDEV.S(C186:C197))</f>
        <v/>
      </c>
    </row>
    <row r="198">
      <c r="A198" s="6" t="inlineStr">
        <is>
          <t>2006M5</t>
        </is>
      </c>
      <c r="B198" s="3" t="n">
        <v>675.392857142857</v>
      </c>
      <c r="C198" s="3">
        <f>IF(OR(B198="",B197=""),"",LN(B198/B197)*100)</f>
        <v/>
      </c>
      <c r="D198" s="3">
        <f>IF(COUNT(C196:C198)&lt;3,"",STDEV.S(C196:C198))</f>
        <v/>
      </c>
      <c r="E198" s="3">
        <f>IF(COUNT(C187:C198)&lt;12,"",STDEV.S(C187:C198))</f>
        <v/>
      </c>
    </row>
    <row r="199">
      <c r="A199" s="6" t="inlineStr">
        <is>
          <t>2006M6</t>
        </is>
      </c>
      <c r="B199" s="3" t="n">
        <v>596.145454545454</v>
      </c>
      <c r="C199" s="3">
        <f>IF(OR(B199="",B198=""),"",LN(B199/B198)*100)</f>
        <v/>
      </c>
      <c r="D199" s="3">
        <f>IF(COUNT(C197:C199)&lt;3,"",STDEV.S(C197:C199))</f>
        <v/>
      </c>
      <c r="E199" s="3">
        <f>IF(COUNT(C188:C199)&lt;12,"",STDEV.S(C188:C199))</f>
        <v/>
      </c>
    </row>
    <row r="200">
      <c r="A200" s="6" t="inlineStr">
        <is>
          <t>2006M7</t>
        </is>
      </c>
      <c r="B200" s="3" t="n">
        <v>633.709523809523</v>
      </c>
      <c r="C200" s="3">
        <f>IF(OR(B200="",B199=""),"",LN(B200/B199)*100)</f>
        <v/>
      </c>
      <c r="D200" s="3">
        <f>IF(COUNT(C198:C200)&lt;3,"",STDEV.S(C198:C200))</f>
        <v/>
      </c>
      <c r="E200" s="3">
        <f>IF(COUNT(C189:C200)&lt;12,"",STDEV.S(C189:C200))</f>
        <v/>
      </c>
    </row>
    <row r="201">
      <c r="A201" s="6" t="inlineStr">
        <is>
          <t>2006M8</t>
        </is>
      </c>
      <c r="B201" s="3" t="n">
        <v>632.5931818181811</v>
      </c>
      <c r="C201" s="3">
        <f>IF(OR(B201="",B200=""),"",LN(B201/B200)*100)</f>
        <v/>
      </c>
      <c r="D201" s="3">
        <f>IF(COUNT(C199:C201)&lt;3,"",STDEV.S(C199:C201))</f>
        <v/>
      </c>
      <c r="E201" s="3">
        <f>IF(COUNT(C190:C201)&lt;12,"",STDEV.S(C190:C201))</f>
        <v/>
      </c>
    </row>
    <row r="202">
      <c r="A202" s="6" t="inlineStr">
        <is>
          <t>2006M9</t>
        </is>
      </c>
      <c r="B202" s="3" t="n">
        <v>598.185714285714</v>
      </c>
      <c r="C202" s="3">
        <f>IF(OR(B202="",B201=""),"",LN(B202/B201)*100)</f>
        <v/>
      </c>
      <c r="D202" s="3">
        <f>IF(COUNT(C200:C202)&lt;3,"",STDEV.S(C200:C202))</f>
        <v/>
      </c>
      <c r="E202" s="3">
        <f>IF(COUNT(C191:C202)&lt;12,"",STDEV.S(C191:C202))</f>
        <v/>
      </c>
    </row>
    <row r="203">
      <c r="A203" s="6" t="inlineStr">
        <is>
          <t>2006M10</t>
        </is>
      </c>
      <c r="B203" s="3" t="n">
        <v>585.779545454545</v>
      </c>
      <c r="C203" s="3">
        <f>IF(OR(B203="",B202=""),"",LN(B203/B202)*100)</f>
        <v/>
      </c>
      <c r="D203" s="3">
        <f>IF(COUNT(C201:C203)&lt;3,"",STDEV.S(C201:C203))</f>
        <v/>
      </c>
      <c r="E203" s="3">
        <f>IF(COUNT(C192:C203)&lt;12,"",STDEV.S(C192:C203))</f>
        <v/>
      </c>
    </row>
    <row r="204">
      <c r="A204" s="6" t="inlineStr">
        <is>
          <t>2006M11</t>
        </is>
      </c>
      <c r="B204" s="3" t="n">
        <v>627.827272727272</v>
      </c>
      <c r="C204" s="3">
        <f>IF(OR(B204="",B203=""),"",LN(B204/B203)*100)</f>
        <v/>
      </c>
      <c r="D204" s="3">
        <f>IF(COUNT(C202:C204)&lt;3,"",STDEV.S(C202:C204))</f>
        <v/>
      </c>
      <c r="E204" s="3">
        <f>IF(COUNT(C193:C204)&lt;12,"",STDEV.S(C193:C204))</f>
        <v/>
      </c>
    </row>
    <row r="205">
      <c r="A205" s="6" t="inlineStr">
        <is>
          <t>2006M12</t>
        </is>
      </c>
      <c r="B205" s="3" t="n">
        <v>629.791176470588</v>
      </c>
      <c r="C205" s="3">
        <f>IF(OR(B205="",B204=""),"",LN(B205/B204)*100)</f>
        <v/>
      </c>
      <c r="D205" s="3">
        <f>IF(COUNT(C203:C205)&lt;3,"",STDEV.S(C203:C205))</f>
        <v/>
      </c>
      <c r="E205" s="3">
        <f>IF(COUNT(C194:C205)&lt;12,"",STDEV.S(C194:C205))</f>
        <v/>
      </c>
    </row>
    <row r="206">
      <c r="A206" s="6" t="inlineStr">
        <is>
          <t>2007M1</t>
        </is>
      </c>
      <c r="B206" s="3" t="n">
        <v>631.1659090909091</v>
      </c>
      <c r="C206" s="3">
        <f>IF(OR(B206="",B205=""),"",LN(B206/B205)*100)</f>
        <v/>
      </c>
      <c r="D206" s="3">
        <f>IF(COUNT(C204:C206)&lt;3,"",STDEV.S(C204:C206))</f>
        <v/>
      </c>
      <c r="E206" s="3">
        <f>IF(COUNT(C195:C206)&lt;12,"",STDEV.S(C195:C206))</f>
        <v/>
      </c>
    </row>
    <row r="207">
      <c r="A207" s="6" t="inlineStr">
        <is>
          <t>2007M2</t>
        </is>
      </c>
      <c r="B207" s="3" t="n">
        <v>664.745</v>
      </c>
      <c r="C207" s="3">
        <f>IF(OR(B207="",B206=""),"",LN(B207/B206)*100)</f>
        <v/>
      </c>
      <c r="D207" s="3">
        <f>IF(COUNT(C205:C207)&lt;3,"",STDEV.S(C205:C207))</f>
        <v/>
      </c>
      <c r="E207" s="3">
        <f>IF(COUNT(C196:C207)&lt;12,"",STDEV.S(C196:C207))</f>
        <v/>
      </c>
    </row>
    <row r="208">
      <c r="A208" s="6" t="inlineStr">
        <is>
          <t>2007M3</t>
        </is>
      </c>
      <c r="B208" s="3" t="n">
        <v>654.895454545454</v>
      </c>
      <c r="C208" s="3">
        <f>IF(OR(B208="",B207=""),"",LN(B208/B207)*100)</f>
        <v/>
      </c>
      <c r="D208" s="3">
        <f>IF(COUNT(C206:C208)&lt;3,"",STDEV.S(C206:C208))</f>
        <v/>
      </c>
      <c r="E208" s="3">
        <f>IF(COUNT(C197:C208)&lt;12,"",STDEV.S(C197:C208))</f>
        <v/>
      </c>
    </row>
    <row r="209">
      <c r="A209" s="6" t="inlineStr">
        <is>
          <t>2007M4</t>
        </is>
      </c>
      <c r="B209" s="3" t="n">
        <v>679.368421052631</v>
      </c>
      <c r="C209" s="3">
        <f>IF(OR(B209="",B208=""),"",LN(B209/B208)*100)</f>
        <v/>
      </c>
      <c r="D209" s="3">
        <f>IF(COUNT(C207:C209)&lt;3,"",STDEV.S(C207:C209))</f>
        <v/>
      </c>
      <c r="E209" s="3">
        <f>IF(COUNT(C198:C209)&lt;12,"",STDEV.S(C198:C209))</f>
        <v/>
      </c>
    </row>
    <row r="210">
      <c r="A210" s="6" t="inlineStr">
        <is>
          <t>2007M5</t>
        </is>
      </c>
      <c r="B210" s="3" t="n">
        <v>666.859523809523</v>
      </c>
      <c r="C210" s="3">
        <f>IF(OR(B210="",B209=""),"",LN(B210/B209)*100)</f>
        <v/>
      </c>
      <c r="D210" s="3">
        <f>IF(COUNT(C208:C210)&lt;3,"",STDEV.S(C208:C210))</f>
        <v/>
      </c>
      <c r="E210" s="3">
        <f>IF(COUNT(C199:C210)&lt;12,"",STDEV.S(C199:C210))</f>
        <v/>
      </c>
    </row>
    <row r="211">
      <c r="A211" s="6" t="inlineStr">
        <is>
          <t>2007M6</t>
        </is>
      </c>
      <c r="B211" s="3" t="n">
        <v>655.490476190476</v>
      </c>
      <c r="C211" s="3">
        <f>IF(OR(B211="",B210=""),"",LN(B211/B210)*100)</f>
        <v/>
      </c>
      <c r="D211" s="3">
        <f>IF(COUNT(C209:C211)&lt;3,"",STDEV.S(C209:C211))</f>
        <v/>
      </c>
      <c r="E211" s="3">
        <f>IF(COUNT(C200:C211)&lt;12,"",STDEV.S(C200:C211))</f>
        <v/>
      </c>
    </row>
    <row r="212">
      <c r="A212" s="6" t="inlineStr">
        <is>
          <t>2007M7</t>
        </is>
      </c>
      <c r="B212" s="3" t="n">
        <v>665.295454545454</v>
      </c>
      <c r="C212" s="3">
        <f>IF(OR(B212="",B211=""),"",LN(B212/B211)*100)</f>
        <v/>
      </c>
      <c r="D212" s="3">
        <f>IF(COUNT(C210:C212)&lt;3,"",STDEV.S(C210:C212))</f>
        <v/>
      </c>
      <c r="E212" s="3">
        <f>IF(COUNT(C201:C212)&lt;12,"",STDEV.S(C201:C212))</f>
        <v/>
      </c>
    </row>
    <row r="213">
      <c r="A213" s="6" t="inlineStr">
        <is>
          <t>2007M8</t>
        </is>
      </c>
      <c r="B213" s="3" t="n">
        <v>665.411363636363</v>
      </c>
      <c r="C213" s="3">
        <f>IF(OR(B213="",B212=""),"",LN(B213/B212)*100)</f>
        <v/>
      </c>
      <c r="D213" s="3">
        <f>IF(COUNT(C211:C213)&lt;3,"",STDEV.S(C211:C213))</f>
        <v/>
      </c>
      <c r="E213" s="3">
        <f>IF(COUNT(C202:C213)&lt;12,"",STDEV.S(C202:C213))</f>
        <v/>
      </c>
    </row>
    <row r="214">
      <c r="A214" s="6" t="inlineStr">
        <is>
          <t>2007M9</t>
        </is>
      </c>
      <c r="B214" s="3" t="n">
        <v>712.6525</v>
      </c>
      <c r="C214" s="3">
        <f>IF(OR(B214="",B213=""),"",LN(B214/B213)*100)</f>
        <v/>
      </c>
      <c r="D214" s="3">
        <f>IF(COUNT(C212:C214)&lt;3,"",STDEV.S(C212:C214))</f>
        <v/>
      </c>
      <c r="E214" s="3">
        <f>IF(COUNT(C203:C214)&lt;12,"",STDEV.S(C203:C214))</f>
        <v/>
      </c>
    </row>
    <row r="215">
      <c r="A215" s="6" t="inlineStr">
        <is>
          <t>2007M10</t>
        </is>
      </c>
      <c r="B215" s="3" t="n">
        <v>754.604347826087</v>
      </c>
      <c r="C215" s="3">
        <f>IF(OR(B215="",B214=""),"",LN(B215/B214)*100)</f>
        <v/>
      </c>
      <c r="D215" s="3">
        <f>IF(COUNT(C213:C215)&lt;3,"",STDEV.S(C213:C215))</f>
        <v/>
      </c>
      <c r="E215" s="3">
        <f>IF(COUNT(C204:C215)&lt;12,"",STDEV.S(C204:C215))</f>
        <v/>
      </c>
    </row>
    <row r="216">
      <c r="A216" s="6" t="inlineStr">
        <is>
          <t>2007M11</t>
        </is>
      </c>
      <c r="B216" s="3" t="n">
        <v>806.247727272727</v>
      </c>
      <c r="C216" s="3">
        <f>IF(OR(B216="",B215=""),"",LN(B216/B215)*100)</f>
        <v/>
      </c>
      <c r="D216" s="3">
        <f>IF(COUNT(C214:C216)&lt;3,"",STDEV.S(C214:C216))</f>
        <v/>
      </c>
      <c r="E216" s="3">
        <f>IF(COUNT(C205:C216)&lt;12,"",STDEV.S(C205:C216))</f>
        <v/>
      </c>
    </row>
    <row r="217">
      <c r="A217" s="6" t="inlineStr">
        <is>
          <t>2007M12</t>
        </is>
      </c>
      <c r="B217" s="3" t="n">
        <v>803.2029411764699</v>
      </c>
      <c r="C217" s="3">
        <f>IF(OR(B217="",B216=""),"",LN(B217/B216)*100)</f>
        <v/>
      </c>
      <c r="D217" s="3">
        <f>IF(COUNT(C215:C217)&lt;3,"",STDEV.S(C215:C217))</f>
        <v/>
      </c>
      <c r="E217" s="3">
        <f>IF(COUNT(C206:C217)&lt;12,"",STDEV.S(C206:C217))</f>
        <v/>
      </c>
    </row>
    <row r="218">
      <c r="A218" s="6" t="inlineStr">
        <is>
          <t>2008M1</t>
        </is>
      </c>
      <c r="B218" s="3" t="n">
        <v>889.595454545454</v>
      </c>
      <c r="C218" s="3">
        <f>IF(OR(B218="",B217=""),"",LN(B218/B217)*100)</f>
        <v/>
      </c>
      <c r="D218" s="3">
        <f>IF(COUNT(C216:C218)&lt;3,"",STDEV.S(C216:C218))</f>
        <v/>
      </c>
      <c r="E218" s="3">
        <f>IF(COUNT(C207:C218)&lt;12,"",STDEV.S(C207:C218))</f>
        <v/>
      </c>
    </row>
    <row r="219">
      <c r="A219" s="6" t="inlineStr">
        <is>
          <t>2008M2</t>
        </is>
      </c>
      <c r="B219" s="3" t="n">
        <v>922.297619047619</v>
      </c>
      <c r="C219" s="3">
        <f>IF(OR(B219="",B218=""),"",LN(B219/B218)*100)</f>
        <v/>
      </c>
      <c r="D219" s="3">
        <f>IF(COUNT(C217:C219)&lt;3,"",STDEV.S(C217:C219))</f>
        <v/>
      </c>
      <c r="E219" s="3">
        <f>IF(COUNT(C208:C219)&lt;12,"",STDEV.S(C208:C219))</f>
        <v/>
      </c>
    </row>
    <row r="220">
      <c r="A220" s="6" t="inlineStr">
        <is>
          <t>2008M3</t>
        </is>
      </c>
      <c r="B220" s="3" t="n">
        <v>968.434210526315</v>
      </c>
      <c r="C220" s="3">
        <f>IF(OR(B220="",B219=""),"",LN(B220/B219)*100)</f>
        <v/>
      </c>
      <c r="D220" s="3">
        <f>IF(COUNT(C218:C220)&lt;3,"",STDEV.S(C218:C220))</f>
        <v/>
      </c>
      <c r="E220" s="3">
        <f>IF(COUNT(C209:C220)&lt;12,"",STDEV.S(C209:C220))</f>
        <v/>
      </c>
    </row>
    <row r="221">
      <c r="A221" s="6" t="inlineStr">
        <is>
          <t>2008M4</t>
        </is>
      </c>
      <c r="B221" s="3" t="n">
        <v>909.704545454545</v>
      </c>
      <c r="C221" s="3">
        <f>IF(OR(B221="",B220=""),"",LN(B221/B220)*100)</f>
        <v/>
      </c>
      <c r="D221" s="3">
        <f>IF(COUNT(C219:C221)&lt;3,"",STDEV.S(C219:C221))</f>
        <v/>
      </c>
      <c r="E221" s="3">
        <f>IF(COUNT(C210:C221)&lt;12,"",STDEV.S(C210:C221))</f>
        <v/>
      </c>
    </row>
    <row r="222">
      <c r="A222" s="6" t="inlineStr">
        <is>
          <t>2008M5</t>
        </is>
      </c>
      <c r="B222" s="3" t="n">
        <v>888.6625</v>
      </c>
      <c r="C222" s="3">
        <f>IF(OR(B222="",B221=""),"",LN(B222/B221)*100)</f>
        <v/>
      </c>
      <c r="D222" s="3">
        <f>IF(COUNT(C220:C222)&lt;3,"",STDEV.S(C220:C222))</f>
        <v/>
      </c>
      <c r="E222" s="3">
        <f>IF(COUNT(C211:C222)&lt;12,"",STDEV.S(C211:C222))</f>
        <v/>
      </c>
    </row>
    <row r="223">
      <c r="A223" s="6" t="inlineStr">
        <is>
          <t>2008M6</t>
        </is>
      </c>
      <c r="B223" s="3" t="n">
        <v>889.488095238095</v>
      </c>
      <c r="C223" s="3">
        <f>IF(OR(B223="",B222=""),"",LN(B223/B222)*100)</f>
        <v/>
      </c>
      <c r="D223" s="3">
        <f>IF(COUNT(C221:C223)&lt;3,"",STDEV.S(C221:C223))</f>
        <v/>
      </c>
      <c r="E223" s="3">
        <f>IF(COUNT(C212:C223)&lt;12,"",STDEV.S(C212:C223))</f>
        <v/>
      </c>
    </row>
    <row r="224">
      <c r="A224" s="6" t="inlineStr">
        <is>
          <t>2008M7</t>
        </is>
      </c>
      <c r="B224" s="3" t="n">
        <v>939.771739130434</v>
      </c>
      <c r="C224" s="3">
        <f>IF(OR(B224="",B223=""),"",LN(B224/B223)*100)</f>
        <v/>
      </c>
      <c r="D224" s="3">
        <f>IF(COUNT(C222:C224)&lt;3,"",STDEV.S(C222:C224))</f>
        <v/>
      </c>
      <c r="E224" s="3">
        <f>IF(COUNT(C213:C224)&lt;12,"",STDEV.S(C213:C224))</f>
        <v/>
      </c>
    </row>
    <row r="225">
      <c r="A225" s="6" t="inlineStr">
        <is>
          <t>2008M8</t>
        </is>
      </c>
      <c r="B225" s="3" t="n">
        <v>839.025</v>
      </c>
      <c r="C225" s="3">
        <f>IF(OR(B225="",B224=""),"",LN(B225/B224)*100)</f>
        <v/>
      </c>
      <c r="D225" s="3">
        <f>IF(COUNT(C223:C225)&lt;3,"",STDEV.S(C223:C225))</f>
        <v/>
      </c>
      <c r="E225" s="3">
        <f>IF(COUNT(C214:C225)&lt;12,"",STDEV.S(C214:C225))</f>
        <v/>
      </c>
    </row>
    <row r="226">
      <c r="A226" s="6" t="inlineStr">
        <is>
          <t>2008M9</t>
        </is>
      </c>
      <c r="B226" s="3" t="n">
        <v>829.931818181818</v>
      </c>
      <c r="C226" s="3">
        <f>IF(OR(B226="",B225=""),"",LN(B226/B225)*100)</f>
        <v/>
      </c>
      <c r="D226" s="3">
        <f>IF(COUNT(C224:C226)&lt;3,"",STDEV.S(C224:C226))</f>
        <v/>
      </c>
      <c r="E226" s="3">
        <f>IF(COUNT(C215:C226)&lt;12,"",STDEV.S(C215:C226))</f>
        <v/>
      </c>
    </row>
    <row r="227">
      <c r="A227" s="6" t="inlineStr">
        <is>
          <t>2008M10</t>
        </is>
      </c>
      <c r="B227" s="3" t="n">
        <v>806.619565217391</v>
      </c>
      <c r="C227" s="3">
        <f>IF(OR(B227="",B226=""),"",LN(B227/B226)*100)</f>
        <v/>
      </c>
      <c r="D227" s="3">
        <f>IF(COUNT(C225:C227)&lt;3,"",STDEV.S(C225:C227))</f>
        <v/>
      </c>
      <c r="E227" s="3">
        <f>IF(COUNT(C216:C227)&lt;12,"",STDEV.S(C216:C227))</f>
        <v/>
      </c>
    </row>
    <row r="228">
      <c r="A228" s="6" t="inlineStr">
        <is>
          <t>2008M11</t>
        </is>
      </c>
      <c r="B228" s="3" t="n">
        <v>760.8625</v>
      </c>
      <c r="C228" s="3">
        <f>IF(OR(B228="",B227=""),"",LN(B228/B227)*100)</f>
        <v/>
      </c>
      <c r="D228" s="3">
        <f>IF(COUNT(C226:C228)&lt;3,"",STDEV.S(C226:C228))</f>
        <v/>
      </c>
      <c r="E228" s="3">
        <f>IF(COUNT(C217:C228)&lt;12,"",STDEV.S(C217:C228))</f>
        <v/>
      </c>
    </row>
    <row r="229">
      <c r="A229" s="6" t="inlineStr">
        <is>
          <t>2008M12</t>
        </is>
      </c>
      <c r="B229" s="3" t="n">
        <v>816.092105263157</v>
      </c>
      <c r="C229" s="3">
        <f>IF(OR(B229="",B228=""),"",LN(B229/B228)*100)</f>
        <v/>
      </c>
      <c r="D229" s="3">
        <f>IF(COUNT(C227:C229)&lt;3,"",STDEV.S(C227:C229))</f>
        <v/>
      </c>
      <c r="E229" s="3">
        <f>IF(COUNT(C218:C229)&lt;12,"",STDEV.S(C218:C229))</f>
        <v/>
      </c>
    </row>
    <row r="230">
      <c r="A230" s="6" t="inlineStr">
        <is>
          <t>2009M1</t>
        </is>
      </c>
      <c r="B230" s="3" t="n">
        <v>858.690476190476</v>
      </c>
      <c r="C230" s="3">
        <f>IF(OR(B230="",B229=""),"",LN(B230/B229)*100)</f>
        <v/>
      </c>
      <c r="D230" s="3">
        <f>IF(COUNT(C228:C230)&lt;3,"",STDEV.S(C228:C230))</f>
        <v/>
      </c>
      <c r="E230" s="3">
        <f>IF(COUNT(C219:C230)&lt;12,"",STDEV.S(C219:C230))</f>
        <v/>
      </c>
    </row>
    <row r="231">
      <c r="A231" s="6" t="inlineStr">
        <is>
          <t>2009M2</t>
        </is>
      </c>
      <c r="B231" s="3" t="n">
        <v>943.1625</v>
      </c>
      <c r="C231" s="3">
        <f>IF(OR(B231="",B230=""),"",LN(B231/B230)*100)</f>
        <v/>
      </c>
      <c r="D231" s="3">
        <f>IF(COUNT(C229:C231)&lt;3,"",STDEV.S(C229:C231))</f>
        <v/>
      </c>
      <c r="E231" s="3">
        <f>IF(COUNT(C220:C231)&lt;12,"",STDEV.S(C220:C231))</f>
        <v/>
      </c>
    </row>
    <row r="232">
      <c r="A232" s="6" t="inlineStr">
        <is>
          <t>2009M3</t>
        </is>
      </c>
      <c r="B232" s="3" t="n">
        <v>924.272727272727</v>
      </c>
      <c r="C232" s="3">
        <f>IF(OR(B232="",B231=""),"",LN(B232/B231)*100)</f>
        <v/>
      </c>
      <c r="D232" s="3">
        <f>IF(COUNT(C230:C232)&lt;3,"",STDEV.S(C230:C232))</f>
        <v/>
      </c>
      <c r="E232" s="3">
        <f>IF(COUNT(C221:C232)&lt;12,"",STDEV.S(C221:C232))</f>
        <v/>
      </c>
    </row>
    <row r="233">
      <c r="A233" s="6" t="inlineStr">
        <is>
          <t>2009M4</t>
        </is>
      </c>
      <c r="B233" s="3" t="n">
        <v>890.2</v>
      </c>
      <c r="C233" s="3">
        <f>IF(OR(B233="",B232=""),"",LN(B233/B232)*100)</f>
        <v/>
      </c>
      <c r="D233" s="3">
        <f>IF(COUNT(C231:C233)&lt;3,"",STDEV.S(C231:C233))</f>
        <v/>
      </c>
      <c r="E233" s="3">
        <f>IF(COUNT(C222:C233)&lt;12,"",STDEV.S(C222:C233))</f>
        <v/>
      </c>
    </row>
    <row r="234">
      <c r="A234" s="6" t="inlineStr">
        <is>
          <t>2009M5</t>
        </is>
      </c>
      <c r="B234" s="3" t="n">
        <v>928.644736842105</v>
      </c>
      <c r="C234" s="3">
        <f>IF(OR(B234="",B233=""),"",LN(B234/B233)*100)</f>
        <v/>
      </c>
      <c r="D234" s="3">
        <f>IF(COUNT(C232:C234)&lt;3,"",STDEV.S(C232:C234))</f>
        <v/>
      </c>
      <c r="E234" s="3">
        <f>IF(COUNT(C223:C234)&lt;12,"",STDEV.S(C223:C234))</f>
        <v/>
      </c>
    </row>
    <row r="235">
      <c r="A235" s="6" t="inlineStr">
        <is>
          <t>2009M6</t>
        </is>
      </c>
      <c r="B235" s="3" t="n">
        <v>945.670454545454</v>
      </c>
      <c r="C235" s="3">
        <f>IF(OR(B235="",B234=""),"",LN(B235/B234)*100)</f>
        <v/>
      </c>
      <c r="D235" s="3">
        <f>IF(COUNT(C233:C235)&lt;3,"",STDEV.S(C233:C235))</f>
        <v/>
      </c>
      <c r="E235" s="3">
        <f>IF(COUNT(C224:C235)&lt;12,"",STDEV.S(C224:C235))</f>
        <v/>
      </c>
    </row>
    <row r="236">
      <c r="A236" s="6" t="inlineStr">
        <is>
          <t>2009M7</t>
        </is>
      </c>
      <c r="B236" s="3" t="n">
        <v>934.228260869565</v>
      </c>
      <c r="C236" s="3">
        <f>IF(OR(B236="",B235=""),"",LN(B236/B235)*100)</f>
        <v/>
      </c>
      <c r="D236" s="3">
        <f>IF(COUNT(C234:C236)&lt;3,"",STDEV.S(C234:C236))</f>
        <v/>
      </c>
      <c r="E236" s="3">
        <f>IF(COUNT(C225:C236)&lt;12,"",STDEV.S(C225:C236))</f>
        <v/>
      </c>
    </row>
    <row r="237">
      <c r="A237" s="6" t="inlineStr">
        <is>
          <t>2009M8</t>
        </is>
      </c>
      <c r="B237" s="3" t="n">
        <v>949.375</v>
      </c>
      <c r="C237" s="3">
        <f>IF(OR(B237="",B236=""),"",LN(B237/B236)*100)</f>
        <v/>
      </c>
      <c r="D237" s="3">
        <f>IF(COUNT(C235:C237)&lt;3,"",STDEV.S(C235:C237))</f>
        <v/>
      </c>
      <c r="E237" s="3">
        <f>IF(COUNT(C226:C237)&lt;12,"",STDEV.S(C226:C237))</f>
        <v/>
      </c>
    </row>
    <row r="238">
      <c r="A238" s="6" t="inlineStr">
        <is>
          <t>2009M9</t>
        </is>
      </c>
      <c r="B238" s="3" t="n">
        <v>996.590909090909</v>
      </c>
      <c r="C238" s="3">
        <f>IF(OR(B238="",B237=""),"",LN(B238/B237)*100)</f>
        <v/>
      </c>
      <c r="D238" s="3">
        <f>IF(COUNT(C236:C238)&lt;3,"",STDEV.S(C236:C238))</f>
        <v/>
      </c>
      <c r="E238" s="3">
        <f>IF(COUNT(C227:C238)&lt;12,"",STDEV.S(C227:C238))</f>
        <v/>
      </c>
    </row>
    <row r="239">
      <c r="A239" s="6" t="inlineStr">
        <is>
          <t>2009M10</t>
        </is>
      </c>
      <c r="B239" s="3" t="n">
        <v>1043.15909090909</v>
      </c>
      <c r="C239" s="3">
        <f>IF(OR(B239="",B238=""),"",LN(B239/B238)*100)</f>
        <v/>
      </c>
      <c r="D239" s="3">
        <f>IF(COUNT(C237:C239)&lt;3,"",STDEV.S(C237:C239))</f>
        <v/>
      </c>
      <c r="E239" s="3">
        <f>IF(COUNT(C228:C239)&lt;12,"",STDEV.S(C228:C239))</f>
        <v/>
      </c>
    </row>
    <row r="240">
      <c r="A240" s="6" t="inlineStr">
        <is>
          <t>2009M11</t>
        </is>
      </c>
      <c r="B240" s="3" t="n">
        <v>1127.03571428571</v>
      </c>
      <c r="C240" s="3">
        <f>IF(OR(B240="",B239=""),"",LN(B240/B239)*100)</f>
        <v/>
      </c>
      <c r="D240" s="3">
        <f>IF(COUNT(C238:C240)&lt;3,"",STDEV.S(C238:C240))</f>
        <v/>
      </c>
      <c r="E240" s="3">
        <f>IF(COUNT(C229:C240)&lt;12,"",STDEV.S(C229:C240))</f>
        <v/>
      </c>
    </row>
    <row r="241">
      <c r="A241" s="6" t="inlineStr">
        <is>
          <t>2009M12</t>
        </is>
      </c>
      <c r="B241" s="3" t="n">
        <v>1134.72368421052</v>
      </c>
      <c r="C241" s="3">
        <f>IF(OR(B241="",B240=""),"",LN(B241/B240)*100)</f>
        <v/>
      </c>
      <c r="D241" s="3">
        <f>IF(COUNT(C239:C241)&lt;3,"",STDEV.S(C239:C241))</f>
        <v/>
      </c>
      <c r="E241" s="3">
        <f>IF(COUNT(C230:C241)&lt;12,"",STDEV.S(C230:C241))</f>
        <v/>
      </c>
    </row>
    <row r="242">
      <c r="A242" s="6" t="inlineStr">
        <is>
          <t>2010M1</t>
        </is>
      </c>
      <c r="B242" s="3" t="n">
        <v>1117.9625</v>
      </c>
      <c r="C242" s="3">
        <f>IF(OR(B242="",B241=""),"",LN(B242/B241)*100)</f>
        <v/>
      </c>
      <c r="D242" s="3">
        <f>IF(COUNT(C240:C242)&lt;3,"",STDEV.S(C240:C242))</f>
        <v/>
      </c>
      <c r="E242" s="3">
        <f>IF(COUNT(C231:C242)&lt;12,"",STDEV.S(C231:C242))</f>
        <v/>
      </c>
    </row>
    <row r="243">
      <c r="A243" s="6" t="inlineStr">
        <is>
          <t>2010M2</t>
        </is>
      </c>
      <c r="B243" s="3" t="n">
        <v>1095.4125</v>
      </c>
      <c r="C243" s="3">
        <f>IF(OR(B243="",B242=""),"",LN(B243/B242)*100)</f>
        <v/>
      </c>
      <c r="D243" s="3">
        <f>IF(COUNT(C241:C243)&lt;3,"",STDEV.S(C241:C243))</f>
        <v/>
      </c>
      <c r="E243" s="3">
        <f>IF(COUNT(C232:C243)&lt;12,"",STDEV.S(C232:C243))</f>
        <v/>
      </c>
    </row>
    <row r="244">
      <c r="A244" s="6" t="inlineStr">
        <is>
          <t>2010M3</t>
        </is>
      </c>
      <c r="B244" s="3" t="n">
        <v>1113.33695652173</v>
      </c>
      <c r="C244" s="3">
        <f>IF(OR(B244="",B243=""),"",LN(B244/B243)*100)</f>
        <v/>
      </c>
      <c r="D244" s="3">
        <f>IF(COUNT(C242:C244)&lt;3,"",STDEV.S(C242:C244))</f>
        <v/>
      </c>
      <c r="E244" s="3">
        <f>IF(COUNT(C233:C244)&lt;12,"",STDEV.S(C233:C244))</f>
        <v/>
      </c>
    </row>
    <row r="245">
      <c r="A245" s="6" t="inlineStr">
        <is>
          <t>2010M4</t>
        </is>
      </c>
      <c r="B245" s="3" t="n">
        <v>1148.6875</v>
      </c>
      <c r="C245" s="3">
        <f>IF(OR(B245="",B244=""),"",LN(B245/B244)*100)</f>
        <v/>
      </c>
      <c r="D245" s="3">
        <f>IF(COUNT(C243:C245)&lt;3,"",STDEV.S(C243:C245))</f>
        <v/>
      </c>
      <c r="E245" s="3">
        <f>IF(COUNT(C234:C245)&lt;12,"",STDEV.S(C234:C245))</f>
        <v/>
      </c>
    </row>
    <row r="246">
      <c r="A246" s="6" t="inlineStr">
        <is>
          <t>2010M5</t>
        </is>
      </c>
      <c r="B246" s="3" t="n">
        <v>1205.43421052631</v>
      </c>
      <c r="C246" s="3">
        <f>IF(OR(B246="",B245=""),"",LN(B246/B245)*100)</f>
        <v/>
      </c>
      <c r="D246" s="3">
        <f>IF(COUNT(C244:C246)&lt;3,"",STDEV.S(C244:C246))</f>
        <v/>
      </c>
      <c r="E246" s="3">
        <f>IF(COUNT(C235:C246)&lt;12,"",STDEV.S(C235:C246))</f>
        <v/>
      </c>
    </row>
    <row r="247">
      <c r="A247" s="6" t="inlineStr">
        <is>
          <t>2010M6</t>
        </is>
      </c>
      <c r="B247" s="3" t="n">
        <v>1232.92045454545</v>
      </c>
      <c r="C247" s="3">
        <f>IF(OR(B247="",B246=""),"",LN(B247/B246)*100)</f>
        <v/>
      </c>
      <c r="D247" s="3">
        <f>IF(COUNT(C245:C247)&lt;3,"",STDEV.S(C245:C247))</f>
        <v/>
      </c>
      <c r="E247" s="3">
        <f>IF(COUNT(C236:C247)&lt;12,"",STDEV.S(C236:C247))</f>
        <v/>
      </c>
    </row>
    <row r="248">
      <c r="A248" s="6" t="inlineStr">
        <is>
          <t>2010M7</t>
        </is>
      </c>
      <c r="B248" s="3" t="n">
        <v>1192.9659090909</v>
      </c>
      <c r="C248" s="3">
        <f>IF(OR(B248="",B247=""),"",LN(B248/B247)*100)</f>
        <v/>
      </c>
      <c r="D248" s="3">
        <f>IF(COUNT(C246:C248)&lt;3,"",STDEV.S(C246:C248))</f>
        <v/>
      </c>
      <c r="E248" s="3">
        <f>IF(COUNT(C237:C248)&lt;12,"",STDEV.S(C237:C248))</f>
        <v/>
      </c>
    </row>
    <row r="249">
      <c r="A249" s="6" t="inlineStr">
        <is>
          <t>2010M8</t>
        </is>
      </c>
      <c r="B249" s="3" t="n">
        <v>1215.80952380952</v>
      </c>
      <c r="C249" s="3">
        <f>IF(OR(B249="",B248=""),"",LN(B249/B248)*100)</f>
        <v/>
      </c>
      <c r="D249" s="3">
        <f>IF(COUNT(C247:C249)&lt;3,"",STDEV.S(C247:C249))</f>
        <v/>
      </c>
      <c r="E249" s="3">
        <f>IF(COUNT(C238:C249)&lt;12,"",STDEV.S(C238:C249))</f>
        <v/>
      </c>
    </row>
    <row r="250">
      <c r="A250" s="6" t="inlineStr">
        <is>
          <t>2010M9</t>
        </is>
      </c>
      <c r="B250" s="3" t="n">
        <v>1270.97727272727</v>
      </c>
      <c r="C250" s="3">
        <f>IF(OR(B250="",B249=""),"",LN(B250/B249)*100)</f>
        <v/>
      </c>
      <c r="D250" s="3">
        <f>IF(COUNT(C248:C250)&lt;3,"",STDEV.S(C248:C250))</f>
        <v/>
      </c>
      <c r="E250" s="3">
        <f>IF(COUNT(C239:C250)&lt;12,"",STDEV.S(C239:C250))</f>
        <v/>
      </c>
    </row>
    <row r="251">
      <c r="A251" s="6" t="inlineStr">
        <is>
          <t>2010M10</t>
        </is>
      </c>
      <c r="B251" s="3" t="n">
        <v>1342.02380952381</v>
      </c>
      <c r="C251" s="3">
        <f>IF(OR(B251="",B250=""),"",LN(B251/B250)*100)</f>
        <v/>
      </c>
      <c r="D251" s="3">
        <f>IF(COUNT(C249:C251)&lt;3,"",STDEV.S(C249:C251))</f>
        <v/>
      </c>
      <c r="E251" s="3">
        <f>IF(COUNT(C240:C251)&lt;12,"",STDEV.S(C240:C251))</f>
        <v/>
      </c>
    </row>
    <row r="252">
      <c r="A252" s="6" t="inlineStr">
        <is>
          <t>2010M11</t>
        </is>
      </c>
      <c r="B252" s="3" t="n">
        <v>1369.88636363636</v>
      </c>
      <c r="C252" s="3">
        <f>IF(OR(B252="",B251=""),"",LN(B252/B251)*100)</f>
        <v/>
      </c>
      <c r="D252" s="3">
        <f>IF(COUNT(C250:C252)&lt;3,"",STDEV.S(C250:C252))</f>
        <v/>
      </c>
      <c r="E252" s="3">
        <f>IF(COUNT(C241:C252)&lt;12,"",STDEV.S(C241:C252))</f>
        <v/>
      </c>
    </row>
    <row r="253">
      <c r="A253" s="6" t="inlineStr">
        <is>
          <t>2010M12</t>
        </is>
      </c>
      <c r="B253" s="3" t="n">
        <v>1390.55263157894</v>
      </c>
      <c r="C253" s="3">
        <f>IF(OR(B253="",B252=""),"",LN(B253/B252)*100)</f>
        <v/>
      </c>
      <c r="D253" s="3">
        <f>IF(COUNT(C251:C253)&lt;3,"",STDEV.S(C251:C253))</f>
        <v/>
      </c>
      <c r="E253" s="3">
        <f>IF(COUNT(C242:C253)&lt;12,"",STDEV.S(C242:C253))</f>
        <v/>
      </c>
    </row>
    <row r="254">
      <c r="A254" s="6" t="inlineStr">
        <is>
          <t>2011M1</t>
        </is>
      </c>
      <c r="B254" s="3" t="n">
        <v>1356.4</v>
      </c>
      <c r="C254" s="3">
        <f>IF(OR(B254="",B253=""),"",LN(B254/B253)*100)</f>
        <v/>
      </c>
      <c r="D254" s="3">
        <f>IF(COUNT(C252:C254)&lt;3,"",STDEV.S(C252:C254))</f>
        <v/>
      </c>
      <c r="E254" s="3">
        <f>IF(COUNT(C243:C254)&lt;12,"",STDEV.S(C243:C254))</f>
        <v/>
      </c>
    </row>
    <row r="255">
      <c r="A255" s="6" t="inlineStr">
        <is>
          <t>2011M2</t>
        </is>
      </c>
      <c r="B255" s="3" t="n">
        <v>1372.725</v>
      </c>
      <c r="C255" s="3">
        <f>IF(OR(B255="",B254=""),"",LN(B255/B254)*100)</f>
        <v/>
      </c>
      <c r="D255" s="3">
        <f>IF(COUNT(C253:C255)&lt;3,"",STDEV.S(C253:C255))</f>
        <v/>
      </c>
      <c r="E255" s="3">
        <f>IF(COUNT(C244:C255)&lt;12,"",STDEV.S(C244:C255))</f>
        <v/>
      </c>
    </row>
    <row r="256">
      <c r="A256" s="6" t="inlineStr">
        <is>
          <t>2011M3</t>
        </is>
      </c>
      <c r="B256" s="3" t="n">
        <v>1424.01086956521</v>
      </c>
      <c r="C256" s="3">
        <f>IF(OR(B256="",B255=""),"",LN(B256/B255)*100)</f>
        <v/>
      </c>
      <c r="D256" s="3">
        <f>IF(COUNT(C254:C256)&lt;3,"",STDEV.S(C254:C256))</f>
        <v/>
      </c>
      <c r="E256" s="3">
        <f>IF(COUNT(C245:C256)&lt;12,"",STDEV.S(C245:C256))</f>
        <v/>
      </c>
    </row>
    <row r="257">
      <c r="A257" s="6" t="inlineStr">
        <is>
          <t>2011M4</t>
        </is>
      </c>
      <c r="B257" s="3" t="n">
        <v>1473.80555555555</v>
      </c>
      <c r="C257" s="3">
        <f>IF(OR(B257="",B256=""),"",LN(B257/B256)*100)</f>
        <v/>
      </c>
      <c r="D257" s="3">
        <f>IF(COUNT(C255:C257)&lt;3,"",STDEV.S(C255:C257))</f>
        <v/>
      </c>
      <c r="E257" s="3">
        <f>IF(COUNT(C246:C257)&lt;12,"",STDEV.S(C246:C257))</f>
        <v/>
      </c>
    </row>
    <row r="258">
      <c r="A258" s="6" t="inlineStr">
        <is>
          <t>2011M5</t>
        </is>
      </c>
      <c r="B258" s="3" t="n">
        <v>1510.4375</v>
      </c>
      <c r="C258" s="3">
        <f>IF(OR(B258="",B257=""),"",LN(B258/B257)*100)</f>
        <v/>
      </c>
      <c r="D258" s="3">
        <f>IF(COUNT(C256:C258)&lt;3,"",STDEV.S(C256:C258))</f>
        <v/>
      </c>
      <c r="E258" s="3">
        <f>IF(COUNT(C247:C258)&lt;12,"",STDEV.S(C247:C258))</f>
        <v/>
      </c>
    </row>
    <row r="259">
      <c r="A259" s="6" t="inlineStr">
        <is>
          <t>2011M6</t>
        </is>
      </c>
      <c r="B259" s="3" t="n">
        <v>1528.65909090909</v>
      </c>
      <c r="C259" s="3">
        <f>IF(OR(B259="",B258=""),"",LN(B259/B258)*100)</f>
        <v/>
      </c>
      <c r="D259" s="3">
        <f>IF(COUNT(C257:C259)&lt;3,"",STDEV.S(C257:C259))</f>
        <v/>
      </c>
      <c r="E259" s="3">
        <f>IF(COUNT(C248:C259)&lt;12,"",STDEV.S(C248:C259))</f>
        <v/>
      </c>
    </row>
    <row r="260">
      <c r="A260" s="6" t="inlineStr">
        <is>
          <t>2011M7</t>
        </is>
      </c>
      <c r="B260" s="3" t="n">
        <v>1572.80952380952</v>
      </c>
      <c r="C260" s="3">
        <f>IF(OR(B260="",B259=""),"",LN(B260/B259)*100)</f>
        <v/>
      </c>
      <c r="D260" s="3">
        <f>IF(COUNT(C258:C260)&lt;3,"",STDEV.S(C258:C260))</f>
        <v/>
      </c>
      <c r="E260" s="3">
        <f>IF(COUNT(C249:C260)&lt;12,"",STDEV.S(C249:C260))</f>
        <v/>
      </c>
    </row>
    <row r="261">
      <c r="A261" s="6" t="inlineStr">
        <is>
          <t>2011M8</t>
        </is>
      </c>
      <c r="B261" s="3" t="n">
        <v>1755.80681818181</v>
      </c>
      <c r="C261" s="3">
        <f>IF(OR(B261="",B260=""),"",LN(B261/B260)*100)</f>
        <v/>
      </c>
      <c r="D261" s="3">
        <f>IF(COUNT(C259:C261)&lt;3,"",STDEV.S(C259:C261))</f>
        <v/>
      </c>
      <c r="E261" s="3">
        <f>IF(COUNT(C250:C261)&lt;12,"",STDEV.S(C250:C261))</f>
        <v/>
      </c>
    </row>
    <row r="262">
      <c r="A262" s="6" t="inlineStr">
        <is>
          <t>2011M9</t>
        </is>
      </c>
      <c r="B262" s="3" t="n">
        <v>1771.85227272727</v>
      </c>
      <c r="C262" s="3">
        <f>IF(OR(B262="",B261=""),"",LN(B262/B261)*100)</f>
        <v/>
      </c>
      <c r="D262" s="3">
        <f>IF(COUNT(C260:C262)&lt;3,"",STDEV.S(C260:C262))</f>
        <v/>
      </c>
      <c r="E262" s="3">
        <f>IF(COUNT(C251:C262)&lt;12,"",STDEV.S(C251:C262))</f>
        <v/>
      </c>
    </row>
    <row r="263">
      <c r="A263" s="6" t="inlineStr">
        <is>
          <t>2011M10</t>
        </is>
      </c>
      <c r="B263" s="3" t="n">
        <v>1665.21428571428</v>
      </c>
      <c r="C263" s="3">
        <f>IF(OR(B263="",B262=""),"",LN(B263/B262)*100)</f>
        <v/>
      </c>
      <c r="D263" s="3">
        <f>IF(COUNT(C261:C263)&lt;3,"",STDEV.S(C261:C263))</f>
        <v/>
      </c>
      <c r="E263" s="3">
        <f>IF(COUNT(C252:C263)&lt;12,"",STDEV.S(C252:C263))</f>
        <v/>
      </c>
    </row>
    <row r="264">
      <c r="A264" s="6" t="inlineStr">
        <is>
          <t>2011M11</t>
        </is>
      </c>
      <c r="B264" s="3" t="n">
        <v>1738.97727272727</v>
      </c>
      <c r="C264" s="3">
        <f>IF(OR(B264="",B263=""),"",LN(B264/B263)*100)</f>
        <v/>
      </c>
      <c r="D264" s="3">
        <f>IF(COUNT(C262:C264)&lt;3,"",STDEV.S(C262:C264))</f>
        <v/>
      </c>
      <c r="E264" s="3">
        <f>IF(COUNT(C253:C264)&lt;12,"",STDEV.S(C253:C264))</f>
        <v/>
      </c>
    </row>
    <row r="265">
      <c r="A265" s="6" t="inlineStr">
        <is>
          <t>2011M12</t>
        </is>
      </c>
      <c r="B265" s="3" t="n">
        <v>1652.30555555555</v>
      </c>
      <c r="C265" s="3">
        <f>IF(OR(B265="",B264=""),"",LN(B265/B264)*100)</f>
        <v/>
      </c>
      <c r="D265" s="3">
        <f>IF(COUNT(C263:C265)&lt;3,"",STDEV.S(C263:C265))</f>
        <v/>
      </c>
      <c r="E265" s="3">
        <f>IF(COUNT(C254:C265)&lt;12,"",STDEV.S(C254:C265))</f>
        <v/>
      </c>
    </row>
    <row r="266">
      <c r="A266" s="6" t="inlineStr">
        <is>
          <t>2012M1</t>
        </is>
      </c>
      <c r="B266" s="3" t="n">
        <v>1656.11904761904</v>
      </c>
      <c r="C266" s="3">
        <f>IF(OR(B266="",B265=""),"",LN(B266/B265)*100)</f>
        <v/>
      </c>
      <c r="D266" s="3">
        <f>IF(COUNT(C264:C266)&lt;3,"",STDEV.S(C264:C266))</f>
        <v/>
      </c>
      <c r="E266" s="3">
        <f>IF(COUNT(C255:C266)&lt;12,"",STDEV.S(C255:C266))</f>
        <v/>
      </c>
    </row>
    <row r="267">
      <c r="A267" s="6" t="inlineStr">
        <is>
          <t>2012M2</t>
        </is>
      </c>
      <c r="B267" s="3" t="n">
        <v>1742.61904761904</v>
      </c>
      <c r="C267" s="3">
        <f>IF(OR(B267="",B266=""),"",LN(B267/B266)*100)</f>
        <v/>
      </c>
      <c r="D267" s="3">
        <f>IF(COUNT(C265:C267)&lt;3,"",STDEV.S(C265:C267))</f>
        <v/>
      </c>
      <c r="E267" s="3">
        <f>IF(COUNT(C256:C267)&lt;12,"",STDEV.S(C256:C267))</f>
        <v/>
      </c>
    </row>
    <row r="268">
      <c r="A268" s="6" t="inlineStr">
        <is>
          <t>2012M3</t>
        </is>
      </c>
      <c r="B268" s="3" t="n">
        <v>1673.77272727272</v>
      </c>
      <c r="C268" s="3">
        <f>IF(OR(B268="",B267=""),"",LN(B268/B267)*100)</f>
        <v/>
      </c>
      <c r="D268" s="3">
        <f>IF(COUNT(C266:C268)&lt;3,"",STDEV.S(C266:C268))</f>
        <v/>
      </c>
      <c r="E268" s="3">
        <f>IF(COUNT(C257:C268)&lt;12,"",STDEV.S(C257:C268))</f>
        <v/>
      </c>
    </row>
    <row r="269">
      <c r="A269" s="6" t="inlineStr">
        <is>
          <t>2012M4</t>
        </is>
      </c>
      <c r="B269" s="3" t="n">
        <v>1650.06578947368</v>
      </c>
      <c r="C269" s="3">
        <f>IF(OR(B269="",B268=""),"",LN(B269/B268)*100)</f>
        <v/>
      </c>
      <c r="D269" s="3">
        <f>IF(COUNT(C267:C269)&lt;3,"",STDEV.S(C267:C269))</f>
        <v/>
      </c>
      <c r="E269" s="3">
        <f>IF(COUNT(C258:C269)&lt;12,"",STDEV.S(C258:C269))</f>
        <v/>
      </c>
    </row>
    <row r="270">
      <c r="A270" s="6" t="inlineStr">
        <is>
          <t>2012M5</t>
        </is>
      </c>
      <c r="B270" s="3" t="n">
        <v>1585.50454545454</v>
      </c>
      <c r="C270" s="3">
        <f>IF(OR(B270="",B269=""),"",LN(B270/B269)*100)</f>
        <v/>
      </c>
      <c r="D270" s="3">
        <f>IF(COUNT(C268:C270)&lt;3,"",STDEV.S(C268:C270))</f>
        <v/>
      </c>
      <c r="E270" s="3">
        <f>IF(COUNT(C259:C270)&lt;12,"",STDEV.S(C259:C270))</f>
        <v/>
      </c>
    </row>
    <row r="271">
      <c r="A271" s="6" t="inlineStr">
        <is>
          <t>2012M6</t>
        </is>
      </c>
      <c r="B271" s="3" t="n">
        <v>1596.69736842105</v>
      </c>
      <c r="C271" s="3">
        <f>IF(OR(B271="",B270=""),"",LN(B271/B270)*100)</f>
        <v/>
      </c>
      <c r="D271" s="3">
        <f>IF(COUNT(C269:C271)&lt;3,"",STDEV.S(C269:C271))</f>
        <v/>
      </c>
      <c r="E271" s="3">
        <f>IF(COUNT(C260:C271)&lt;12,"",STDEV.S(C260:C271))</f>
        <v/>
      </c>
    </row>
    <row r="272">
      <c r="A272" s="6" t="inlineStr">
        <is>
          <t>2012M7</t>
        </is>
      </c>
      <c r="B272" s="3" t="n">
        <v>1593.90909090909</v>
      </c>
      <c r="C272" s="3">
        <f>IF(OR(B272="",B271=""),"",LN(B272/B271)*100)</f>
        <v/>
      </c>
      <c r="D272" s="3">
        <f>IF(COUNT(C270:C272)&lt;3,"",STDEV.S(C270:C272))</f>
        <v/>
      </c>
      <c r="E272" s="3">
        <f>IF(COUNT(C261:C272)&lt;12,"",STDEV.S(C261:C272))</f>
        <v/>
      </c>
    </row>
    <row r="273">
      <c r="A273" s="6" t="inlineStr">
        <is>
          <t>2012M8</t>
        </is>
      </c>
      <c r="B273" s="3" t="n">
        <v>1626.03409090909</v>
      </c>
      <c r="C273" s="3">
        <f>IF(OR(B273="",B272=""),"",LN(B273/B272)*100)</f>
        <v/>
      </c>
      <c r="D273" s="3">
        <f>IF(COUNT(C271:C273)&lt;3,"",STDEV.S(C271:C273))</f>
        <v/>
      </c>
      <c r="E273" s="3">
        <f>IF(COUNT(C262:C273)&lt;12,"",STDEV.S(C262:C273))</f>
        <v/>
      </c>
    </row>
    <row r="274">
      <c r="A274" s="6" t="inlineStr">
        <is>
          <t>2012M9</t>
        </is>
      </c>
      <c r="B274" s="3" t="n">
        <v>1744.45</v>
      </c>
      <c r="C274" s="3">
        <f>IF(OR(B274="",B273=""),"",LN(B274/B273)*100)</f>
        <v/>
      </c>
      <c r="D274" s="3">
        <f>IF(COUNT(C272:C274)&lt;3,"",STDEV.S(C272:C274))</f>
        <v/>
      </c>
      <c r="E274" s="3">
        <f>IF(COUNT(C263:C274)&lt;12,"",STDEV.S(C263:C274))</f>
        <v/>
      </c>
    </row>
    <row r="275">
      <c r="A275" s="6" t="inlineStr">
        <is>
          <t>2012M10</t>
        </is>
      </c>
      <c r="B275" s="3" t="n">
        <v>1747.01086956521</v>
      </c>
      <c r="C275" s="3">
        <f>IF(OR(B275="",B274=""),"",LN(B275/B274)*100)</f>
        <v/>
      </c>
      <c r="D275" s="3">
        <f>IF(COUNT(C273:C275)&lt;3,"",STDEV.S(C273:C275))</f>
        <v/>
      </c>
      <c r="E275" s="3">
        <f>IF(COUNT(C264:C275)&lt;12,"",STDEV.S(C264:C275))</f>
        <v/>
      </c>
    </row>
    <row r="276">
      <c r="A276" s="6" t="inlineStr">
        <is>
          <t>2012M11</t>
        </is>
      </c>
      <c r="B276" s="3" t="n">
        <v>1721.13636363636</v>
      </c>
      <c r="C276" s="3">
        <f>IF(OR(B276="",B275=""),"",LN(B276/B275)*100)</f>
        <v/>
      </c>
      <c r="D276" s="3">
        <f>IF(COUNT(C274:C276)&lt;3,"",STDEV.S(C274:C276))</f>
        <v/>
      </c>
      <c r="E276" s="3">
        <f>IF(COUNT(C265:C276)&lt;12,"",STDEV.S(C265:C276))</f>
        <v/>
      </c>
    </row>
    <row r="277">
      <c r="A277" s="6" t="inlineStr">
        <is>
          <t>2012M12</t>
        </is>
      </c>
      <c r="B277" s="3" t="n">
        <v>1688.5294117647</v>
      </c>
      <c r="C277" s="3">
        <f>IF(OR(B277="",B276=""),"",LN(B277/B276)*100)</f>
        <v/>
      </c>
      <c r="D277" s="3">
        <f>IF(COUNT(C275:C277)&lt;3,"",STDEV.S(C275:C277))</f>
        <v/>
      </c>
      <c r="E277" s="3">
        <f>IF(COUNT(C266:C277)&lt;12,"",STDEV.S(C266:C277))</f>
        <v/>
      </c>
    </row>
    <row r="278">
      <c r="A278" s="6" t="inlineStr">
        <is>
          <t>2013M1</t>
        </is>
      </c>
      <c r="B278" s="3" t="n">
        <v>1670.95454545454</v>
      </c>
      <c r="C278" s="3">
        <f>IF(OR(B278="",B277=""),"",LN(B278/B277)*100)</f>
        <v/>
      </c>
      <c r="D278" s="3">
        <f>IF(COUNT(C276:C278)&lt;3,"",STDEV.S(C276:C278))</f>
        <v/>
      </c>
      <c r="E278" s="3">
        <f>IF(COUNT(C267:C278)&lt;12,"",STDEV.S(C267:C278))</f>
        <v/>
      </c>
    </row>
    <row r="279">
      <c r="A279" s="6" t="inlineStr">
        <is>
          <t>2013M2</t>
        </is>
      </c>
      <c r="B279" s="3" t="n">
        <v>1627.5875</v>
      </c>
      <c r="C279" s="3">
        <f>IF(OR(B279="",B278=""),"",LN(B279/B278)*100)</f>
        <v/>
      </c>
      <c r="D279" s="3">
        <f>IF(COUNT(C277:C279)&lt;3,"",STDEV.S(C277:C279))</f>
        <v/>
      </c>
      <c r="E279" s="3">
        <f>IF(COUNT(C268:C279)&lt;12,"",STDEV.S(C268:C279))</f>
        <v/>
      </c>
    </row>
    <row r="280">
      <c r="A280" s="6" t="inlineStr">
        <is>
          <t>2013M3</t>
        </is>
      </c>
      <c r="B280" s="3" t="n">
        <v>1592.8625</v>
      </c>
      <c r="C280" s="3">
        <f>IF(OR(B280="",B279=""),"",LN(B280/B279)*100)</f>
        <v/>
      </c>
      <c r="D280" s="3">
        <f>IF(COUNT(C278:C280)&lt;3,"",STDEV.S(C278:C280))</f>
        <v/>
      </c>
      <c r="E280" s="3">
        <f>IF(COUNT(C269:C280)&lt;12,"",STDEV.S(C269:C280))</f>
        <v/>
      </c>
    </row>
    <row r="281">
      <c r="A281" s="6" t="inlineStr">
        <is>
          <t>2013M4</t>
        </is>
      </c>
      <c r="B281" s="3" t="n">
        <v>1485.08333333333</v>
      </c>
      <c r="C281" s="3">
        <f>IF(OR(B281="",B280=""),"",LN(B281/B280)*100)</f>
        <v/>
      </c>
      <c r="D281" s="3">
        <f>IF(COUNT(C279:C281)&lt;3,"",STDEV.S(C279:C281))</f>
        <v/>
      </c>
      <c r="E281" s="3">
        <f>IF(COUNT(C270:C281)&lt;12,"",STDEV.S(C270:C281))</f>
        <v/>
      </c>
    </row>
    <row r="282">
      <c r="A282" s="6" t="inlineStr">
        <is>
          <t>2013M5</t>
        </is>
      </c>
      <c r="B282" s="3" t="n">
        <v>1413.5</v>
      </c>
      <c r="C282" s="3">
        <f>IF(OR(B282="",B281=""),"",LN(B282/B281)*100)</f>
        <v/>
      </c>
      <c r="D282" s="3">
        <f>IF(COUNT(C280:C282)&lt;3,"",STDEV.S(C280:C282))</f>
        <v/>
      </c>
      <c r="E282" s="3">
        <f>IF(COUNT(C271:C282)&lt;12,"",STDEV.S(C271:C282))</f>
        <v/>
      </c>
    </row>
    <row r="283">
      <c r="A283" s="6" t="inlineStr">
        <is>
          <t>2013M6</t>
        </is>
      </c>
      <c r="B283" s="3" t="n">
        <v>1342.3625</v>
      </c>
      <c r="C283" s="3">
        <f>IF(OR(B283="",B282=""),"",LN(B283/B282)*100)</f>
        <v/>
      </c>
      <c r="D283" s="3">
        <f>IF(COUNT(C281:C283)&lt;3,"",STDEV.S(C281:C283))</f>
        <v/>
      </c>
      <c r="E283" s="3">
        <f>IF(COUNT(C272:C283)&lt;12,"",STDEV.S(C272:C283))</f>
        <v/>
      </c>
    </row>
    <row r="284">
      <c r="A284" s="6" t="inlineStr">
        <is>
          <t>2013M7</t>
        </is>
      </c>
      <c r="B284" s="3" t="n">
        <v>1286.72391304347</v>
      </c>
      <c r="C284" s="3">
        <f>IF(OR(B284="",B283=""),"",LN(B284/B283)*100)</f>
        <v/>
      </c>
      <c r="D284" s="3">
        <f>IF(COUNT(C282:C284)&lt;3,"",STDEV.S(C282:C284))</f>
        <v/>
      </c>
      <c r="E284" s="3">
        <f>IF(COUNT(C273:C284)&lt;12,"",STDEV.S(C273:C284))</f>
        <v/>
      </c>
    </row>
    <row r="285">
      <c r="A285" s="6" t="inlineStr">
        <is>
          <t>2013M8</t>
        </is>
      </c>
      <c r="B285" s="3" t="n">
        <v>1347.09523809523</v>
      </c>
      <c r="C285" s="3">
        <f>IF(OR(B285="",B284=""),"",LN(B285/B284)*100)</f>
        <v/>
      </c>
      <c r="D285" s="3">
        <f>IF(COUNT(C283:C285)&lt;3,"",STDEV.S(C283:C285))</f>
        <v/>
      </c>
      <c r="E285" s="3">
        <f>IF(COUNT(C274:C285)&lt;12,"",STDEV.S(C274:C285))</f>
        <v/>
      </c>
    </row>
    <row r="286">
      <c r="A286" s="6" t="inlineStr">
        <is>
          <t>2013M9</t>
        </is>
      </c>
      <c r="B286" s="3" t="n">
        <v>1348.79761904761</v>
      </c>
      <c r="C286" s="3">
        <f>IF(OR(B286="",B285=""),"",LN(B286/B285)*100)</f>
        <v/>
      </c>
      <c r="D286" s="3">
        <f>IF(COUNT(C284:C286)&lt;3,"",STDEV.S(C284:C286))</f>
        <v/>
      </c>
      <c r="E286" s="3">
        <f>IF(COUNT(C275:C286)&lt;12,"",STDEV.S(C275:C286))</f>
        <v/>
      </c>
    </row>
    <row r="287">
      <c r="A287" s="6" t="inlineStr">
        <is>
          <t>2013M10</t>
        </is>
      </c>
      <c r="B287" s="3" t="n">
        <v>1316.18478260869</v>
      </c>
      <c r="C287" s="3">
        <f>IF(OR(B287="",B286=""),"",LN(B287/B286)*100)</f>
        <v/>
      </c>
      <c r="D287" s="3">
        <f>IF(COUNT(C285:C287)&lt;3,"",STDEV.S(C285:C287))</f>
        <v/>
      </c>
      <c r="E287" s="3">
        <f>IF(COUNT(C276:C287)&lt;12,"",STDEV.S(C276:C287))</f>
        <v/>
      </c>
    </row>
    <row r="288">
      <c r="A288" s="6" t="inlineStr">
        <is>
          <t>2013M11</t>
        </is>
      </c>
      <c r="B288" s="3" t="n">
        <v>1275.82142857142</v>
      </c>
      <c r="C288" s="3">
        <f>IF(OR(B288="",B287=""),"",LN(B288/B287)*100)</f>
        <v/>
      </c>
      <c r="D288" s="3">
        <f>IF(COUNT(C286:C288)&lt;3,"",STDEV.S(C286:C288))</f>
        <v/>
      </c>
      <c r="E288" s="3">
        <f>IF(COUNT(C277:C288)&lt;12,"",STDEV.S(C277:C288))</f>
        <v/>
      </c>
    </row>
    <row r="289">
      <c r="A289" s="6" t="inlineStr">
        <is>
          <t>2013M12</t>
        </is>
      </c>
      <c r="B289" s="3" t="n">
        <v>1225.40277777777</v>
      </c>
      <c r="C289" s="3">
        <f>IF(OR(B289="",B288=""),"",LN(B289/B288)*100)</f>
        <v/>
      </c>
      <c r="D289" s="3">
        <f>IF(COUNT(C287:C289)&lt;3,"",STDEV.S(C287:C289))</f>
        <v/>
      </c>
      <c r="E289" s="3">
        <f>IF(COUNT(C278:C289)&lt;12,"",STDEV.S(C278:C289))</f>
        <v/>
      </c>
    </row>
    <row r="290">
      <c r="A290" s="6" t="inlineStr">
        <is>
          <t>2014M1</t>
        </is>
      </c>
      <c r="B290" s="3" t="n">
        <v>1244.79545454545</v>
      </c>
      <c r="C290" s="3">
        <f>IF(OR(B290="",B289=""),"",LN(B290/B289)*100)</f>
        <v/>
      </c>
      <c r="D290" s="3">
        <f>IF(COUNT(C288:C290)&lt;3,"",STDEV.S(C288:C290))</f>
        <v/>
      </c>
      <c r="E290" s="3">
        <f>IF(COUNT(C279:C290)&lt;12,"",STDEV.S(C279:C290))</f>
        <v/>
      </c>
    </row>
    <row r="291">
      <c r="A291" s="6" t="inlineStr">
        <is>
          <t>2014M2</t>
        </is>
      </c>
      <c r="B291" s="3" t="n">
        <v>1300.975</v>
      </c>
      <c r="C291" s="3">
        <f>IF(OR(B291="",B290=""),"",LN(B291/B290)*100)</f>
        <v/>
      </c>
      <c r="D291" s="3">
        <f>IF(COUNT(C289:C291)&lt;3,"",STDEV.S(C289:C291))</f>
        <v/>
      </c>
      <c r="E291" s="3">
        <f>IF(COUNT(C280:C291)&lt;12,"",STDEV.S(C280:C291))</f>
        <v/>
      </c>
    </row>
    <row r="292">
      <c r="A292" s="6" t="inlineStr">
        <is>
          <t>2014M3</t>
        </is>
      </c>
      <c r="B292" s="3" t="n">
        <v>1336.08333333333</v>
      </c>
      <c r="C292" s="3">
        <f>IF(OR(B292="",B291=""),"",LN(B292/B291)*100)</f>
        <v/>
      </c>
      <c r="D292" s="3">
        <f>IF(COUNT(C290:C292)&lt;3,"",STDEV.S(C290:C292))</f>
        <v/>
      </c>
      <c r="E292" s="3">
        <f>IF(COUNT(C281:C292)&lt;12,"",STDEV.S(C281:C292))</f>
        <v/>
      </c>
    </row>
    <row r="293">
      <c r="A293" s="6" t="inlineStr">
        <is>
          <t>2014M4</t>
        </is>
      </c>
      <c r="B293" s="3" t="n">
        <v>1299</v>
      </c>
      <c r="C293" s="3">
        <f>IF(OR(B293="",B292=""),"",LN(B293/B292)*100)</f>
        <v/>
      </c>
      <c r="D293" s="3">
        <f>IF(COUNT(C291:C293)&lt;3,"",STDEV.S(C291:C293))</f>
        <v/>
      </c>
      <c r="E293" s="3">
        <f>IF(COUNT(C282:C293)&lt;12,"",STDEV.S(C282:C293))</f>
        <v/>
      </c>
    </row>
    <row r="294">
      <c r="A294" s="6" t="inlineStr">
        <is>
          <t>2014M5</t>
        </is>
      </c>
      <c r="B294" s="3" t="n">
        <v>1287.525</v>
      </c>
      <c r="C294" s="3">
        <f>IF(OR(B294="",B293=""),"",LN(B294/B293)*100)</f>
        <v/>
      </c>
      <c r="D294" s="3">
        <f>IF(COUNT(C292:C294)&lt;3,"",STDEV.S(C292:C294))</f>
        <v/>
      </c>
      <c r="E294" s="3">
        <f>IF(COUNT(C283:C294)&lt;12,"",STDEV.S(C283:C294))</f>
        <v/>
      </c>
    </row>
    <row r="295">
      <c r="A295" s="6" t="inlineStr">
        <is>
          <t>2014M6</t>
        </is>
      </c>
      <c r="B295" s="3" t="n">
        <v>1279.09523809523</v>
      </c>
      <c r="C295" s="3">
        <f>IF(OR(B295="",B294=""),"",LN(B295/B294)*100)</f>
        <v/>
      </c>
      <c r="D295" s="3">
        <f>IF(COUNT(C293:C295)&lt;3,"",STDEV.S(C293:C295))</f>
        <v/>
      </c>
      <c r="E295" s="3">
        <f>IF(COUNT(C284:C295)&lt;12,"",STDEV.S(C284:C295))</f>
        <v/>
      </c>
    </row>
    <row r="296">
      <c r="A296" s="6" t="inlineStr">
        <is>
          <t>2014M7</t>
        </is>
      </c>
      <c r="B296" s="3" t="n">
        <v>1310.96739130434</v>
      </c>
      <c r="C296" s="3">
        <f>IF(OR(B296="",B295=""),"",LN(B296/B295)*100)</f>
        <v/>
      </c>
      <c r="D296" s="3">
        <f>IF(COUNT(C294:C296)&lt;3,"",STDEV.S(C294:C296))</f>
        <v/>
      </c>
      <c r="E296" s="3">
        <f>IF(COUNT(C285:C296)&lt;12,"",STDEV.S(C285:C296))</f>
        <v/>
      </c>
    </row>
    <row r="297">
      <c r="A297" s="6" t="inlineStr">
        <is>
          <t>2014M8</t>
        </is>
      </c>
      <c r="B297" s="3" t="n">
        <v>1295.9875</v>
      </c>
      <c r="C297" s="3">
        <f>IF(OR(B297="",B296=""),"",LN(B297/B296)*100)</f>
        <v/>
      </c>
      <c r="D297" s="3">
        <f>IF(COUNT(C295:C297)&lt;3,"",STDEV.S(C295:C297))</f>
        <v/>
      </c>
      <c r="E297" s="3">
        <f>IF(COUNT(C286:C297)&lt;12,"",STDEV.S(C286:C297))</f>
        <v/>
      </c>
    </row>
    <row r="298">
      <c r="A298" s="6" t="inlineStr">
        <is>
          <t>2014M9</t>
        </is>
      </c>
      <c r="B298" s="3" t="n">
        <v>1238.81818181818</v>
      </c>
      <c r="C298" s="3">
        <f>IF(OR(B298="",B297=""),"",LN(B298/B297)*100)</f>
        <v/>
      </c>
      <c r="D298" s="3">
        <f>IF(COUNT(C296:C298)&lt;3,"",STDEV.S(C296:C298))</f>
        <v/>
      </c>
      <c r="E298" s="3">
        <f>IF(COUNT(C287:C298)&lt;12,"",STDEV.S(C287:C298))</f>
        <v/>
      </c>
    </row>
    <row r="299">
      <c r="A299" s="6" t="inlineStr">
        <is>
          <t>2014M10</t>
        </is>
      </c>
      <c r="B299" s="3" t="n">
        <v>1222.48913043478</v>
      </c>
      <c r="C299" s="3">
        <f>IF(OR(B299="",B298=""),"",LN(B299/B298)*100)</f>
        <v/>
      </c>
      <c r="D299" s="3">
        <f>IF(COUNT(C297:C299)&lt;3,"",STDEV.S(C297:C299))</f>
        <v/>
      </c>
      <c r="E299" s="3">
        <f>IF(COUNT(C288:C299)&lt;12,"",STDEV.S(C288:C299))</f>
        <v/>
      </c>
    </row>
    <row r="300">
      <c r="A300" s="6" t="inlineStr">
        <is>
          <t>2014M11</t>
        </is>
      </c>
      <c r="B300" s="3" t="n">
        <v>1176.3</v>
      </c>
      <c r="C300" s="3">
        <f>IF(OR(B300="",B299=""),"",LN(B300/B299)*100)</f>
        <v/>
      </c>
      <c r="D300" s="3">
        <f>IF(COUNT(C298:C300)&lt;3,"",STDEV.S(C298:C300))</f>
        <v/>
      </c>
      <c r="E300" s="3">
        <f>IF(COUNT(C289:C300)&lt;12,"",STDEV.S(C289:C300))</f>
        <v/>
      </c>
    </row>
    <row r="301">
      <c r="A301" s="6" t="inlineStr">
        <is>
          <t>2014M12</t>
        </is>
      </c>
      <c r="B301" s="3" t="n">
        <v>1202.28947368421</v>
      </c>
      <c r="C301" s="3">
        <f>IF(OR(B301="",B300=""),"",LN(B301/B300)*100)</f>
        <v/>
      </c>
      <c r="D301" s="3">
        <f>IF(COUNT(C299:C301)&lt;3,"",STDEV.S(C299:C301))</f>
        <v/>
      </c>
      <c r="E301" s="3">
        <f>IF(COUNT(C290:C301)&lt;12,"",STDEV.S(C290:C301))</f>
        <v/>
      </c>
    </row>
    <row r="302">
      <c r="A302" s="6" t="inlineStr">
        <is>
          <t>2015M1</t>
        </is>
      </c>
      <c r="B302" s="3" t="n">
        <v>1251.84523809523</v>
      </c>
      <c r="C302" s="3">
        <f>IF(OR(B302="",B301=""),"",LN(B302/B301)*100)</f>
        <v/>
      </c>
      <c r="D302" s="3">
        <f>IF(COUNT(C300:C302)&lt;3,"",STDEV.S(C300:C302))</f>
        <v/>
      </c>
      <c r="E302" s="3">
        <f>IF(COUNT(C291:C302)&lt;12,"",STDEV.S(C291:C302))</f>
        <v/>
      </c>
    </row>
    <row r="303">
      <c r="A303" s="6" t="inlineStr">
        <is>
          <t>2015M2</t>
        </is>
      </c>
      <c r="B303" s="3" t="n">
        <v>1227.1875</v>
      </c>
      <c r="C303" s="3">
        <f>IF(OR(B303="",B302=""),"",LN(B303/B302)*100)</f>
        <v/>
      </c>
      <c r="D303" s="3">
        <f>IF(COUNT(C301:C303)&lt;3,"",STDEV.S(C301:C303))</f>
        <v/>
      </c>
      <c r="E303" s="3">
        <f>IF(COUNT(C292:C303)&lt;12,"",STDEV.S(C292:C303))</f>
        <v/>
      </c>
    </row>
    <row r="304">
      <c r="A304" s="6" t="inlineStr">
        <is>
          <t>2015M3</t>
        </is>
      </c>
      <c r="B304" s="3" t="n">
        <v>1178.62954545454</v>
      </c>
      <c r="C304" s="3">
        <f>IF(OR(B304="",B303=""),"",LN(B304/B303)*100)</f>
        <v/>
      </c>
      <c r="D304" s="3">
        <f>IF(COUNT(C302:C304)&lt;3,"",STDEV.S(C302:C304))</f>
        <v/>
      </c>
      <c r="E304" s="3">
        <f>IF(COUNT(C293:C304)&lt;12,"",STDEV.S(C293:C304))</f>
        <v/>
      </c>
    </row>
    <row r="305">
      <c r="A305" s="6" t="inlineStr">
        <is>
          <t>2015M4</t>
        </is>
      </c>
      <c r="B305" s="3" t="n">
        <v>1197.91</v>
      </c>
      <c r="C305" s="3">
        <f>IF(OR(B305="",B304=""),"",LN(B305/B304)*100)</f>
        <v/>
      </c>
      <c r="D305" s="3">
        <f>IF(COUNT(C303:C305)&lt;3,"",STDEV.S(C303:C305))</f>
        <v/>
      </c>
      <c r="E305" s="3">
        <f>IF(COUNT(C294:C305)&lt;12,"",STDEV.S(C294:C305))</f>
        <v/>
      </c>
    </row>
    <row r="306">
      <c r="A306" s="6" t="inlineStr">
        <is>
          <t>2015M5</t>
        </is>
      </c>
      <c r="B306" s="3" t="n">
        <v>1199.05263157894</v>
      </c>
      <c r="C306" s="3">
        <f>IF(OR(B306="",B305=""),"",LN(B306/B305)*100)</f>
        <v/>
      </c>
      <c r="D306" s="3">
        <f>IF(COUNT(C304:C306)&lt;3,"",STDEV.S(C304:C306))</f>
        <v/>
      </c>
      <c r="E306" s="3">
        <f>IF(COUNT(C295:C306)&lt;12,"",STDEV.S(C295:C306))</f>
        <v/>
      </c>
    </row>
    <row r="307">
      <c r="A307" s="6" t="inlineStr">
        <is>
          <t>2015M6</t>
        </is>
      </c>
      <c r="B307" s="3" t="n">
        <v>1181.50454545454</v>
      </c>
      <c r="C307" s="3">
        <f>IF(OR(B307="",B306=""),"",LN(B307/B306)*100)</f>
        <v/>
      </c>
      <c r="D307" s="3">
        <f>IF(COUNT(C305:C307)&lt;3,"",STDEV.S(C305:C307))</f>
        <v/>
      </c>
      <c r="E307" s="3">
        <f>IF(COUNT(C296:C307)&lt;12,"",STDEV.S(C296:C307))</f>
        <v/>
      </c>
    </row>
    <row r="308">
      <c r="A308" s="6" t="inlineStr">
        <is>
          <t>2015M7</t>
        </is>
      </c>
      <c r="B308" s="3" t="n">
        <v>1130.03695652173</v>
      </c>
      <c r="C308" s="3">
        <f>IF(OR(B308="",B307=""),"",LN(B308/B307)*100)</f>
        <v/>
      </c>
      <c r="D308" s="3">
        <f>IF(COUNT(C306:C308)&lt;3,"",STDEV.S(C306:C308))</f>
        <v/>
      </c>
      <c r="E308" s="3">
        <f>IF(COUNT(C297:C308)&lt;12,"",STDEV.S(C297:C308))</f>
        <v/>
      </c>
    </row>
    <row r="309">
      <c r="A309" s="6" t="inlineStr">
        <is>
          <t>2015M8</t>
        </is>
      </c>
      <c r="B309" s="3" t="n">
        <v>1117.475</v>
      </c>
      <c r="C309" s="3">
        <f>IF(OR(B309="",B308=""),"",LN(B309/B308)*100)</f>
        <v/>
      </c>
      <c r="D309" s="3">
        <f>IF(COUNT(C307:C309)&lt;3,"",STDEV.S(C307:C309))</f>
        <v/>
      </c>
      <c r="E309" s="3">
        <f>IF(COUNT(C298:C309)&lt;12,"",STDEV.S(C298:C309))</f>
        <v/>
      </c>
    </row>
    <row r="310">
      <c r="A310" s="6" t="inlineStr">
        <is>
          <t>2015M9</t>
        </is>
      </c>
      <c r="B310" s="3" t="n">
        <v>1124.53181818181</v>
      </c>
      <c r="C310" s="3">
        <f>IF(OR(B310="",B309=""),"",LN(B310/B309)*100)</f>
        <v/>
      </c>
      <c r="D310" s="3">
        <f>IF(COUNT(C308:C310)&lt;3,"",STDEV.S(C308:C310))</f>
        <v/>
      </c>
      <c r="E310" s="3">
        <f>IF(COUNT(C299:C310)&lt;12,"",STDEV.S(C299:C310))</f>
        <v/>
      </c>
    </row>
    <row r="311">
      <c r="A311" s="6" t="inlineStr">
        <is>
          <t>2015M10</t>
        </is>
      </c>
      <c r="B311" s="3" t="n">
        <v>1159.24545454545</v>
      </c>
      <c r="C311" s="3">
        <f>IF(OR(B311="",B310=""),"",LN(B311/B310)*100)</f>
        <v/>
      </c>
      <c r="D311" s="3">
        <f>IF(COUNT(C309:C311)&lt;3,"",STDEV.S(C309:C311))</f>
        <v/>
      </c>
      <c r="E311" s="3">
        <f>IF(COUNT(C300:C311)&lt;12,"",STDEV.S(C300:C311))</f>
        <v/>
      </c>
    </row>
    <row r="312">
      <c r="A312" s="6" t="inlineStr">
        <is>
          <t>2015M11</t>
        </is>
      </c>
      <c r="B312" s="3" t="n">
        <v>1085.70238095238</v>
      </c>
      <c r="C312" s="3">
        <f>IF(OR(B312="",B311=""),"",LN(B312/B311)*100)</f>
        <v/>
      </c>
      <c r="D312" s="3">
        <f>IF(COUNT(C310:C312)&lt;3,"",STDEV.S(C310:C312))</f>
        <v/>
      </c>
      <c r="E312" s="3">
        <f>IF(COUNT(C301:C312)&lt;12,"",STDEV.S(C301:C312))</f>
        <v/>
      </c>
    </row>
    <row r="313">
      <c r="A313" s="6" t="inlineStr">
        <is>
          <t>2015M12</t>
        </is>
      </c>
      <c r="B313" s="3" t="n">
        <v>1068.25263157894</v>
      </c>
      <c r="C313" s="3">
        <f>IF(OR(B313="",B312=""),"",LN(B313/B312)*100)</f>
        <v/>
      </c>
      <c r="D313" s="3">
        <f>IF(COUNT(C311:C313)&lt;3,"",STDEV.S(C311:C313))</f>
        <v/>
      </c>
      <c r="E313" s="3">
        <f>IF(COUNT(C302:C313)&lt;12,"",STDEV.S(C302:C313))</f>
        <v/>
      </c>
    </row>
    <row r="314">
      <c r="A314" s="6" t="inlineStr">
        <is>
          <t>2016M1</t>
        </is>
      </c>
      <c r="B314" s="3" t="n">
        <v>1097.375</v>
      </c>
      <c r="C314" s="3">
        <f>IF(OR(B314="",B313=""),"",LN(B314/B313)*100)</f>
        <v/>
      </c>
      <c r="D314" s="3">
        <f>IF(COUNT(C312:C314)&lt;3,"",STDEV.S(C312:C314))</f>
        <v/>
      </c>
      <c r="E314" s="3">
        <f>IF(COUNT(C303:C314)&lt;12,"",STDEV.S(C303:C314))</f>
        <v/>
      </c>
    </row>
    <row r="315">
      <c r="A315" s="6" t="inlineStr">
        <is>
          <t>2016M2</t>
        </is>
      </c>
      <c r="B315" s="3" t="n">
        <v>1199.9119047619</v>
      </c>
      <c r="C315" s="3">
        <f>IF(OR(B315="",B314=""),"",LN(B315/B314)*100)</f>
        <v/>
      </c>
      <c r="D315" s="3">
        <f>IF(COUNT(C313:C315)&lt;3,"",STDEV.S(C313:C315))</f>
        <v/>
      </c>
      <c r="E315" s="3">
        <f>IF(COUNT(C304:C315)&lt;12,"",STDEV.S(C304:C315))</f>
        <v/>
      </c>
    </row>
    <row r="316">
      <c r="A316" s="6" t="inlineStr">
        <is>
          <t>2016M3</t>
        </is>
      </c>
      <c r="B316" s="3" t="n">
        <v>1246.33809523809</v>
      </c>
      <c r="C316" s="3">
        <f>IF(OR(B316="",B315=""),"",LN(B316/B315)*100)</f>
        <v/>
      </c>
      <c r="D316" s="3">
        <f>IF(COUNT(C314:C316)&lt;3,"",STDEV.S(C314:C316))</f>
        <v/>
      </c>
      <c r="E316" s="3">
        <f>IF(COUNT(C305:C316)&lt;12,"",STDEV.S(C305:C316))</f>
        <v/>
      </c>
    </row>
    <row r="317">
      <c r="A317" s="6" t="inlineStr">
        <is>
          <t>2016M4</t>
        </is>
      </c>
      <c r="B317" s="3" t="n">
        <v>1242.2619047619</v>
      </c>
      <c r="C317" s="3">
        <f>IF(OR(B317="",B316=""),"",LN(B317/B316)*100)</f>
        <v/>
      </c>
      <c r="D317" s="3">
        <f>IF(COUNT(C315:C317)&lt;3,"",STDEV.S(C315:C317))</f>
        <v/>
      </c>
      <c r="E317" s="3">
        <f>IF(COUNT(C306:C317)&lt;12,"",STDEV.S(C306:C317))</f>
        <v/>
      </c>
    </row>
    <row r="318">
      <c r="A318" s="6" t="inlineStr">
        <is>
          <t>2016M5</t>
        </is>
      </c>
      <c r="B318" s="3" t="n">
        <v>1259.3975</v>
      </c>
      <c r="C318" s="3">
        <f>IF(OR(B318="",B317=""),"",LN(B318/B317)*100)</f>
        <v/>
      </c>
      <c r="D318" s="3">
        <f>IF(COUNT(C316:C318)&lt;3,"",STDEV.S(C316:C318))</f>
        <v/>
      </c>
      <c r="E318" s="3">
        <f>IF(COUNT(C307:C318)&lt;12,"",STDEV.S(C307:C318))</f>
        <v/>
      </c>
    </row>
    <row r="319">
      <c r="A319" s="6" t="inlineStr">
        <is>
          <t>2016M6</t>
        </is>
      </c>
      <c r="B319" s="3" t="n">
        <v>1276.40454545454</v>
      </c>
      <c r="C319" s="3">
        <f>IF(OR(B319="",B318=""),"",LN(B319/B318)*100)</f>
        <v/>
      </c>
      <c r="D319" s="3">
        <f>IF(COUNT(C317:C319)&lt;3,"",STDEV.S(C317:C319))</f>
        <v/>
      </c>
      <c r="E319" s="3">
        <f>IF(COUNT(C308:C319)&lt;12,"",STDEV.S(C308:C319))</f>
        <v/>
      </c>
    </row>
    <row r="320">
      <c r="A320" s="6" t="inlineStr">
        <is>
          <t>2016M7</t>
        </is>
      </c>
      <c r="B320" s="3" t="n">
        <v>1337.32619047619</v>
      </c>
      <c r="C320" s="3">
        <f>IF(OR(B320="",B319=""),"",LN(B320/B319)*100)</f>
        <v/>
      </c>
      <c r="D320" s="3">
        <f>IF(COUNT(C318:C320)&lt;3,"",STDEV.S(C318:C320))</f>
        <v/>
      </c>
      <c r="E320" s="3">
        <f>IF(COUNT(C309:C320)&lt;12,"",STDEV.S(C309:C320))</f>
        <v/>
      </c>
    </row>
    <row r="321">
      <c r="A321" s="6" t="inlineStr">
        <is>
          <t>2016M8</t>
        </is>
      </c>
      <c r="B321" s="3" t="n">
        <v>1341.08863636363</v>
      </c>
      <c r="C321" s="3">
        <f>IF(OR(B321="",B320=""),"",LN(B321/B320)*100)</f>
        <v/>
      </c>
      <c r="D321" s="3">
        <f>IF(COUNT(C319:C321)&lt;3,"",STDEV.S(C319:C321))</f>
        <v/>
      </c>
      <c r="E321" s="3">
        <f>IF(COUNT(C310:C321)&lt;12,"",STDEV.S(C310:C321))</f>
        <v/>
      </c>
    </row>
    <row r="322">
      <c r="A322" s="6" t="inlineStr">
        <is>
          <t>2016M9</t>
        </is>
      </c>
      <c r="B322" s="3" t="n">
        <v>1326.02954545454</v>
      </c>
      <c r="C322" s="3">
        <f>IF(OR(B322="",B321=""),"",LN(B322/B321)*100)</f>
        <v/>
      </c>
      <c r="D322" s="3">
        <f>IF(COUNT(C320:C322)&lt;3,"",STDEV.S(C320:C322))</f>
        <v/>
      </c>
      <c r="E322" s="3">
        <f>IF(COUNT(C311:C322)&lt;12,"",STDEV.S(C311:C322))</f>
        <v/>
      </c>
    </row>
    <row r="323">
      <c r="A323" s="6" t="inlineStr">
        <is>
          <t>2016M10</t>
        </is>
      </c>
      <c r="B323" s="3" t="n">
        <v>1266.56904761904</v>
      </c>
      <c r="C323" s="3">
        <f>IF(OR(B323="",B322=""),"",LN(B323/B322)*100)</f>
        <v/>
      </c>
      <c r="D323" s="3">
        <f>IF(COUNT(C321:C323)&lt;3,"",STDEV.S(C321:C323))</f>
        <v/>
      </c>
      <c r="E323" s="3">
        <f>IF(COUNT(C312:C323)&lt;12,"",STDEV.S(C312:C323))</f>
        <v/>
      </c>
    </row>
    <row r="324">
      <c r="A324" s="6" t="inlineStr">
        <is>
          <t>2016M11</t>
        </is>
      </c>
      <c r="B324" s="3" t="n">
        <v>1235.97954545454</v>
      </c>
      <c r="C324" s="3">
        <f>IF(OR(B324="",B323=""),"",LN(B324/B323)*100)</f>
        <v/>
      </c>
      <c r="D324" s="3">
        <f>IF(COUNT(C322:C324)&lt;3,"",STDEV.S(C322:C324))</f>
        <v/>
      </c>
      <c r="E324" s="3">
        <f>IF(COUNT(C313:C324)&lt;12,"",STDEV.S(C313:C324))</f>
        <v/>
      </c>
    </row>
    <row r="325">
      <c r="A325" s="6" t="inlineStr">
        <is>
          <t>2016M12</t>
        </is>
      </c>
      <c r="B325" s="3" t="n">
        <v>1151.40277777777</v>
      </c>
      <c r="C325" s="3">
        <f>IF(OR(B325="",B324=""),"",LN(B325/B324)*100)</f>
        <v/>
      </c>
      <c r="D325" s="3">
        <f>IF(COUNT(C323:C325)&lt;3,"",STDEV.S(C323:C325))</f>
        <v/>
      </c>
      <c r="E325" s="3">
        <f>IF(COUNT(C314:C325)&lt;12,"",STDEV.S(C314:C325))</f>
        <v/>
      </c>
    </row>
    <row r="326">
      <c r="A326" s="6" t="inlineStr">
        <is>
          <t>2017M1</t>
        </is>
      </c>
      <c r="B326" s="3" t="n">
        <v>1192.61666666666</v>
      </c>
      <c r="C326" s="3">
        <f>IF(OR(B326="",B325=""),"",LN(B326/B325)*100)</f>
        <v/>
      </c>
      <c r="D326" s="3">
        <f>IF(COUNT(C324:C326)&lt;3,"",STDEV.S(C324:C326))</f>
        <v/>
      </c>
      <c r="E326" s="3">
        <f>IF(COUNT(C315:C326)&lt;12,"",STDEV.S(C315:C326))</f>
        <v/>
      </c>
    </row>
    <row r="327">
      <c r="A327" s="6" t="inlineStr">
        <is>
          <t>2017M2</t>
        </is>
      </c>
      <c r="B327" s="3" t="n">
        <v>1234.3575</v>
      </c>
      <c r="C327" s="3">
        <f>IF(OR(B327="",B326=""),"",LN(B327/B326)*100)</f>
        <v/>
      </c>
      <c r="D327" s="3">
        <f>IF(COUNT(C325:C327)&lt;3,"",STDEV.S(C325:C327))</f>
        <v/>
      </c>
      <c r="E327" s="3">
        <f>IF(COUNT(C316:C327)&lt;12,"",STDEV.S(C316:C327))</f>
        <v/>
      </c>
    </row>
    <row r="328">
      <c r="A328" s="6" t="inlineStr">
        <is>
          <t>2017M3</t>
        </is>
      </c>
      <c r="B328" s="3" t="n">
        <v>1231.09347826087</v>
      </c>
      <c r="C328" s="3">
        <f>IF(OR(B328="",B327=""),"",LN(B328/B327)*100)</f>
        <v/>
      </c>
      <c r="D328" s="3">
        <f>IF(COUNT(C326:C328)&lt;3,"",STDEV.S(C326:C328))</f>
        <v/>
      </c>
      <c r="E328" s="3">
        <f>IF(COUNT(C317:C328)&lt;12,"",STDEV.S(C317:C328))</f>
        <v/>
      </c>
    </row>
    <row r="329">
      <c r="A329" s="6" t="inlineStr">
        <is>
          <t>2017M4</t>
        </is>
      </c>
      <c r="B329" s="3" t="n">
        <v>1265.62777777777</v>
      </c>
      <c r="C329" s="3">
        <f>IF(OR(B329="",B328=""),"",LN(B329/B328)*100)</f>
        <v/>
      </c>
      <c r="D329" s="3">
        <f>IF(COUNT(C327:C329)&lt;3,"",STDEV.S(C327:C329))</f>
        <v/>
      </c>
      <c r="E329" s="3">
        <f>IF(COUNT(C318:C329)&lt;12,"",STDEV.S(C318:C329))</f>
        <v/>
      </c>
    </row>
    <row r="330">
      <c r="A330" s="6" t="inlineStr">
        <is>
          <t>2017M5</t>
        </is>
      </c>
      <c r="B330" s="3" t="n">
        <v>1245.00476190476</v>
      </c>
      <c r="C330" s="3">
        <f>IF(OR(B330="",B329=""),"",LN(B330/B329)*100)</f>
        <v/>
      </c>
      <c r="D330" s="3">
        <f>IF(COUNT(C328:C330)&lt;3,"",STDEV.S(C328:C330))</f>
        <v/>
      </c>
      <c r="E330" s="3">
        <f>IF(COUNT(C319:C330)&lt;12,"",STDEV.S(C319:C330))</f>
        <v/>
      </c>
    </row>
    <row r="331">
      <c r="A331" s="6" t="inlineStr">
        <is>
          <t>2017M6</t>
        </is>
      </c>
      <c r="B331" s="3" t="n">
        <v>1260.25681818181</v>
      </c>
      <c r="C331" s="3">
        <f>IF(OR(B331="",B330=""),"",LN(B331/B330)*100)</f>
        <v/>
      </c>
      <c r="D331" s="3">
        <f>IF(COUNT(C329:C331)&lt;3,"",STDEV.S(C329:C331))</f>
        <v/>
      </c>
      <c r="E331" s="3">
        <f>IF(COUNT(C320:C331)&lt;12,"",STDEV.S(C320:C331))</f>
        <v/>
      </c>
    </row>
    <row r="332">
      <c r="A332" s="6" t="inlineStr">
        <is>
          <t>2017M7</t>
        </is>
      </c>
      <c r="B332" s="3" t="n">
        <v>1236.22142857142</v>
      </c>
      <c r="C332" s="3">
        <f>IF(OR(B332="",B331=""),"",LN(B332/B331)*100)</f>
        <v/>
      </c>
      <c r="D332" s="3">
        <f>IF(COUNT(C330:C332)&lt;3,"",STDEV.S(C330:C332))</f>
        <v/>
      </c>
      <c r="E332" s="3">
        <f>IF(COUNT(C321:C332)&lt;12,"",STDEV.S(C321:C332))</f>
        <v/>
      </c>
    </row>
    <row r="333">
      <c r="A333" s="6" t="inlineStr">
        <is>
          <t>2017M8</t>
        </is>
      </c>
      <c r="B333" s="3" t="n">
        <v>1282.3159090909</v>
      </c>
      <c r="C333" s="3">
        <f>IF(OR(B333="",B332=""),"",LN(B333/B332)*100)</f>
        <v/>
      </c>
      <c r="D333" s="3">
        <f>IF(COUNT(C331:C333)&lt;3,"",STDEV.S(C331:C333))</f>
        <v/>
      </c>
      <c r="E333" s="3">
        <f>IF(COUNT(C322:C333)&lt;12,"",STDEV.S(C322:C333))</f>
        <v/>
      </c>
    </row>
    <row r="334">
      <c r="A334" s="6" t="inlineStr">
        <is>
          <t>2017M9</t>
        </is>
      </c>
      <c r="B334" s="3" t="n">
        <v>1314.97857142857</v>
      </c>
      <c r="C334" s="3">
        <f>IF(OR(B334="",B333=""),"",LN(B334/B333)*100)</f>
        <v/>
      </c>
      <c r="D334" s="3">
        <f>IF(COUNT(C332:C334)&lt;3,"",STDEV.S(C332:C334))</f>
        <v/>
      </c>
      <c r="E334" s="3">
        <f>IF(COUNT(C323:C334)&lt;12,"",STDEV.S(C323:C334))</f>
        <v/>
      </c>
    </row>
    <row r="335">
      <c r="A335" s="6" t="inlineStr">
        <is>
          <t>2017M10</t>
        </is>
      </c>
      <c r="B335" s="3" t="n">
        <v>1279.51363636363</v>
      </c>
      <c r="C335" s="3">
        <f>IF(OR(B335="",B334=""),"",LN(B335/B334)*100)</f>
        <v/>
      </c>
      <c r="D335" s="3">
        <f>IF(COUNT(C333:C335)&lt;3,"",STDEV.S(C333:C335))</f>
        <v/>
      </c>
      <c r="E335" s="3">
        <f>IF(COUNT(C324:C335)&lt;12,"",STDEV.S(C324:C335))</f>
        <v/>
      </c>
    </row>
    <row r="336">
      <c r="A336" s="6" t="inlineStr">
        <is>
          <t>2017M11</t>
        </is>
      </c>
      <c r="B336" s="3" t="n">
        <v>1282.28409090909</v>
      </c>
      <c r="C336" s="3">
        <f>IF(OR(B336="",B335=""),"",LN(B336/B335)*100)</f>
        <v/>
      </c>
      <c r="D336" s="3">
        <f>IF(COUNT(C334:C336)&lt;3,"",STDEV.S(C334:C336))</f>
        <v/>
      </c>
      <c r="E336" s="3">
        <f>IF(COUNT(C325:C336)&lt;12,"",STDEV.S(C325:C336))</f>
        <v/>
      </c>
    </row>
    <row r="337">
      <c r="A337" s="6" t="inlineStr">
        <is>
          <t>2017M12</t>
        </is>
      </c>
      <c r="B337" s="3" t="n">
        <v>1261.25588235294</v>
      </c>
      <c r="C337" s="3">
        <f>IF(OR(B337="",B336=""),"",LN(B337/B336)*100)</f>
        <v/>
      </c>
      <c r="D337" s="3">
        <f>IF(COUNT(C335:C337)&lt;3,"",STDEV.S(C335:C337))</f>
        <v/>
      </c>
      <c r="E337" s="3">
        <f>IF(COUNT(C326:C337)&lt;12,"",STDEV.S(C326:C337))</f>
        <v/>
      </c>
    </row>
    <row r="338">
      <c r="A338" s="6" t="inlineStr">
        <is>
          <t>2018M1</t>
        </is>
      </c>
      <c r="B338" s="3" t="n">
        <v>1331.6659090909</v>
      </c>
      <c r="C338" s="3">
        <f>IF(OR(B338="",B337=""),"",LN(B338/B337)*100)</f>
        <v/>
      </c>
      <c r="D338" s="3">
        <f>IF(COUNT(C336:C338)&lt;3,"",STDEV.S(C336:C338))</f>
        <v/>
      </c>
      <c r="E338" s="3">
        <f>IF(COUNT(C327:C338)&lt;12,"",STDEV.S(C327:C338))</f>
        <v/>
      </c>
    </row>
    <row r="339">
      <c r="A339" s="6" t="inlineStr">
        <is>
          <t>2018M2</t>
        </is>
      </c>
      <c r="B339" s="3" t="n">
        <v>1331.525</v>
      </c>
      <c r="C339" s="3">
        <f>IF(OR(B339="",B338=""),"",LN(B339/B338)*100)</f>
        <v/>
      </c>
      <c r="D339" s="3">
        <f>IF(COUNT(C337:C339)&lt;3,"",STDEV.S(C337:C339))</f>
        <v/>
      </c>
      <c r="E339" s="3">
        <f>IF(COUNT(C328:C339)&lt;12,"",STDEV.S(C328:C339))</f>
        <v/>
      </c>
    </row>
    <row r="340">
      <c r="A340" s="6" t="inlineStr">
        <is>
          <t>2018M3</t>
        </is>
      </c>
      <c r="B340" s="3" t="n">
        <v>1324.65714285714</v>
      </c>
      <c r="C340" s="3">
        <f>IF(OR(B340="",B339=""),"",LN(B340/B339)*100)</f>
        <v/>
      </c>
      <c r="D340" s="3">
        <f>IF(COUNT(C338:C340)&lt;3,"",STDEV.S(C338:C340))</f>
        <v/>
      </c>
      <c r="E340" s="3">
        <f>IF(COUNT(C329:C340)&lt;12,"",STDEV.S(C329:C340))</f>
        <v/>
      </c>
    </row>
    <row r="341">
      <c r="A341" s="6" t="inlineStr">
        <is>
          <t>2018M4</t>
        </is>
      </c>
      <c r="B341" s="3" t="n">
        <v>1334.74</v>
      </c>
      <c r="C341" s="3">
        <f>IF(OR(B341="",B340=""),"",LN(B341/B340)*100)</f>
        <v/>
      </c>
      <c r="D341" s="3">
        <f>IF(COUNT(C339:C341)&lt;3,"",STDEV.S(C339:C341))</f>
        <v/>
      </c>
      <c r="E341" s="3">
        <f>IF(COUNT(C330:C341)&lt;12,"",STDEV.S(C330:C341))</f>
        <v/>
      </c>
    </row>
    <row r="342">
      <c r="A342" s="6" t="inlineStr">
        <is>
          <t>2018M5</t>
        </is>
      </c>
      <c r="B342" s="3" t="n">
        <v>1303.02619047619</v>
      </c>
      <c r="C342" s="3">
        <f>IF(OR(B342="",B341=""),"",LN(B342/B341)*100)</f>
        <v/>
      </c>
      <c r="D342" s="3">
        <f>IF(COUNT(C340:C342)&lt;3,"",STDEV.S(C340:C342))</f>
        <v/>
      </c>
      <c r="E342" s="3">
        <f>IF(COUNT(C331:C342)&lt;12,"",STDEV.S(C331:C342))</f>
        <v/>
      </c>
    </row>
    <row r="343">
      <c r="A343" s="6" t="inlineStr">
        <is>
          <t>2018M6</t>
        </is>
      </c>
      <c r="B343" s="3" t="n">
        <v>1281.56666666666</v>
      </c>
      <c r="C343" s="3">
        <f>IF(OR(B343="",B342=""),"",LN(B343/B342)*100)</f>
        <v/>
      </c>
      <c r="D343" s="3">
        <f>IF(COUNT(C341:C343)&lt;3,"",STDEV.S(C341:C343))</f>
        <v/>
      </c>
      <c r="E343" s="3">
        <f>IF(COUNT(C332:C343)&lt;12,"",STDEV.S(C332:C343))</f>
        <v/>
      </c>
    </row>
    <row r="344">
      <c r="A344" s="6" t="inlineStr">
        <is>
          <t>2018M7</t>
        </is>
      </c>
      <c r="B344" s="3" t="n">
        <v>1238.525</v>
      </c>
      <c r="C344" s="3">
        <f>IF(OR(B344="",B343=""),"",LN(B344/B343)*100)</f>
        <v/>
      </c>
      <c r="D344" s="3">
        <f>IF(COUNT(C342:C344)&lt;3,"",STDEV.S(C342:C344))</f>
        <v/>
      </c>
      <c r="E344" s="3">
        <f>IF(COUNT(C333:C344)&lt;12,"",STDEV.S(C333:C344))</f>
        <v/>
      </c>
    </row>
    <row r="345">
      <c r="A345" s="6" t="inlineStr">
        <is>
          <t>2018M8</t>
        </is>
      </c>
      <c r="B345" s="3" t="n">
        <v>1201.24545454545</v>
      </c>
      <c r="C345" s="3">
        <f>IF(OR(B345="",B344=""),"",LN(B345/B344)*100)</f>
        <v/>
      </c>
      <c r="D345" s="3">
        <f>IF(COUNT(C343:C345)&lt;3,"",STDEV.S(C343:C345))</f>
        <v/>
      </c>
      <c r="E345" s="3">
        <f>IF(COUNT(C334:C345)&lt;12,"",STDEV.S(C334:C345))</f>
        <v/>
      </c>
    </row>
    <row r="346">
      <c r="A346" s="6" t="inlineStr">
        <is>
          <t>2018M9</t>
        </is>
      </c>
      <c r="B346" s="3" t="n">
        <v>1198.4725</v>
      </c>
      <c r="C346" s="3">
        <f>IF(OR(B346="",B345=""),"",LN(B346/B345)*100)</f>
        <v/>
      </c>
      <c r="D346" s="3">
        <f>IF(COUNT(C344:C346)&lt;3,"",STDEV.S(C344:C346))</f>
        <v/>
      </c>
      <c r="E346" s="3">
        <f>IF(COUNT(C335:C346)&lt;12,"",STDEV.S(C335:C346))</f>
        <v/>
      </c>
    </row>
    <row r="347">
      <c r="A347" s="6" t="inlineStr">
        <is>
          <t>2018M10</t>
        </is>
      </c>
      <c r="B347" s="3" t="n">
        <v>1215.39347826087</v>
      </c>
      <c r="C347" s="3">
        <f>IF(OR(B347="",B346=""),"",LN(B347/B346)*100)</f>
        <v/>
      </c>
      <c r="D347" s="3">
        <f>IF(COUNT(C345:C347)&lt;3,"",STDEV.S(C345:C347))</f>
        <v/>
      </c>
      <c r="E347" s="3">
        <f>IF(COUNT(C336:C347)&lt;12,"",STDEV.S(C336:C347))</f>
        <v/>
      </c>
    </row>
    <row r="348">
      <c r="A348" s="6" t="inlineStr">
        <is>
          <t>2018M11</t>
        </is>
      </c>
      <c r="B348" s="3" t="n">
        <v>1220.94545454545</v>
      </c>
      <c r="C348" s="3">
        <f>IF(OR(B348="",B347=""),"",LN(B348/B347)*100)</f>
        <v/>
      </c>
      <c r="D348" s="3">
        <f>IF(COUNT(C346:C348)&lt;3,"",STDEV.S(C346:C348))</f>
        <v/>
      </c>
      <c r="E348" s="3">
        <f>IF(COUNT(C337:C348)&lt;12,"",STDEV.S(C337:C348))</f>
        <v/>
      </c>
    </row>
    <row r="349">
      <c r="A349" s="6" t="inlineStr">
        <is>
          <t>2018M12</t>
        </is>
      </c>
      <c r="B349" s="3" t="n">
        <v>1247.92352941176</v>
      </c>
      <c r="C349" s="3">
        <f>IF(OR(B349="",B348=""),"",LN(B349/B348)*100)</f>
        <v/>
      </c>
      <c r="D349" s="3">
        <f>IF(COUNT(C347:C349)&lt;3,"",STDEV.S(C347:C349))</f>
        <v/>
      </c>
      <c r="E349" s="3">
        <f>IF(COUNT(C338:C349)&lt;12,"",STDEV.S(C338:C349))</f>
        <v/>
      </c>
    </row>
    <row r="350">
      <c r="A350" s="6" t="inlineStr">
        <is>
          <t>2019M1</t>
        </is>
      </c>
      <c r="B350" s="3" t="n">
        <v>1291.74545454545</v>
      </c>
      <c r="C350" s="3">
        <f>IF(OR(B350="",B349=""),"",LN(B350/B349)*100)</f>
        <v/>
      </c>
      <c r="D350" s="3">
        <f>IF(COUNT(C348:C350)&lt;3,"",STDEV.S(C348:C350))</f>
        <v/>
      </c>
      <c r="E350" s="3">
        <f>IF(COUNT(C339:C350)&lt;12,"",STDEV.S(C339:C350))</f>
        <v/>
      </c>
    </row>
    <row r="351">
      <c r="A351" s="6" t="inlineStr">
        <is>
          <t>2019M2</t>
        </is>
      </c>
      <c r="B351" s="3" t="n">
        <v>1320.065</v>
      </c>
      <c r="C351" s="3">
        <f>IF(OR(B351="",B350=""),"",LN(B351/B350)*100)</f>
        <v/>
      </c>
      <c r="D351" s="3">
        <f>IF(COUNT(C349:C351)&lt;3,"",STDEV.S(C349:C351))</f>
        <v/>
      </c>
      <c r="E351" s="3">
        <f>IF(COUNT(C340:C351)&lt;12,"",STDEV.S(C340:C351))</f>
        <v/>
      </c>
    </row>
    <row r="352">
      <c r="A352" s="6" t="inlineStr">
        <is>
          <t>2019M3</t>
        </is>
      </c>
      <c r="B352" s="3" t="n">
        <v>1300.89761904761</v>
      </c>
      <c r="C352" s="3">
        <f>IF(OR(B352="",B351=""),"",LN(B352/B351)*100)</f>
        <v/>
      </c>
      <c r="D352" s="3">
        <f>IF(COUNT(C350:C352)&lt;3,"",STDEV.S(C350:C352))</f>
        <v/>
      </c>
      <c r="E352" s="3">
        <f>IF(COUNT(C341:C352)&lt;12,"",STDEV.S(C341:C352))</f>
        <v/>
      </c>
    </row>
    <row r="353">
      <c r="A353" s="6" t="inlineStr">
        <is>
          <t>2019M4</t>
        </is>
      </c>
      <c r="B353" s="3" t="n">
        <v>1286.445</v>
      </c>
      <c r="C353" s="3">
        <f>IF(OR(B353="",B352=""),"",LN(B353/B352)*100)</f>
        <v/>
      </c>
      <c r="D353" s="3">
        <f>IF(COUNT(C351:C353)&lt;3,"",STDEV.S(C351:C353))</f>
        <v/>
      </c>
      <c r="E353" s="3">
        <f>IF(COUNT(C342:C353)&lt;12,"",STDEV.S(C342:C353))</f>
        <v/>
      </c>
    </row>
    <row r="354">
      <c r="A354" s="6" t="inlineStr">
        <is>
          <t>2019M5</t>
        </is>
      </c>
      <c r="B354" s="3" t="n">
        <v>1283.94761904761</v>
      </c>
      <c r="C354" s="3">
        <f>IF(OR(B354="",B353=""),"",LN(B354/B353)*100)</f>
        <v/>
      </c>
      <c r="D354" s="3">
        <f>IF(COUNT(C352:C354)&lt;3,"",STDEV.S(C352:C354))</f>
        <v/>
      </c>
      <c r="E354" s="3">
        <f>IF(COUNT(C343:C354)&lt;12,"",STDEV.S(C343:C354))</f>
        <v/>
      </c>
    </row>
    <row r="355">
      <c r="A355" s="6" t="inlineStr">
        <is>
          <t>2019M6</t>
        </is>
      </c>
      <c r="B355" s="3" t="n">
        <v>1359.0425</v>
      </c>
      <c r="C355" s="3">
        <f>IF(OR(B355="",B354=""),"",LN(B355/B354)*100)</f>
        <v/>
      </c>
      <c r="D355" s="3">
        <f>IF(COUNT(C353:C355)&lt;3,"",STDEV.S(C353:C355))</f>
        <v/>
      </c>
      <c r="E355" s="3">
        <f>IF(COUNT(C344:C355)&lt;12,"",STDEV.S(C344:C355))</f>
        <v/>
      </c>
    </row>
    <row r="356">
      <c r="A356" s="6" t="inlineStr">
        <is>
          <t>2019M7</t>
        </is>
      </c>
      <c r="B356" s="3" t="n">
        <v>1412.97826086956</v>
      </c>
      <c r="C356" s="3">
        <f>IF(OR(B356="",B355=""),"",LN(B356/B355)*100)</f>
        <v/>
      </c>
      <c r="D356" s="3">
        <f>IF(COUNT(C354:C356)&lt;3,"",STDEV.S(C354:C356))</f>
        <v/>
      </c>
      <c r="E356" s="3">
        <f>IF(COUNT(C345:C356)&lt;12,"",STDEV.S(C345:C356))</f>
        <v/>
      </c>
    </row>
    <row r="357">
      <c r="A357" s="6" t="inlineStr">
        <is>
          <t>2019M8</t>
        </is>
      </c>
      <c r="B357" s="3" t="n">
        <v>1498.79761904761</v>
      </c>
      <c r="C357" s="3">
        <f>IF(OR(B357="",B356=""),"",LN(B357/B356)*100)</f>
        <v/>
      </c>
      <c r="D357" s="3">
        <f>IF(COUNT(C355:C357)&lt;3,"",STDEV.S(C355:C357))</f>
        <v/>
      </c>
      <c r="E357" s="3">
        <f>IF(COUNT(C346:C357)&lt;12,"",STDEV.S(C346:C357))</f>
        <v/>
      </c>
    </row>
    <row r="358">
      <c r="A358" s="6" t="inlineStr">
        <is>
          <t>2019M9</t>
        </is>
      </c>
      <c r="B358" s="3" t="n">
        <v>1511.31428571428</v>
      </c>
      <c r="C358" s="3">
        <f>IF(OR(B358="",B357=""),"",LN(B358/B357)*100)</f>
        <v/>
      </c>
      <c r="D358" s="3">
        <f>IF(COUNT(C356:C358)&lt;3,"",STDEV.S(C356:C358))</f>
        <v/>
      </c>
      <c r="E358" s="3">
        <f>IF(COUNT(C347:C358)&lt;12,"",STDEV.S(C347:C358))</f>
        <v/>
      </c>
    </row>
    <row r="359">
      <c r="A359" s="6" t="inlineStr">
        <is>
          <t>2019M10</t>
        </is>
      </c>
      <c r="B359" s="3" t="n">
        <v>1494.8</v>
      </c>
      <c r="C359" s="3">
        <f>IF(OR(B359="",B358=""),"",LN(B359/B358)*100)</f>
        <v/>
      </c>
      <c r="D359" s="3">
        <f>IF(COUNT(C357:C359)&lt;3,"",STDEV.S(C357:C359))</f>
        <v/>
      </c>
      <c r="E359" s="3">
        <f>IF(COUNT(C348:C359)&lt;12,"",STDEV.S(C348:C359))</f>
        <v/>
      </c>
    </row>
    <row r="360">
      <c r="A360" s="6" t="inlineStr">
        <is>
          <t>2019M11</t>
        </is>
      </c>
      <c r="B360" s="3" t="n">
        <v>1470.01666666666</v>
      </c>
      <c r="C360" s="3">
        <f>IF(OR(B360="",B359=""),"",LN(B360/B359)*100)</f>
        <v/>
      </c>
      <c r="D360" s="3">
        <f>IF(COUNT(C358:C360)&lt;3,"",STDEV.S(C358:C360))</f>
        <v/>
      </c>
      <c r="E360" s="3">
        <f>IF(COUNT(C349:C360)&lt;12,"",STDEV.S(C349:C360))</f>
        <v/>
      </c>
    </row>
    <row r="361">
      <c r="A361" s="6" t="inlineStr">
        <is>
          <t>2019M12</t>
        </is>
      </c>
      <c r="B361" s="3" t="n">
        <v>1476.04444444444</v>
      </c>
      <c r="C361" s="3">
        <f>IF(OR(B361="",B360=""),"",LN(B361/B360)*100)</f>
        <v/>
      </c>
      <c r="D361" s="3">
        <f>IF(COUNT(C359:C361)&lt;3,"",STDEV.S(C359:C361))</f>
        <v/>
      </c>
      <c r="E361" s="3">
        <f>IF(COUNT(C350:C361)&lt;12,"",STDEV.S(C350:C361))</f>
        <v/>
      </c>
    </row>
    <row r="362">
      <c r="A362" s="6" t="inlineStr">
        <is>
          <t>2020M1</t>
        </is>
      </c>
      <c r="B362" s="3" t="n">
        <v>1560.67272727272</v>
      </c>
      <c r="C362" s="3">
        <f>IF(OR(B362="",B361=""),"",LN(B362/B361)*100)</f>
        <v/>
      </c>
      <c r="D362" s="3">
        <f>IF(COUNT(C360:C362)&lt;3,"",STDEV.S(C360:C362))</f>
        <v/>
      </c>
      <c r="E362" s="3">
        <f>IF(COUNT(C351:C362)&lt;12,"",STDEV.S(C351:C362))</f>
        <v/>
      </c>
    </row>
    <row r="363">
      <c r="A363" s="6" t="inlineStr">
        <is>
          <t>2020M2</t>
        </is>
      </c>
      <c r="B363" s="3" t="n">
        <v>1597.1025</v>
      </c>
      <c r="C363" s="3">
        <f>IF(OR(B363="",B362=""),"",LN(B363/B362)*100)</f>
        <v/>
      </c>
      <c r="D363" s="3">
        <f>IF(COUNT(C361:C363)&lt;3,"",STDEV.S(C361:C363))</f>
        <v/>
      </c>
      <c r="E363" s="3">
        <f>IF(COUNT(C352:C363)&lt;12,"",STDEV.S(C352:C363))</f>
        <v/>
      </c>
    </row>
    <row r="364">
      <c r="A364" s="6" t="inlineStr">
        <is>
          <t>2020M3</t>
        </is>
      </c>
      <c r="B364" s="3" t="n">
        <v>1591.92727272727</v>
      </c>
      <c r="C364" s="3">
        <f>IF(OR(B364="",B363=""),"",LN(B364/B363)*100)</f>
        <v/>
      </c>
      <c r="D364" s="3">
        <f>IF(COUNT(C362:C364)&lt;3,"",STDEV.S(C362:C364))</f>
        <v/>
      </c>
      <c r="E364" s="3">
        <f>IF(COUNT(C353:C364)&lt;12,"",STDEV.S(C353:C364))</f>
        <v/>
      </c>
    </row>
    <row r="365">
      <c r="A365" s="6" t="inlineStr">
        <is>
          <t>2020M4</t>
        </is>
      </c>
      <c r="B365" s="3" t="n">
        <v>1682.93</v>
      </c>
      <c r="C365" s="3">
        <f>IF(OR(B365="",B364=""),"",LN(B365/B364)*100)</f>
        <v/>
      </c>
      <c r="D365" s="3">
        <f>IF(COUNT(C363:C365)&lt;3,"",STDEV.S(C363:C365))</f>
        <v/>
      </c>
      <c r="E365" s="3">
        <f>IF(COUNT(C354:C365)&lt;12,"",STDEV.S(C354:C365))</f>
        <v/>
      </c>
    </row>
    <row r="366">
      <c r="A366" s="6" t="inlineStr">
        <is>
          <t>2020M5</t>
        </is>
      </c>
      <c r="B366" s="3" t="n">
        <v>1716.38157894736</v>
      </c>
      <c r="C366" s="3">
        <f>IF(OR(B366="",B365=""),"",LN(B366/B365)*100)</f>
        <v/>
      </c>
      <c r="D366" s="3">
        <f>IF(COUNT(C364:C366)&lt;3,"",STDEV.S(C364:C366))</f>
        <v/>
      </c>
      <c r="E366" s="3">
        <f>IF(COUNT(C355:C366)&lt;12,"",STDEV.S(C355:C366))</f>
        <v/>
      </c>
    </row>
    <row r="367">
      <c r="A367" s="6" t="inlineStr">
        <is>
          <t>2020M6</t>
        </is>
      </c>
      <c r="B367" s="3" t="n">
        <v>1732.21818181818</v>
      </c>
      <c r="C367" s="3">
        <f>IF(OR(B367="",B366=""),"",LN(B367/B366)*100)</f>
        <v/>
      </c>
      <c r="D367" s="3">
        <f>IF(COUNT(C365:C367)&lt;3,"",STDEV.S(C365:C367))</f>
        <v/>
      </c>
      <c r="E367" s="3">
        <f>IF(COUNT(C356:C367)&lt;12,"",STDEV.S(C356:C367))</f>
        <v/>
      </c>
    </row>
    <row r="368">
      <c r="A368" s="6" t="inlineStr">
        <is>
          <t>2020M7</t>
        </is>
      </c>
      <c r="B368" s="3" t="n">
        <v>1843.31304347826</v>
      </c>
      <c r="C368" s="3">
        <f>IF(OR(B368="",B367=""),"",LN(B368/B367)*100)</f>
        <v/>
      </c>
      <c r="D368" s="3">
        <f>IF(COUNT(C366:C368)&lt;3,"",STDEV.S(C366:C368))</f>
        <v/>
      </c>
      <c r="E368" s="3">
        <f>IF(COUNT(C357:C368)&lt;12,"",STDEV.S(C357:C368))</f>
        <v/>
      </c>
    </row>
    <row r="369">
      <c r="A369" s="6" t="inlineStr">
        <is>
          <t>2020M8</t>
        </is>
      </c>
      <c r="B369" s="3" t="n">
        <v>1968.03095238095</v>
      </c>
      <c r="C369" s="3">
        <f>IF(OR(B369="",B368=""),"",LN(B369/B368)*100)</f>
        <v/>
      </c>
      <c r="D369" s="3">
        <f>IF(COUNT(C367:C369)&lt;3,"",STDEV.S(C367:C369))</f>
        <v/>
      </c>
      <c r="E369" s="3">
        <f>IF(COUNT(C358:C369)&lt;12,"",STDEV.S(C358:C369))</f>
        <v/>
      </c>
    </row>
    <row r="370">
      <c r="A370" s="6" t="inlineStr">
        <is>
          <t>2020M9</t>
        </is>
      </c>
      <c r="B370" s="3" t="n">
        <v>1922.21363636363</v>
      </c>
      <c r="C370" s="3">
        <f>IF(OR(B370="",B369=""),"",LN(B370/B369)*100)</f>
        <v/>
      </c>
      <c r="D370" s="3">
        <f>IF(COUNT(C368:C370)&lt;3,"",STDEV.S(C368:C370))</f>
        <v/>
      </c>
      <c r="E370" s="3">
        <f>IF(COUNT(C359:C370)&lt;12,"",STDEV.S(C359:C370))</f>
        <v/>
      </c>
    </row>
    <row r="371">
      <c r="A371" s="6" t="inlineStr">
        <is>
          <t>2020M10</t>
        </is>
      </c>
      <c r="B371" s="3" t="n">
        <v>1900.275</v>
      </c>
      <c r="C371" s="3">
        <f>IF(OR(B371="",B370=""),"",LN(B371/B370)*100)</f>
        <v/>
      </c>
      <c r="D371" s="3">
        <f>IF(COUNT(C369:C371)&lt;3,"",STDEV.S(C369:C371))</f>
        <v/>
      </c>
      <c r="E371" s="3">
        <f>IF(COUNT(C360:C371)&lt;12,"",STDEV.S(C360:C371))</f>
        <v/>
      </c>
    </row>
    <row r="372">
      <c r="A372" s="6" t="inlineStr">
        <is>
          <t>2020M11</t>
        </is>
      </c>
      <c r="B372" s="3" t="n">
        <v>1863.49285714285</v>
      </c>
      <c r="C372" s="3">
        <f>IF(OR(B372="",B371=""),"",LN(B372/B371)*100)</f>
        <v/>
      </c>
      <c r="D372" s="3">
        <f>IF(COUNT(C370:C372)&lt;3,"",STDEV.S(C370:C372))</f>
        <v/>
      </c>
      <c r="E372" s="3">
        <f>IF(COUNT(C361:C372)&lt;12,"",STDEV.S(C361:C372))</f>
        <v/>
      </c>
    </row>
    <row r="373">
      <c r="A373" s="6" t="inlineStr">
        <is>
          <t>2020M12</t>
        </is>
      </c>
      <c r="B373" s="3" t="n">
        <v>1855.95526315789</v>
      </c>
      <c r="C373" s="3">
        <f>IF(OR(B373="",B372=""),"",LN(B373/B372)*100)</f>
        <v/>
      </c>
      <c r="D373" s="3">
        <f>IF(COUNT(C371:C373)&lt;3,"",STDEV.S(C371:C373))</f>
        <v/>
      </c>
      <c r="E373" s="3">
        <f>IF(COUNT(C362:C373)&lt;12,"",STDEV.S(C362:C373))</f>
        <v/>
      </c>
    </row>
    <row r="374">
      <c r="A374" s="6" t="inlineStr">
        <is>
          <t>2021M1</t>
        </is>
      </c>
      <c r="B374" s="3" t="n">
        <v>1866.985</v>
      </c>
      <c r="C374" s="3">
        <f>IF(OR(B374="",B373=""),"",LN(B374/B373)*100)</f>
        <v/>
      </c>
      <c r="D374" s="3">
        <f>IF(COUNT(C372:C374)&lt;3,"",STDEV.S(C372:C374))</f>
        <v/>
      </c>
      <c r="E374" s="3">
        <f>IF(COUNT(C363:C374)&lt;12,"",STDEV.S(C363:C374))</f>
        <v/>
      </c>
    </row>
    <row r="375">
      <c r="A375" s="6" t="inlineStr">
        <is>
          <t>2021M2</t>
        </is>
      </c>
      <c r="B375" s="3" t="n">
        <v>1808.175</v>
      </c>
      <c r="C375" s="3">
        <f>IF(OR(B375="",B374=""),"",LN(B375/B374)*100)</f>
        <v/>
      </c>
      <c r="D375" s="3">
        <f>IF(COUNT(C373:C375)&lt;3,"",STDEV.S(C373:C375))</f>
        <v/>
      </c>
      <c r="E375" s="3">
        <f>IF(COUNT(C364:C375)&lt;12,"",STDEV.S(C364:C375))</f>
        <v/>
      </c>
    </row>
    <row r="376">
      <c r="A376" s="6" t="inlineStr">
        <is>
          <t>2021M3</t>
        </is>
      </c>
      <c r="B376" s="3" t="n">
        <v>1718.22826086956</v>
      </c>
      <c r="C376" s="3">
        <f>IF(OR(B376="",B375=""),"",LN(B376/B375)*100)</f>
        <v/>
      </c>
      <c r="D376" s="3">
        <f>IF(COUNT(C374:C376)&lt;3,"",STDEV.S(C374:C376))</f>
        <v/>
      </c>
      <c r="E376" s="3">
        <f>IF(COUNT(C365:C376)&lt;12,"",STDEV.S(C365:C376))</f>
        <v/>
      </c>
    </row>
    <row r="377">
      <c r="A377" s="6" t="inlineStr">
        <is>
          <t>2021M4</t>
        </is>
      </c>
      <c r="B377" s="3" t="n">
        <v>1761.6775</v>
      </c>
      <c r="C377" s="3">
        <f>IF(OR(B377="",B376=""),"",LN(B377/B376)*100)</f>
        <v/>
      </c>
      <c r="D377" s="3">
        <f>IF(COUNT(C375:C377)&lt;3,"",STDEV.S(C375:C377))</f>
        <v/>
      </c>
      <c r="E377" s="3">
        <f>IF(COUNT(C366:C377)&lt;12,"",STDEV.S(C366:C377))</f>
        <v/>
      </c>
    </row>
    <row r="378">
      <c r="A378" s="6" t="inlineStr">
        <is>
          <t>2021M5</t>
        </is>
      </c>
      <c r="B378" s="3" t="n">
        <v>1855.56</v>
      </c>
      <c r="C378" s="3">
        <f>IF(OR(B378="",B377=""),"",LN(B378/B377)*100)</f>
        <v/>
      </c>
      <c r="D378" s="3">
        <f>IF(COUNT(C376:C378)&lt;3,"",STDEV.S(C376:C378))</f>
        <v/>
      </c>
      <c r="E378" s="3">
        <f>IF(COUNT(C367:C378)&lt;12,"",STDEV.S(C367:C378))</f>
        <v/>
      </c>
    </row>
    <row r="379">
      <c r="A379" s="6" t="inlineStr">
        <is>
          <t>2021M6</t>
        </is>
      </c>
      <c r="B379" s="3" t="n">
        <v>1834.5659090909</v>
      </c>
      <c r="C379" s="3">
        <f>IF(OR(B379="",B378=""),"",LN(B379/B378)*100)</f>
        <v/>
      </c>
      <c r="D379" s="3">
        <f>IF(COUNT(C377:C379)&lt;3,"",STDEV.S(C377:C379))</f>
        <v/>
      </c>
      <c r="E379" s="3">
        <f>IF(COUNT(C368:C379)&lt;12,"",STDEV.S(C368:C379))</f>
        <v/>
      </c>
    </row>
    <row r="380">
      <c r="A380" s="6" t="inlineStr">
        <is>
          <t>2021M7</t>
        </is>
      </c>
      <c r="B380" s="3" t="n">
        <v>1807.09318181818</v>
      </c>
      <c r="C380" s="3">
        <f>IF(OR(B380="",B379=""),"",LN(B380/B379)*100)</f>
        <v/>
      </c>
      <c r="D380" s="3">
        <f>IF(COUNT(C378:C380)&lt;3,"",STDEV.S(C378:C380))</f>
        <v/>
      </c>
      <c r="E380" s="3">
        <f>IF(COUNT(C369:C380)&lt;12,"",STDEV.S(C369:C380))</f>
        <v/>
      </c>
    </row>
    <row r="381">
      <c r="A381" s="6" t="inlineStr">
        <is>
          <t>2021M8</t>
        </is>
      </c>
      <c r="B381" s="3" t="n">
        <v>1783.96904761904</v>
      </c>
      <c r="C381" s="3">
        <f>IF(OR(B381="",B380=""),"",LN(B381/B380)*100)</f>
        <v/>
      </c>
      <c r="D381" s="3">
        <f>IF(COUNT(C379:C381)&lt;3,"",STDEV.S(C379:C381))</f>
        <v/>
      </c>
      <c r="E381" s="3">
        <f>IF(COUNT(C370:C381)&lt;12,"",STDEV.S(C370:C381))</f>
        <v/>
      </c>
    </row>
    <row r="382">
      <c r="A382" s="6" t="inlineStr">
        <is>
          <t>2021M9</t>
        </is>
      </c>
      <c r="B382" s="3" t="n">
        <v>1777.25227272727</v>
      </c>
      <c r="C382" s="3">
        <f>IF(OR(B382="",B381=""),"",LN(B382/B381)*100)</f>
        <v/>
      </c>
      <c r="D382" s="3">
        <f>IF(COUNT(C380:C382)&lt;3,"",STDEV.S(C380:C382))</f>
        <v/>
      </c>
      <c r="E382" s="3">
        <f>IF(COUNT(C371:C382)&lt;12,"",STDEV.S(C371:C382))</f>
        <v/>
      </c>
    </row>
    <row r="383">
      <c r="A383" s="6" t="inlineStr">
        <is>
          <t>2021M10</t>
        </is>
      </c>
      <c r="B383" s="3" t="n">
        <v>1776.85476190476</v>
      </c>
      <c r="C383" s="3">
        <f>IF(OR(B383="",B382=""),"",LN(B383/B382)*100)</f>
        <v/>
      </c>
      <c r="D383" s="3">
        <f>IF(COUNT(C381:C383)&lt;3,"",STDEV.S(C381:C383))</f>
        <v/>
      </c>
      <c r="E383" s="3">
        <f>IF(COUNT(C372:C383)&lt;12,"",STDEV.S(C372:C383))</f>
        <v/>
      </c>
    </row>
    <row r="384">
      <c r="A384" s="6" t="inlineStr">
        <is>
          <t>2021M11</t>
        </is>
      </c>
      <c r="B384" s="3" t="n">
        <v>1820.23409090909</v>
      </c>
      <c r="C384" s="3">
        <f>IF(OR(B384="",B383=""),"",LN(B384/B383)*100)</f>
        <v/>
      </c>
      <c r="D384" s="3">
        <f>IF(COUNT(C382:C384)&lt;3,"",STDEV.S(C382:C384))</f>
        <v/>
      </c>
      <c r="E384" s="3">
        <f>IF(COUNT(C373:C384)&lt;12,"",STDEV.S(C373:C384))</f>
        <v/>
      </c>
    </row>
    <row r="385">
      <c r="A385" s="6" t="inlineStr">
        <is>
          <t>2021M12</t>
        </is>
      </c>
      <c r="B385" s="3" t="n">
        <v>1786.65263157894</v>
      </c>
      <c r="C385" s="3">
        <f>IF(OR(B385="",B384=""),"",LN(B385/B384)*100)</f>
        <v/>
      </c>
      <c r="D385" s="3">
        <f>IF(COUNT(C383:C385)&lt;3,"",STDEV.S(C383:C385))</f>
        <v/>
      </c>
      <c r="E385" s="3">
        <f>IF(COUNT(C374:C385)&lt;12,"",STDEV.S(C374:C385))</f>
        <v/>
      </c>
    </row>
    <row r="386">
      <c r="A386" s="6" t="inlineStr">
        <is>
          <t>2022M1</t>
        </is>
      </c>
      <c r="B386" s="3" t="n">
        <v>1816.765</v>
      </c>
      <c r="C386" s="3">
        <f>IF(OR(B386="",B385=""),"",LN(B386/B385)*100)</f>
        <v/>
      </c>
      <c r="D386" s="3">
        <f>IF(COUNT(C384:C386)&lt;3,"",STDEV.S(C384:C386))</f>
        <v/>
      </c>
      <c r="E386" s="3">
        <f>IF(COUNT(C375:C386)&lt;12,"",STDEV.S(C375:C386))</f>
        <v/>
      </c>
    </row>
    <row r="387">
      <c r="A387" s="6" t="inlineStr">
        <is>
          <t>2022M2</t>
        </is>
      </c>
      <c r="B387" s="3" t="n">
        <v>1856.295</v>
      </c>
      <c r="C387" s="3">
        <f>IF(OR(B387="",B386=""),"",LN(B387/B386)*100)</f>
        <v/>
      </c>
      <c r="D387" s="3">
        <f>IF(COUNT(C385:C387)&lt;3,"",STDEV.S(C385:C387))</f>
        <v/>
      </c>
      <c r="E387" s="3">
        <f>IF(COUNT(C376:C387)&lt;12,"",STDEV.S(C376:C387))</f>
        <v/>
      </c>
    </row>
    <row r="388">
      <c r="A388" s="6" t="inlineStr">
        <is>
          <t>2022M3</t>
        </is>
      </c>
      <c r="B388" s="3" t="n">
        <v>1947.82826086956</v>
      </c>
      <c r="C388" s="3">
        <f>IF(OR(B388="",B387=""),"",LN(B388/B387)*100)</f>
        <v/>
      </c>
      <c r="D388" s="3">
        <f>IF(COUNT(C386:C388)&lt;3,"",STDEV.S(C386:C388))</f>
        <v/>
      </c>
      <c r="E388" s="3">
        <f>IF(COUNT(C377:C388)&lt;12,"",STDEV.S(C377:C388))</f>
        <v/>
      </c>
    </row>
    <row r="389">
      <c r="A389" s="6" t="inlineStr">
        <is>
          <t>2022M4</t>
        </is>
      </c>
      <c r="B389" s="3" t="n">
        <v>1933.9</v>
      </c>
      <c r="C389" s="3">
        <f>IF(OR(B389="",B388=""),"",LN(B389/B388)*100)</f>
        <v/>
      </c>
      <c r="D389" s="3">
        <f>IF(COUNT(C387:C389)&lt;3,"",STDEV.S(C387:C389))</f>
        <v/>
      </c>
      <c r="E389" s="3">
        <f>IF(COUNT(C378:C389)&lt;12,"",STDEV.S(C378:C389))</f>
        <v/>
      </c>
    </row>
    <row r="390">
      <c r="A390" s="6" t="inlineStr">
        <is>
          <t>2022M5</t>
        </is>
      </c>
      <c r="B390" s="3" t="n">
        <v>1849.83318181818</v>
      </c>
      <c r="C390" s="3">
        <f>IF(OR(B390="",B389=""),"",LN(B390/B389)*100)</f>
        <v/>
      </c>
      <c r="D390" s="3">
        <f>IF(COUNT(C388:C390)&lt;3,"",STDEV.S(C388:C390))</f>
        <v/>
      </c>
      <c r="E390" s="3">
        <f>IF(COUNT(C379:C390)&lt;12,"",STDEV.S(C379:C390))</f>
        <v/>
      </c>
    </row>
    <row r="391">
      <c r="A391" s="6" t="inlineStr">
        <is>
          <t>2022M6</t>
        </is>
      </c>
      <c r="B391" s="3" t="n">
        <v>1837.06409090909</v>
      </c>
      <c r="C391" s="3">
        <f>IF(OR(B391="",B390=""),"",LN(B391/B390)*100)</f>
        <v/>
      </c>
      <c r="D391" s="3">
        <f>IF(COUNT(C389:C391)&lt;3,"",STDEV.S(C389:C391))</f>
        <v/>
      </c>
      <c r="E391" s="3">
        <f>IF(COUNT(C380:C391)&lt;12,"",STDEV.S(C380:C391))</f>
        <v/>
      </c>
    </row>
    <row r="392">
      <c r="A392" s="6" t="inlineStr">
        <is>
          <t>2022M7</t>
        </is>
      </c>
      <c r="B392" s="3" t="n">
        <v>1737.38047619047</v>
      </c>
      <c r="C392" s="3">
        <f>IF(OR(B392="",B391=""),"",LN(B392/B391)*100)</f>
        <v/>
      </c>
      <c r="D392" s="3">
        <f>IF(COUNT(C390:C392)&lt;3,"",STDEV.S(C390:C392))</f>
        <v/>
      </c>
      <c r="E392" s="3">
        <f>IF(COUNT(C381:C392)&lt;12,"",STDEV.S(C381:C392))</f>
        <v/>
      </c>
    </row>
    <row r="393">
      <c r="A393" s="6" t="inlineStr">
        <is>
          <t>2022M8</t>
        </is>
      </c>
      <c r="B393" s="3" t="n">
        <v>1764.13260869565</v>
      </c>
      <c r="C393" s="3">
        <f>IF(OR(B393="",B392=""),"",LN(B393/B392)*100)</f>
        <v/>
      </c>
      <c r="D393" s="3">
        <f>IF(COUNT(C391:C393)&lt;3,"",STDEV.S(C391:C393))</f>
        <v/>
      </c>
      <c r="E393" s="3">
        <f>IF(COUNT(C382:C393)&lt;12,"",STDEV.S(C382:C393))</f>
        <v/>
      </c>
    </row>
    <row r="394">
      <c r="A394" s="6" t="inlineStr">
        <is>
          <t>2022M9</t>
        </is>
      </c>
      <c r="B394" s="3" t="n">
        <v>1683.20818181818</v>
      </c>
      <c r="C394" s="3">
        <f>IF(OR(B394="",B393=""),"",LN(B394/B393)*100)</f>
        <v/>
      </c>
      <c r="D394" s="3">
        <f>IF(COUNT(C392:C394)&lt;3,"",STDEV.S(C392:C394))</f>
        <v/>
      </c>
      <c r="E394" s="3">
        <f>IF(COUNT(C383:C394)&lt;12,"",STDEV.S(C383:C394))</f>
        <v/>
      </c>
    </row>
    <row r="395">
      <c r="A395" s="6" t="inlineStr">
        <is>
          <t>2022M10</t>
        </is>
      </c>
      <c r="B395" s="3" t="n">
        <v>1666.62666666666</v>
      </c>
      <c r="C395" s="3">
        <f>IF(OR(B395="",B394=""),"",LN(B395/B394)*100)</f>
        <v/>
      </c>
      <c r="D395" s="3">
        <f>IF(COUNT(C393:C395)&lt;3,"",STDEV.S(C393:C395))</f>
        <v/>
      </c>
      <c r="E395" s="3">
        <f>IF(COUNT(C384:C395)&lt;12,"",STDEV.S(C384:C395))</f>
        <v/>
      </c>
    </row>
    <row r="396">
      <c r="A396" s="6" t="inlineStr">
        <is>
          <t>2022M11</t>
        </is>
      </c>
      <c r="B396" s="3" t="n">
        <v>1727.89863636363</v>
      </c>
      <c r="C396" s="3">
        <f>IF(OR(B396="",B395=""),"",LN(B396/B395)*100)</f>
        <v/>
      </c>
      <c r="D396" s="3">
        <f>IF(COUNT(C394:C396)&lt;3,"",STDEV.S(C394:C396))</f>
        <v/>
      </c>
      <c r="E396" s="3">
        <f>IF(COUNT(C385:C396)&lt;12,"",STDEV.S(C385:C396))</f>
        <v/>
      </c>
    </row>
    <row r="397">
      <c r="A397" s="6" t="inlineStr">
        <is>
          <t>2022M12</t>
        </is>
      </c>
      <c r="B397" s="3" t="n">
        <v>1797.40818181818</v>
      </c>
      <c r="C397" s="3">
        <f>IF(OR(B397="",B396=""),"",LN(B397/B396)*100)</f>
        <v/>
      </c>
      <c r="D397" s="3">
        <f>IF(COUNT(C395:C397)&lt;3,"",STDEV.S(C395:C397))</f>
        <v/>
      </c>
      <c r="E397" s="3">
        <f>IF(COUNT(C386:C397)&lt;12,"",STDEV.S(C386:C397))</f>
        <v/>
      </c>
    </row>
    <row r="398">
      <c r="A398" s="6" t="inlineStr">
        <is>
          <t>2023M1</t>
        </is>
      </c>
      <c r="B398" s="3" t="n">
        <v>1896.05954545454</v>
      </c>
      <c r="C398" s="3">
        <f>IF(OR(B398="",B397=""),"",LN(B398/B397)*100)</f>
        <v/>
      </c>
      <c r="D398" s="3">
        <f>IF(COUNT(C396:C398)&lt;3,"",STDEV.S(C396:C398))</f>
        <v/>
      </c>
      <c r="E398" s="3">
        <f>IF(COUNT(C387:C398)&lt;12,"",STDEV.S(C387:C398))</f>
        <v/>
      </c>
    </row>
    <row r="399">
      <c r="A399" s="6" t="inlineStr">
        <is>
          <t>2023M2</t>
        </is>
      </c>
      <c r="B399" s="3" t="n">
        <v>1853.409</v>
      </c>
      <c r="C399" s="3">
        <f>IF(OR(B399="",B398=""),"",LN(B399/B398)*100)</f>
        <v/>
      </c>
      <c r="D399" s="3">
        <f>IF(COUNT(C397:C399)&lt;3,"",STDEV.S(C397:C399))</f>
        <v/>
      </c>
      <c r="E399" s="3">
        <f>IF(COUNT(C388:C399)&lt;12,"",STDEV.S(C388:C399))</f>
        <v/>
      </c>
    </row>
    <row r="400">
      <c r="A400" s="6" t="inlineStr">
        <is>
          <t>2023M3</t>
        </is>
      </c>
      <c r="B400" s="3" t="n">
        <v>1913.64826086956</v>
      </c>
      <c r="C400" s="3">
        <f>IF(OR(B400="",B399=""),"",LN(B400/B399)*100)</f>
        <v/>
      </c>
      <c r="D400" s="3">
        <f>IF(COUNT(C398:C400)&lt;3,"",STDEV.S(C398:C400))</f>
        <v/>
      </c>
      <c r="E400" s="3">
        <f>IF(COUNT(C389:C400)&lt;12,"",STDEV.S(C389:C400))</f>
        <v/>
      </c>
    </row>
    <row r="401">
      <c r="A401" s="6" t="inlineStr">
        <is>
          <t>2023M4</t>
        </is>
      </c>
      <c r="B401" s="3" t="n">
        <v>1999.6685</v>
      </c>
      <c r="C401" s="3">
        <f>IF(OR(B401="",B400=""),"",LN(B401/B400)*100)</f>
        <v/>
      </c>
      <c r="D401" s="3">
        <f>IF(COUNT(C399:C401)&lt;3,"",STDEV.S(C399:C401))</f>
        <v/>
      </c>
      <c r="E401" s="3">
        <f>IF(COUNT(C390:C401)&lt;12,"",STDEV.S(C390:C401))</f>
        <v/>
      </c>
    </row>
    <row r="402">
      <c r="A402" s="6" t="inlineStr">
        <is>
          <t>2023M5</t>
        </is>
      </c>
      <c r="B402" s="3" t="n">
        <v>1989.82695652173</v>
      </c>
      <c r="C402" s="3">
        <f>IF(OR(B402="",B401=""),"",LN(B402/B401)*100)</f>
        <v/>
      </c>
      <c r="D402" s="3">
        <f>IF(COUNT(C400:C402)&lt;3,"",STDEV.S(C400:C402))</f>
        <v/>
      </c>
      <c r="E402" s="3">
        <f>IF(COUNT(C391:C402)&lt;12,"",STDEV.S(C391:C402))</f>
        <v/>
      </c>
    </row>
    <row r="403">
      <c r="A403" s="6" t="inlineStr">
        <is>
          <t>2023M6</t>
        </is>
      </c>
      <c r="B403" s="3" t="n">
        <v>1944.72863636363</v>
      </c>
      <c r="C403" s="3">
        <f>IF(OR(B403="",B402=""),"",LN(B403/B402)*100)</f>
        <v/>
      </c>
      <c r="D403" s="3">
        <f>IF(COUNT(C401:C403)&lt;3,"",STDEV.S(C401:C403))</f>
        <v/>
      </c>
      <c r="E403" s="3">
        <f>IF(COUNT(C392:C403)&lt;12,"",STDEV.S(C392:C403))</f>
        <v/>
      </c>
    </row>
    <row r="404">
      <c r="A404" s="6" t="inlineStr">
        <is>
          <t>2023M7</t>
        </is>
      </c>
      <c r="B404" s="3" t="n">
        <v>1950.27</v>
      </c>
      <c r="C404" s="3">
        <f>IF(OR(B404="",B403=""),"",LN(B404/B403)*100)</f>
        <v/>
      </c>
      <c r="D404" s="3">
        <f>IF(COUNT(C402:C404)&lt;3,"",STDEV.S(C402:C404))</f>
        <v/>
      </c>
      <c r="E404" s="3">
        <f>IF(COUNT(C393:C404)&lt;12,"",STDEV.S(C393:C404))</f>
        <v/>
      </c>
    </row>
    <row r="405">
      <c r="A405" s="6" t="inlineStr">
        <is>
          <t>2023M8</t>
        </is>
      </c>
      <c r="B405" s="3" t="n">
        <v>1919.30217391304</v>
      </c>
      <c r="C405" s="3">
        <f>IF(OR(B405="",B404=""),"",LN(B405/B404)*100)</f>
        <v/>
      </c>
      <c r="D405" s="3">
        <f>IF(COUNT(C403:C405)&lt;3,"",STDEV.S(C403:C405))</f>
        <v/>
      </c>
      <c r="E405" s="3">
        <f>IF(COUNT(C394:C405)&lt;12,"",STDEV.S(C394:C405))</f>
        <v/>
      </c>
    </row>
    <row r="406">
      <c r="A406" s="6" t="inlineStr">
        <is>
          <t>2023M9</t>
        </is>
      </c>
      <c r="B406" s="3" t="n">
        <v>1915.43476190476</v>
      </c>
      <c r="C406" s="3">
        <f>IF(OR(B406="",B405=""),"",LN(B406/B405)*100)</f>
        <v/>
      </c>
      <c r="D406" s="3">
        <f>IF(COUNT(C404:C406)&lt;3,"",STDEV.S(C404:C406))</f>
        <v/>
      </c>
      <c r="E406" s="3">
        <f>IF(COUNT(C395:C406)&lt;12,"",STDEV.S(C395:C406))</f>
        <v/>
      </c>
    </row>
    <row r="407">
      <c r="A407" s="6" t="inlineStr">
        <is>
          <t>2023M10</t>
        </is>
      </c>
      <c r="B407" s="3" t="n">
        <v>1913.98454545454</v>
      </c>
      <c r="C407" s="3">
        <f>IF(OR(B407="",B406=""),"",LN(B407/B406)*100)</f>
        <v/>
      </c>
      <c r="D407" s="3">
        <f>IF(COUNT(C405:C407)&lt;3,"",STDEV.S(C405:C407))</f>
        <v/>
      </c>
      <c r="E407" s="3">
        <f>IF(COUNT(C396:C407)&lt;12,"",STDEV.S(C396:C407))</f>
        <v/>
      </c>
    </row>
    <row r="408">
      <c r="A408" s="6" t="inlineStr">
        <is>
          <t>2023M11</t>
        </is>
      </c>
      <c r="B408" s="3" t="n">
        <v>1985.77772727272</v>
      </c>
      <c r="C408" s="3">
        <f>IF(OR(B408="",B407=""),"",LN(B408/B407)*100)</f>
        <v/>
      </c>
      <c r="D408" s="3">
        <f>IF(COUNT(C406:C408)&lt;3,"",STDEV.S(C406:C408))</f>
        <v/>
      </c>
      <c r="E408" s="3">
        <f>IF(COUNT(C397:C408)&lt;12,"",STDEV.S(C397:C408))</f>
        <v/>
      </c>
    </row>
    <row r="409">
      <c r="A409" s="6" t="inlineStr">
        <is>
          <t>2023M12</t>
        </is>
      </c>
      <c r="B409" s="3" t="n">
        <v>2034.70428571428</v>
      </c>
      <c r="C409" s="3">
        <f>IF(OR(B409="",B408=""),"",LN(B409/B408)*100)</f>
        <v/>
      </c>
      <c r="D409" s="3">
        <f>IF(COUNT(C407:C409)&lt;3,"",STDEV.S(C407:C409))</f>
        <v/>
      </c>
      <c r="E409" s="3">
        <f>IF(COUNT(C398:C409)&lt;12,"",STDEV.S(C398:C409))</f>
        <v/>
      </c>
    </row>
    <row r="410">
      <c r="A410" s="6" t="inlineStr">
        <is>
          <t>2024M1</t>
        </is>
      </c>
      <c r="B410" s="3" t="n">
        <v>2034.00608695652</v>
      </c>
      <c r="C410" s="3">
        <f>IF(OR(B410="",B409=""),"",LN(B410/B409)*100)</f>
        <v/>
      </c>
      <c r="D410" s="3">
        <f>IF(COUNT(C408:C410)&lt;3,"",STDEV.S(C408:C410))</f>
        <v/>
      </c>
      <c r="E410" s="3">
        <f>IF(COUNT(C399:C410)&lt;12,"",STDEV.S(C399:C410))</f>
        <v/>
      </c>
    </row>
    <row r="411">
      <c r="A411" s="6" t="inlineStr">
        <is>
          <t>2024M2</t>
        </is>
      </c>
      <c r="B411" s="3" t="n">
        <v>2024.44619047619</v>
      </c>
      <c r="C411" s="3">
        <f>IF(OR(B411="",B410=""),"",LN(B411/B410)*100)</f>
        <v/>
      </c>
      <c r="D411" s="3">
        <f>IF(COUNT(C409:C411)&lt;3,"",STDEV.S(C409:C411))</f>
        <v/>
      </c>
      <c r="E411" s="3">
        <f>IF(COUNT(C400:C411)&lt;12,"",STDEV.S(C400:C411))</f>
        <v/>
      </c>
    </row>
    <row r="412">
      <c r="A412" s="6" t="inlineStr">
        <is>
          <t>2024M3</t>
        </is>
      </c>
      <c r="B412" s="3" t="n">
        <v>2162.34619047619</v>
      </c>
      <c r="C412" s="3">
        <f>IF(OR(B412="",B411=""),"",LN(B412/B411)*100)</f>
        <v/>
      </c>
      <c r="D412" s="3">
        <f>IF(COUNT(C410:C412)&lt;3,"",STDEV.S(C410:C412))</f>
        <v/>
      </c>
      <c r="E412" s="3">
        <f>IF(COUNT(C401:C412)&lt;12,"",STDEV.S(C401:C412))</f>
        <v/>
      </c>
    </row>
    <row r="413">
      <c r="A413" s="6" t="inlineStr">
        <is>
          <t>2024M4</t>
        </is>
      </c>
      <c r="B413" s="3" t="n">
        <v>2333.55045454545</v>
      </c>
      <c r="C413" s="3">
        <f>IF(OR(B413="",B412=""),"",LN(B413/B412)*100)</f>
        <v/>
      </c>
      <c r="D413" s="3">
        <f>IF(COUNT(C411:C413)&lt;3,"",STDEV.S(C411:C413))</f>
        <v/>
      </c>
      <c r="E413" s="3">
        <f>IF(COUNT(C402:C413)&lt;12,"",STDEV.S(C402:C413))</f>
        <v/>
      </c>
    </row>
    <row r="414">
      <c r="A414" s="6" t="inlineStr">
        <is>
          <t>2024M5</t>
        </is>
      </c>
      <c r="B414" s="3" t="n">
        <v>2350.59652173913</v>
      </c>
      <c r="C414" s="3">
        <f>IF(OR(B414="",B413=""),"",LN(B414/B413)*100)</f>
        <v/>
      </c>
      <c r="D414" s="3">
        <f>IF(COUNT(C412:C414)&lt;3,"",STDEV.S(C412:C414))</f>
        <v/>
      </c>
      <c r="E414" s="3">
        <f>IF(COUNT(C403:C414)&lt;12,"",STDEV.S(C403:C414))</f>
        <v/>
      </c>
    </row>
    <row r="415">
      <c r="A415" s="6" t="inlineStr">
        <is>
          <t>2024M6</t>
        </is>
      </c>
      <c r="B415" s="3" t="n">
        <v>2328.2625</v>
      </c>
      <c r="C415" s="3">
        <f>IF(OR(B415="",B414=""),"",LN(B415/B414)*100)</f>
        <v/>
      </c>
      <c r="D415" s="3">
        <f>IF(COUNT(C413:C415)&lt;3,"",STDEV.S(C413:C415))</f>
        <v/>
      </c>
      <c r="E415" s="3">
        <f>IF(COUNT(C404:C415)&lt;12,"",STDEV.S(C404:C415))</f>
        <v/>
      </c>
    </row>
    <row r="416">
      <c r="A416" s="6" t="inlineStr">
        <is>
          <t>2024M7</t>
        </is>
      </c>
      <c r="B416" s="3" t="n">
        <v>2393.96217391304</v>
      </c>
      <c r="C416" s="3">
        <f>IF(OR(B416="",B415=""),"",LN(B416/B415)*100)</f>
        <v/>
      </c>
      <c r="D416" s="3">
        <f>IF(COUNT(C414:C416)&lt;3,"",STDEV.S(C414:C416))</f>
        <v/>
      </c>
      <c r="E416" s="3">
        <f>IF(COUNT(C405:C416)&lt;12,"",STDEV.S(C405:C416))</f>
        <v/>
      </c>
    </row>
    <row r="417">
      <c r="A417" s="6" t="inlineStr">
        <is>
          <t>2024M8</t>
        </is>
      </c>
      <c r="B417" s="3" t="n">
        <v>2468.32863636363</v>
      </c>
      <c r="C417" s="3">
        <f>IF(OR(B417="",B416=""),"",LN(B417/B416)*100)</f>
        <v/>
      </c>
      <c r="D417" s="3">
        <f>IF(COUNT(C415:C417)&lt;3,"",STDEV.S(C415:C417))</f>
        <v/>
      </c>
      <c r="E417" s="3">
        <f>IF(COUNT(C406:C417)&lt;12,"",STDEV.S(C406:C417))</f>
        <v/>
      </c>
    </row>
    <row r="418">
      <c r="A418" s="6" t="inlineStr">
        <is>
          <t>2024M9</t>
        </is>
      </c>
      <c r="B418" s="3" t="n">
        <v>2569.04904761904</v>
      </c>
      <c r="C418" s="3">
        <f>IF(OR(B418="",B417=""),"",LN(B418/B417)*100)</f>
        <v/>
      </c>
      <c r="D418" s="3">
        <f>IF(COUNT(C416:C418)&lt;3,"",STDEV.S(C416:C418))</f>
        <v/>
      </c>
      <c r="E418" s="3">
        <f>IF(COUNT(C407:C418)&lt;12,"",STDEV.S(C407:C418))</f>
        <v/>
      </c>
    </row>
    <row r="419">
      <c r="A419" s="6" t="inlineStr">
        <is>
          <t>2024M10</t>
        </is>
      </c>
      <c r="B419" s="3" t="n">
        <v>2689.12869565217</v>
      </c>
      <c r="C419" s="3">
        <f>IF(OR(B419="",B418=""),"",LN(B419/B418)*100)</f>
        <v/>
      </c>
      <c r="D419" s="3">
        <f>IF(COUNT(C417:C419)&lt;3,"",STDEV.S(C417:C419))</f>
        <v/>
      </c>
      <c r="E419" s="3">
        <f>IF(COUNT(C408:C419)&lt;12,"",STDEV.S(C408:C419))</f>
        <v/>
      </c>
    </row>
    <row r="420">
      <c r="A420" s="6" t="inlineStr">
        <is>
          <t>2024M11</t>
        </is>
      </c>
      <c r="B420" s="3" t="n">
        <v>2652.19952380952</v>
      </c>
      <c r="C420" s="3">
        <f>IF(OR(B420="",B419=""),"",LN(B420/B419)*100)</f>
        <v/>
      </c>
      <c r="D420" s="3">
        <f>IF(COUNT(C418:C420)&lt;3,"",STDEV.S(C418:C420))</f>
        <v/>
      </c>
      <c r="E420" s="3">
        <f>IF(COUNT(C409:C420)&lt;12,"",STDEV.S(C409:C420))</f>
        <v/>
      </c>
    </row>
    <row r="421">
      <c r="A421" s="6" t="inlineStr">
        <is>
          <t>2024M12</t>
        </is>
      </c>
      <c r="B421" s="3" t="n">
        <v>2640.60545454545</v>
      </c>
      <c r="C421" s="3">
        <f>IF(OR(B421="",B420=""),"",LN(B421/B420)*100)</f>
        <v/>
      </c>
      <c r="D421" s="3">
        <f>IF(COUNT(C419:C421)&lt;3,"",STDEV.S(C419:C421))</f>
        <v/>
      </c>
      <c r="E421" s="3">
        <f>IF(COUNT(C410:C421)&lt;12,"",STDEV.S(C410:C421))</f>
        <v/>
      </c>
    </row>
    <row r="422">
      <c r="A422" s="6" t="inlineStr">
        <is>
          <t>2025M1</t>
        </is>
      </c>
      <c r="B422" s="3" t="n">
        <v>2707.46739130434</v>
      </c>
      <c r="C422" s="3">
        <f>IF(OR(B422="",B421=""),"",LN(B422/B421)*100)</f>
        <v/>
      </c>
      <c r="D422" s="3">
        <f>IF(COUNT(C420:C422)&lt;3,"",STDEV.S(C420:C422))</f>
        <v/>
      </c>
      <c r="E422" s="3">
        <f>IF(COUNT(C411:C422)&lt;12,"",STDEV.S(C411:C422))</f>
        <v/>
      </c>
    </row>
    <row r="423">
      <c r="A423" s="6" t="inlineStr">
        <is>
          <t>2025M2</t>
        </is>
      </c>
      <c r="B423" s="3" t="n">
        <v>2894.38</v>
      </c>
      <c r="C423" s="3">
        <f>IF(OR(B423="",B422=""),"",LN(B423/B422)*100)</f>
        <v/>
      </c>
      <c r="D423" s="3">
        <f>IF(COUNT(C421:C423)&lt;3,"",STDEV.S(C421:C423))</f>
        <v/>
      </c>
      <c r="E423" s="3">
        <f>IF(COUNT(C412:C423)&lt;12,"",STDEV.S(C412:C423))</f>
        <v/>
      </c>
    </row>
    <row r="424">
      <c r="A424" s="6" t="inlineStr">
        <is>
          <t>2025M3</t>
        </is>
      </c>
      <c r="B424" s="3" t="n">
        <v>2986.25619047619</v>
      </c>
      <c r="C424" s="3">
        <f>IF(OR(B424="",B423=""),"",LN(B424/B423)*100)</f>
        <v/>
      </c>
      <c r="D424" s="3">
        <f>IF(COUNT(C422:C424)&lt;3,"",STDEV.S(C422:C424))</f>
        <v/>
      </c>
      <c r="E424" s="3">
        <f>IF(COUNT(C413:C424)&lt;12,"",STDEV.S(C413:C424))</f>
        <v/>
      </c>
    </row>
    <row r="425">
      <c r="A425" s="6" t="inlineStr">
        <is>
          <t>2025M4</t>
        </is>
      </c>
      <c r="B425" s="3" t="n">
        <v>3222.01181818181</v>
      </c>
      <c r="C425" s="3">
        <f>IF(OR(B425="",B424=""),"",LN(B425/B424)*100)</f>
        <v/>
      </c>
      <c r="D425" s="3">
        <f>IF(COUNT(C423:C425)&lt;3,"",STDEV.S(C423:C425))</f>
        <v/>
      </c>
      <c r="E425" s="3">
        <f>IF(COUNT(C414:C425)&lt;12,"",STDEV.S(C414:C425))</f>
        <v/>
      </c>
    </row>
    <row r="426">
      <c r="A426" s="6" t="inlineStr">
        <is>
          <t>2025M5</t>
        </is>
      </c>
      <c r="B426" s="3" t="n">
        <v>3288.00954545454</v>
      </c>
      <c r="C426" s="3">
        <f>IF(OR(B426="",B425=""),"",LN(B426/B425)*100)</f>
        <v/>
      </c>
      <c r="D426" s="3">
        <f>IF(COUNT(C424:C426)&lt;3,"",STDEV.S(C424:C426))</f>
        <v/>
      </c>
      <c r="E426" s="3">
        <f>IF(COUNT(C415:C426)&lt;12,"",STDEV.S(C415:C426))</f>
        <v/>
      </c>
    </row>
    <row r="427">
      <c r="A427" s="6" t="inlineStr">
        <is>
          <t>2025M6</t>
        </is>
      </c>
      <c r="B427" s="3" t="n">
        <v>3351.85857142857</v>
      </c>
      <c r="C427" s="3">
        <f>IF(OR(B427="",B426=""),"",LN(B427/B426)*100)</f>
        <v/>
      </c>
      <c r="D427" s="3">
        <f>IF(COUNT(C425:C427)&lt;3,"",STDEV.S(C425:C427))</f>
        <v/>
      </c>
      <c r="E427" s="3">
        <f>IF(COUNT(C416:C427)&lt;12,"",STDEV.S(C416:C427))</f>
        <v/>
      </c>
    </row>
    <row r="428">
      <c r="A428" s="6" t="inlineStr">
        <is>
          <t>2025M7</t>
        </is>
      </c>
      <c r="B428" s="3" t="n">
        <v>3341.64913043478</v>
      </c>
      <c r="C428" s="3">
        <f>IF(OR(B428="",B427=""),"",LN(B428/B427)*100)</f>
        <v/>
      </c>
      <c r="D428" s="3">
        <f>IF(COUNT(C426:C428)&lt;3,"",STDEV.S(C426:C428))</f>
        <v/>
      </c>
      <c r="E428" s="3">
        <f>IF(COUNT(C417:C428)&lt;12,"",STDEV.S(C417:C428))</f>
        <v/>
      </c>
    </row>
    <row r="429">
      <c r="A429" s="6" t="inlineStr">
        <is>
          <t>2025M8</t>
        </is>
      </c>
      <c r="B429" s="3" t="n">
        <v>3367.25619047619</v>
      </c>
      <c r="C429" s="3">
        <f>IF(OR(B429="",B428=""),"",LN(B429/B428)*100)</f>
        <v/>
      </c>
      <c r="D429" s="3">
        <f>IF(COUNT(C427:C429)&lt;3,"",STDEV.S(C427:C429))</f>
        <v/>
      </c>
      <c r="E429" s="3">
        <f>IF(COUNT(C418:C429)&lt;12,"",STDEV.S(C418:C429))</f>
        <v/>
      </c>
    </row>
    <row r="430">
      <c r="A430" s="6" t="inlineStr">
        <is>
          <t>2025M9</t>
        </is>
      </c>
      <c r="B430" s="3" t="n">
        <v>3666.52363636363</v>
      </c>
      <c r="C430" s="3">
        <f>IF(OR(B430="",B429=""),"",LN(B430/B429)*100)</f>
        <v/>
      </c>
      <c r="D430" s="3">
        <f>IF(COUNT(C428:C430)&lt;3,"",STDEV.S(C428:C430))</f>
        <v/>
      </c>
      <c r="E430" s="3">
        <f>IF(COUNT(C419:C430)&lt;12,"",STDEV.S(C419:C430))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9" t="n">
        <v>2314.1</v>
      </c>
      <c r="D10" s="9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9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9" t="n">
        <v>2259.3</v>
      </c>
      <c r="D11" s="9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9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9" t="n">
        <v>2849.7</v>
      </c>
      <c r="D12" s="9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9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9" t="n">
        <v>2615.5</v>
      </c>
      <c r="D13" s="9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9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9" t="n">
        <v>3229.9</v>
      </c>
      <c r="D14" s="9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9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9" t="n">
        <v>4111.8</v>
      </c>
      <c r="D15" s="9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9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9" t="n">
        <v>3607.6</v>
      </c>
      <c r="D16" s="9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9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9" t="n">
        <v>3685.3</v>
      </c>
      <c r="D17" s="9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9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9" t="n">
        <v>5086.3</v>
      </c>
      <c r="D18" s="9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9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9" t="n">
        <v>0</v>
      </c>
      <c r="D10" s="9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9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9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9" t="n">
        <v>0</v>
      </c>
      <c r="D11" s="9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9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9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9" t="n">
        <v>0</v>
      </c>
      <c r="D12" s="9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9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9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9" t="n">
        <v>0</v>
      </c>
      <c r="D13" s="9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9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9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9" t="n">
        <v>0</v>
      </c>
      <c r="D14" s="9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9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9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9" t="n">
        <v>0</v>
      </c>
      <c r="D15" s="9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9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9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9" t="n">
        <v>0</v>
      </c>
      <c r="D16" s="9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9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9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9" t="n">
        <v>0</v>
      </c>
      <c r="D17" s="9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9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9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9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9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9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9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9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9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9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9" t="n"/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9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9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2026-09-21T20:31:11Z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