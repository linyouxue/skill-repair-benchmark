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LOOKUP(2,1/('Gold price'!B:B&lt;&gt;""),'Gold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price'!B:B&lt;&gt;""),'Gold price'!E:E)</f>
        <v/>
      </c>
    </row>
    <row r="7"/>
    <row r="8"/>
    <row r="9">
      <c r="B9" t="inlineStr">
        <is>
          <t>STEP 2</t>
        </is>
      </c>
    </row>
    <row r="10"/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>
        <f>XLOOKUP(C$11&amp;'*',Value!$C$1:$ZZ$1,Value!$C$18:$ZZ$18,"",2)</f>
        <v/>
      </c>
      <c r="D12" s="2">
        <f>XLOOKUP(D$11&amp;'*',Value!$C$1:$ZZ$1,Value!$C$18:$ZZ$18,"",2)</f>
        <v/>
      </c>
      <c r="E12" s="3">
        <f>XLOOKUP(E$11&amp;'*',Value!$C$1:$ZZ$1,Value!$C$18:$ZZ$18,"",2)</f>
        <v/>
      </c>
      <c r="F12" s="3">
        <f>XLOOKUP(F$11&amp;'*',Value!$C$1:$ZZ$1,Value!$C$18:$ZZ$18,"",2)</f>
        <v/>
      </c>
      <c r="G12" s="3">
        <f>XLOOKUP(G$11&amp;'*',Value!$C$1:$ZZ$1,Value!$C$18:$ZZ$18,"",2)</f>
        <v/>
      </c>
      <c r="H12" s="3">
        <f>XLOOKUP(H$11&amp;'*',Value!$C$1:$ZZ$1,Value!$C$18:$ZZ$18,"",2)</f>
        <v/>
      </c>
      <c r="I12" s="3">
        <f>XLOOKUP(I$11&amp;'*',Volume!$C$1:$ZZ$1,Volume!$C$18:$ZZ$18,"",2)*AVERAGE('Gold price'!$B$422:$B$430)</f>
        <v/>
      </c>
      <c r="J12" s="7">
        <f>XLOOKUP(J$11&amp;'*',Value!$C$1:$ZZ$1,Value!$C$18:$ZZ$18,"",2)</f>
        <v/>
      </c>
      <c r="K12" s="3">
        <f>XLOOKUP(K$11&amp;'*',Value!$C$1:$ZZ$1,Value!$C$18:$ZZ$18,"",2)</f>
        <v/>
      </c>
    </row>
    <row r="13">
      <c r="B13" t="inlineStr">
        <is>
          <t>Gold valuation exposure (95% one-sided shock)</t>
        </is>
      </c>
      <c r="C13">
        <f>$C3*$C5*C$12/100</f>
        <v/>
      </c>
      <c r="D13">
        <f>$C3*$C5*D$12/100</f>
        <v/>
      </c>
      <c r="E13">
        <f>$C3*$C5*E$12/100</f>
        <v/>
      </c>
      <c r="F13">
        <f>$C3*$C5*F$12/100</f>
        <v/>
      </c>
      <c r="G13">
        <f>$C3*$C5*G$12/100</f>
        <v/>
      </c>
      <c r="H13">
        <f>$C3*$C5*H$12/100</f>
        <v/>
      </c>
      <c r="I13">
        <f>$C3*$C5*I$12/100</f>
        <v/>
      </c>
      <c r="J13">
        <f>$C3*$C5*J$12/100</f>
        <v/>
      </c>
      <c r="K13">
        <f>$C3*$C5*K$12/100</f>
        <v/>
      </c>
    </row>
    <row r="14"/>
    <row r="15"/>
    <row r="16">
      <c r="B16" t="inlineStr">
        <is>
          <t>STEP 3</t>
        </is>
      </c>
    </row>
    <row r="17"/>
    <row r="18"/>
    <row r="19"/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inlineStr">
        <is>
          <t>Gold reserves 
(in millions of USD)</t>
        </is>
      </c>
      <c r="C21" s="7">
        <f>XLOOKUP(C$20,$C$11:$X$11,$C$12:$X$12,"",0)</f>
        <v/>
      </c>
      <c r="D21" s="2">
        <f>XLOOKUP(D$20,$C$11:$X$11,$C$12:$X$12,"",0)</f>
        <v/>
      </c>
      <c r="E21" s="3">
        <f>XLOOKUP(E$20,$C$11:$X$11,$C$12:$X$12,"",0)</f>
        <v/>
      </c>
      <c r="F21" s="3">
        <f>XLOOKUP(F$20,$C$11:$X$11,$C$12:$X$12,"",0)</f>
        <v/>
      </c>
      <c r="G21" s="3">
        <f>XLOOKUP(G$20,$C$11:$X$11,$C$12:$X$12,"",0)</f>
        <v/>
      </c>
      <c r="H21" s="7">
        <f>XLOOKUP(H$20,$C$11:$X$11,$C$12:$X$12,"",0)</f>
        <v/>
      </c>
    </row>
    <row r="22">
      <c r="B22" t="inlineStr">
        <is>
          <t>Gold valuation exposure (95% one-sided shock)</t>
        </is>
      </c>
      <c r="C22">
        <f>$C3*$C5*C$21/100</f>
        <v/>
      </c>
      <c r="D22">
        <f>$C3*$C5*D$21/100</f>
        <v/>
      </c>
      <c r="E22">
        <f>$C3*$C5*E$21/100</f>
        <v/>
      </c>
      <c r="F22">
        <f>$C3*$C5*F$21/100</f>
        <v/>
      </c>
      <c r="G22">
        <f>$C3*$C5*G$21/100</f>
        <v/>
      </c>
      <c r="H22">
        <f>$C3*$C5*H$21/100</f>
        <v/>
      </c>
    </row>
    <row r="23">
      <c r="B23" t="inlineStr">
        <is>
          <t>Total Reserve</t>
        </is>
      </c>
      <c r="C23">
        <f>XLOOKUP(C$20&amp;'*','Total Reserves'!$C$1:$ZZ$1,'Total Reserves'!$C$18:$ZZ$18,"",2)</f>
        <v/>
      </c>
      <c r="D23">
        <f>XLOOKUP(D$20&amp;'*','Total Reserves'!$C$1:$ZZ$1,'Total Reserves'!$C$18:$ZZ$18,"",2)</f>
        <v/>
      </c>
      <c r="E23">
        <f>XLOOKUP(E$20&amp;'*','Total Reserves'!$C$1:$ZZ$1,'Total Reserves'!$C$18:$ZZ$18,"",2)</f>
        <v/>
      </c>
      <c r="F23">
        <f>XLOOKUP(F$20&amp;'*','Total Reserves'!$C$1:$ZZ$1,'Total Reserves'!$C$18:$ZZ$18,"",2)</f>
        <v/>
      </c>
      <c r="G23">
        <f>XLOOKUP(G$20&amp;'*','Total Reserves'!$C$1:$ZZ$1,'Total Reserves'!$C$18:$ZZ$18,"",2)</f>
        <v/>
      </c>
      <c r="H23">
        <f>XLOOKUP(H$20&amp;'*','Total Reserves'!$C$1:$ZZ$1,'Total Reserves'!$C$18:$ZZ$18,"",2)</f>
        <v/>
      </c>
    </row>
    <row r="24">
      <c r="B24" t="inlineStr">
        <is>
          <t>RaR(in percent of total reserves)</t>
        </is>
      </c>
      <c r="C24">
        <f>IF(C$23="", "", C$22/C$23*100)</f>
        <v/>
      </c>
      <c r="D24">
        <f>IF(D$23="", "", D$22/D$23*100)</f>
        <v/>
      </c>
      <c r="E24">
        <f>IF(E$23="", "", E$22/E$23*100)</f>
        <v/>
      </c>
      <c r="F24">
        <f>IF(F$23="", "", F$22/F$23*100)</f>
        <v/>
      </c>
      <c r="G24">
        <f>IF(G$23="", "", G$22/G$23*100)</f>
        <v/>
      </c>
      <c r="H24">
        <f>IF(H$23="", "", H$22/H$23*100)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IF(C5="", "", STDEV.S(C3:C5))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IF(C6="", "", STDEV.S(C4:C6))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IF(C7="", "", STDEV.S(C5:C7))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IF(C8="", "", STDEV.S(C6:C8))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IF(C9="", "", STDEV.S(C7:C9))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IF(C10="", "", STDEV.S(C8:C10))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IF(C11="", "", STDEV.S(C9:C11))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IF(C12="", "", STDEV.S(C10:C12))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IF(C13="", "", STDEV.S(C11:C13))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IF(C14="", "", STDEV.S(C12:C14))</f>
        <v/>
      </c>
      <c r="E14">
        <f>IF(C14="", "", STDEV.S(C3:C14)*SQRT(12))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IF(C15="", "", STDEV.S(C13:C15))</f>
        <v/>
      </c>
      <c r="E15">
        <f>IF(C15="", "", STDEV.S(C4:C15)*SQRT(12))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IF(C16="", "", STDEV.S(C14:C16))</f>
        <v/>
      </c>
      <c r="E16">
        <f>IF(C16="", "", STDEV.S(C5:C16)*SQRT(12))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IF(C17="", "", STDEV.S(C15:C17))</f>
        <v/>
      </c>
      <c r="E17">
        <f>IF(C17="", "", STDEV.S(C6:C17)*SQRT(12))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IF(C18="", "", STDEV.S(C16:C18))</f>
        <v/>
      </c>
      <c r="E18">
        <f>IF(C18="", "", STDEV.S(C7:C18)*SQRT(12))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IF(C19="", "", STDEV.S(C17:C19))</f>
        <v/>
      </c>
      <c r="E19">
        <f>IF(C19="", "", STDEV.S(C8:C19)*SQRT(12))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IF(C20="", "", STDEV.S(C18:C20))</f>
        <v/>
      </c>
      <c r="E20">
        <f>IF(C20="", "", STDEV.S(C9:C20)*SQRT(12))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IF(C21="", "", STDEV.S(C19:C21))</f>
        <v/>
      </c>
      <c r="E21">
        <f>IF(C21="", "", STDEV.S(C10:C21)*SQRT(12))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IF(C22="", "", STDEV.S(C20:C22))</f>
        <v/>
      </c>
      <c r="E22">
        <f>IF(C22="", "", STDEV.S(C11:C22)*SQRT(12))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IF(C23="", "", STDEV.S(C21:C23))</f>
        <v/>
      </c>
      <c r="E23">
        <f>IF(C23="", "", STDEV.S(C12:C23)*SQRT(12))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IF(C24="", "", STDEV.S(C22:C24))</f>
        <v/>
      </c>
      <c r="E24">
        <f>IF(C24="", "", STDEV.S(C13:C24)*SQRT(12))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IF(C25="", "", STDEV.S(C23:C25))</f>
        <v/>
      </c>
      <c r="E25">
        <f>IF(C25="", "", STDEV.S(C14:C25)*SQRT(12))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IF(C26="", "", STDEV.S(C24:C26))</f>
        <v/>
      </c>
      <c r="E26">
        <f>IF(C26="", "", STDEV.S(C15:C26)*SQRT(12))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IF(C27="", "", STDEV.S(C25:C27))</f>
        <v/>
      </c>
      <c r="E27">
        <f>IF(C27="", "", STDEV.S(C16:C27)*SQRT(12))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IF(C28="", "", STDEV.S(C26:C28))</f>
        <v/>
      </c>
      <c r="E28">
        <f>IF(C28="", "", STDEV.S(C17:C28)*SQRT(12))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IF(C29="", "", STDEV.S(C27:C29))</f>
        <v/>
      </c>
      <c r="E29">
        <f>IF(C29="", "", STDEV.S(C18:C29)*SQRT(12))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IF(C30="", "", STDEV.S(C28:C30))</f>
        <v/>
      </c>
      <c r="E30">
        <f>IF(C30="", "", STDEV.S(C19:C30)*SQRT(12))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IF(C31="", "", STDEV.S(C29:C31))</f>
        <v/>
      </c>
      <c r="E31">
        <f>IF(C31="", "", STDEV.S(C20:C31)*SQRT(12))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IF(C32="", "", STDEV.S(C30:C32))</f>
        <v/>
      </c>
      <c r="E32">
        <f>IF(C32="", "", STDEV.S(C21:C32)*SQRT(12))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IF(C33="", "", STDEV.S(C31:C33))</f>
        <v/>
      </c>
      <c r="E33">
        <f>IF(C33="", "", STDEV.S(C22:C33)*SQRT(12))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IF(C34="", "", STDEV.S(C32:C34))</f>
        <v/>
      </c>
      <c r="E34">
        <f>IF(C34="", "", STDEV.S(C23:C34)*SQRT(12))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IF(C35="", "", STDEV.S(C33:C35))</f>
        <v/>
      </c>
      <c r="E35">
        <f>IF(C35="", "", STDEV.S(C24:C35)*SQRT(12))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IF(C36="", "", STDEV.S(C34:C36))</f>
        <v/>
      </c>
      <c r="E36">
        <f>IF(C36="", "", STDEV.S(C25:C36)*SQRT(12))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IF(C37="", "", STDEV.S(C35:C37))</f>
        <v/>
      </c>
      <c r="E37">
        <f>IF(C37="", "", STDEV.S(C26:C37)*SQRT(12))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IF(C38="", "", STDEV.S(C36:C38))</f>
        <v/>
      </c>
      <c r="E38">
        <f>IF(C38="", "", STDEV.S(C27:C38)*SQRT(12))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IF(C39="", "", STDEV.S(C37:C39))</f>
        <v/>
      </c>
      <c r="E39">
        <f>IF(C39="", "", STDEV.S(C28:C39)*SQRT(12))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IF(C40="", "", STDEV.S(C38:C40))</f>
        <v/>
      </c>
      <c r="E40">
        <f>IF(C40="", "", STDEV.S(C29:C40)*SQRT(12))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IF(C41="", "", STDEV.S(C39:C41))</f>
        <v/>
      </c>
      <c r="E41">
        <f>IF(C41="", "", STDEV.S(C30:C41)*SQRT(12))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IF(C42="", "", STDEV.S(C40:C42))</f>
        <v/>
      </c>
      <c r="E42">
        <f>IF(C42="", "", STDEV.S(C31:C42)*SQRT(12))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IF(C43="", "", STDEV.S(C41:C43))</f>
        <v/>
      </c>
      <c r="E43">
        <f>IF(C43="", "", STDEV.S(C32:C43)*SQRT(12))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IF(C44="", "", STDEV.S(C42:C44))</f>
        <v/>
      </c>
      <c r="E44">
        <f>IF(C44="", "", STDEV.S(C33:C44)*SQRT(12))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IF(C45="", "", STDEV.S(C43:C45))</f>
        <v/>
      </c>
      <c r="E45">
        <f>IF(C45="", "", STDEV.S(C34:C45)*SQRT(12))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IF(C46="", "", STDEV.S(C44:C46))</f>
        <v/>
      </c>
      <c r="E46">
        <f>IF(C46="", "", STDEV.S(C35:C46)*SQRT(12))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IF(C47="", "", STDEV.S(C45:C47))</f>
        <v/>
      </c>
      <c r="E47">
        <f>IF(C47="", "", STDEV.S(C36:C47)*SQRT(12))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IF(C48="", "", STDEV.S(C46:C48))</f>
        <v/>
      </c>
      <c r="E48">
        <f>IF(C48="", "", STDEV.S(C37:C48)*SQRT(12))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IF(C49="", "", STDEV.S(C47:C49))</f>
        <v/>
      </c>
      <c r="E49">
        <f>IF(C49="", "", STDEV.S(C38:C49)*SQRT(12))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IF(C50="", "", STDEV.S(C48:C50))</f>
        <v/>
      </c>
      <c r="E50">
        <f>IF(C50="", "", STDEV.S(C39:C50)*SQRT(12))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IF(C51="", "", STDEV.S(C49:C51))</f>
        <v/>
      </c>
      <c r="E51">
        <f>IF(C51="", "", STDEV.S(C40:C51)*SQRT(12))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IF(C52="", "", STDEV.S(C50:C52))</f>
        <v/>
      </c>
      <c r="E52">
        <f>IF(C52="", "", STDEV.S(C41:C52)*SQRT(12))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IF(C53="", "", STDEV.S(C51:C53))</f>
        <v/>
      </c>
      <c r="E53">
        <f>IF(C53="", "", STDEV.S(C42:C53)*SQRT(12))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IF(C54="", "", STDEV.S(C52:C54))</f>
        <v/>
      </c>
      <c r="E54">
        <f>IF(C54="", "", STDEV.S(C43:C54)*SQRT(12))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IF(C55="", "", STDEV.S(C53:C55))</f>
        <v/>
      </c>
      <c r="E55">
        <f>IF(C55="", "", STDEV.S(C44:C55)*SQRT(12))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IF(C56="", "", STDEV.S(C54:C56))</f>
        <v/>
      </c>
      <c r="E56">
        <f>IF(C56="", "", STDEV.S(C45:C56)*SQRT(12))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IF(C57="", "", STDEV.S(C55:C57))</f>
        <v/>
      </c>
      <c r="E57">
        <f>IF(C57="", "", STDEV.S(C46:C57)*SQRT(12))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IF(C58="", "", STDEV.S(C56:C58))</f>
        <v/>
      </c>
      <c r="E58">
        <f>IF(C58="", "", STDEV.S(C47:C58)*SQRT(12))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IF(C59="", "", STDEV.S(C57:C59))</f>
        <v/>
      </c>
      <c r="E59">
        <f>IF(C59="", "", STDEV.S(C48:C59)*SQRT(12))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IF(C60="", "", STDEV.S(C58:C60))</f>
        <v/>
      </c>
      <c r="E60">
        <f>IF(C60="", "", STDEV.S(C49:C60)*SQRT(12))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IF(C61="", "", STDEV.S(C59:C61))</f>
        <v/>
      </c>
      <c r="E61">
        <f>IF(C61="", "", STDEV.S(C50:C61)*SQRT(12))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IF(C62="", "", STDEV.S(C60:C62))</f>
        <v/>
      </c>
      <c r="E62">
        <f>IF(C62="", "", STDEV.S(C51:C62)*SQRT(12))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IF(C63="", "", STDEV.S(C61:C63))</f>
        <v/>
      </c>
      <c r="E63">
        <f>IF(C63="", "", STDEV.S(C52:C63)*SQRT(12))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IF(C64="", "", STDEV.S(C62:C64))</f>
        <v/>
      </c>
      <c r="E64">
        <f>IF(C64="", "", STDEV.S(C53:C64)*SQRT(12))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IF(C65="", "", STDEV.S(C63:C65))</f>
        <v/>
      </c>
      <c r="E65">
        <f>IF(C65="", "", STDEV.S(C54:C65)*SQRT(12))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IF(C66="", "", STDEV.S(C64:C66))</f>
        <v/>
      </c>
      <c r="E66">
        <f>IF(C66="", "", STDEV.S(C55:C66)*SQRT(12))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IF(C67="", "", STDEV.S(C65:C67))</f>
        <v/>
      </c>
      <c r="E67">
        <f>IF(C67="", "", STDEV.S(C56:C67)*SQRT(12))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IF(C68="", "", STDEV.S(C66:C68))</f>
        <v/>
      </c>
      <c r="E68">
        <f>IF(C68="", "", STDEV.S(C57:C68)*SQRT(12))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IF(C69="", "", STDEV.S(C67:C69))</f>
        <v/>
      </c>
      <c r="E69">
        <f>IF(C69="", "", STDEV.S(C58:C69)*SQRT(12))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IF(C70="", "", STDEV.S(C68:C70))</f>
        <v/>
      </c>
      <c r="E70">
        <f>IF(C70="", "", STDEV.S(C59:C70)*SQRT(12))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IF(C71="", "", STDEV.S(C69:C71))</f>
        <v/>
      </c>
      <c r="E71">
        <f>IF(C71="", "", STDEV.S(C60:C71)*SQRT(12))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IF(C72="", "", STDEV.S(C70:C72))</f>
        <v/>
      </c>
      <c r="E72">
        <f>IF(C72="", "", STDEV.S(C61:C72)*SQRT(12))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IF(C73="", "", STDEV.S(C71:C73))</f>
        <v/>
      </c>
      <c r="E73">
        <f>IF(C73="", "", STDEV.S(C62:C73)*SQRT(12))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IF(C74="", "", STDEV.S(C72:C74))</f>
        <v/>
      </c>
      <c r="E74">
        <f>IF(C74="", "", STDEV.S(C63:C74)*SQRT(12))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IF(C75="", "", STDEV.S(C73:C75))</f>
        <v/>
      </c>
      <c r="E75">
        <f>IF(C75="", "", STDEV.S(C64:C75)*SQRT(12))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IF(C76="", "", STDEV.S(C74:C76))</f>
        <v/>
      </c>
      <c r="E76">
        <f>IF(C76="", "", STDEV.S(C65:C76)*SQRT(12))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IF(C77="", "", STDEV.S(C75:C77))</f>
        <v/>
      </c>
      <c r="E77">
        <f>IF(C77="", "", STDEV.S(C66:C77)*SQRT(12))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IF(C78="", "", STDEV.S(C76:C78))</f>
        <v/>
      </c>
      <c r="E78">
        <f>IF(C78="", "", STDEV.S(C67:C78)*SQRT(12))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IF(C79="", "", STDEV.S(C77:C79))</f>
        <v/>
      </c>
      <c r="E79">
        <f>IF(C79="", "", STDEV.S(C68:C79)*SQRT(12))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IF(C80="", "", STDEV.S(C78:C80))</f>
        <v/>
      </c>
      <c r="E80">
        <f>IF(C80="", "", STDEV.S(C69:C80)*SQRT(12))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IF(C81="", "", STDEV.S(C79:C81))</f>
        <v/>
      </c>
      <c r="E81">
        <f>IF(C81="", "", STDEV.S(C70:C81)*SQRT(12))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IF(C82="", "", STDEV.S(C80:C82))</f>
        <v/>
      </c>
      <c r="E82">
        <f>IF(C82="", "", STDEV.S(C71:C82)*SQRT(12))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IF(C83="", "", STDEV.S(C81:C83))</f>
        <v/>
      </c>
      <c r="E83">
        <f>IF(C83="", "", STDEV.S(C72:C83)*SQRT(12))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IF(C84="", "", STDEV.S(C82:C84))</f>
        <v/>
      </c>
      <c r="E84">
        <f>IF(C84="", "", STDEV.S(C73:C84)*SQRT(12))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IF(C85="", "", STDEV.S(C83:C85))</f>
        <v/>
      </c>
      <c r="E85">
        <f>IF(C85="", "", STDEV.S(C74:C85)*SQRT(12))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IF(C86="", "", STDEV.S(C84:C86))</f>
        <v/>
      </c>
      <c r="E86">
        <f>IF(C86="", "", STDEV.S(C75:C86)*SQRT(12))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IF(C87="", "", STDEV.S(C85:C87))</f>
        <v/>
      </c>
      <c r="E87">
        <f>IF(C87="", "", STDEV.S(C76:C87)*SQRT(12))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IF(C88="", "", STDEV.S(C86:C88))</f>
        <v/>
      </c>
      <c r="E88">
        <f>IF(C88="", "", STDEV.S(C77:C88)*SQRT(12))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IF(C89="", "", STDEV.S(C87:C89))</f>
        <v/>
      </c>
      <c r="E89">
        <f>IF(C89="", "", STDEV.S(C78:C89)*SQRT(12))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IF(C90="", "", STDEV.S(C88:C90))</f>
        <v/>
      </c>
      <c r="E90">
        <f>IF(C90="", "", STDEV.S(C79:C90)*SQRT(12))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IF(C91="", "", STDEV.S(C89:C91))</f>
        <v/>
      </c>
      <c r="E91">
        <f>IF(C91="", "", STDEV.S(C80:C91)*SQRT(12))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IF(C92="", "", STDEV.S(C90:C92))</f>
        <v/>
      </c>
      <c r="E92">
        <f>IF(C92="", "", STDEV.S(C81:C92)*SQRT(12))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IF(C93="", "", STDEV.S(C91:C93))</f>
        <v/>
      </c>
      <c r="E93">
        <f>IF(C93="", "", STDEV.S(C82:C93)*SQRT(12))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IF(C94="", "", STDEV.S(C92:C94))</f>
        <v/>
      </c>
      <c r="E94">
        <f>IF(C94="", "", STDEV.S(C83:C94)*SQRT(12))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IF(C95="", "", STDEV.S(C93:C95))</f>
        <v/>
      </c>
      <c r="E95">
        <f>IF(C95="", "", STDEV.S(C84:C95)*SQRT(12))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IF(C96="", "", STDEV.S(C94:C96))</f>
        <v/>
      </c>
      <c r="E96">
        <f>IF(C96="", "", STDEV.S(C85:C96)*SQRT(12))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IF(C97="", "", STDEV.S(C95:C97))</f>
        <v/>
      </c>
      <c r="E97">
        <f>IF(C97="", "", STDEV.S(C86:C97)*SQRT(12))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IF(C98="", "", STDEV.S(C96:C98))</f>
        <v/>
      </c>
      <c r="E98">
        <f>IF(C98="", "", STDEV.S(C87:C98)*SQRT(12))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IF(C99="", "", STDEV.S(C97:C99))</f>
        <v/>
      </c>
      <c r="E99">
        <f>IF(C99="", "", STDEV.S(C88:C99)*SQRT(12))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IF(C100="", "", STDEV.S(C98:C100))</f>
        <v/>
      </c>
      <c r="E100">
        <f>IF(C100="", "", STDEV.S(C89:C100)*SQRT(12))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IF(C101="", "", STDEV.S(C99:C101))</f>
        <v/>
      </c>
      <c r="E101">
        <f>IF(C101="", "", STDEV.S(C90:C101)*SQRT(12))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IF(C102="", "", STDEV.S(C100:C102))</f>
        <v/>
      </c>
      <c r="E102">
        <f>IF(C102="", "", STDEV.S(C91:C102)*SQRT(12))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IF(C103="", "", STDEV.S(C101:C103))</f>
        <v/>
      </c>
      <c r="E103">
        <f>IF(C103="", "", STDEV.S(C92:C103)*SQRT(12))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IF(C104="", "", STDEV.S(C102:C104))</f>
        <v/>
      </c>
      <c r="E104">
        <f>IF(C104="", "", STDEV.S(C93:C104)*SQRT(12))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IF(C105="", "", STDEV.S(C103:C105))</f>
        <v/>
      </c>
      <c r="E105">
        <f>IF(C105="", "", STDEV.S(C94:C105)*SQRT(12))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IF(C106="", "", STDEV.S(C104:C106))</f>
        <v/>
      </c>
      <c r="E106">
        <f>IF(C106="", "", STDEV.S(C95:C106)*SQRT(12))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IF(C107="", "", STDEV.S(C105:C107))</f>
        <v/>
      </c>
      <c r="E107">
        <f>IF(C107="", "", STDEV.S(C96:C107)*SQRT(12))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IF(C108="", "", STDEV.S(C106:C108))</f>
        <v/>
      </c>
      <c r="E108">
        <f>IF(C108="", "", STDEV.S(C97:C108)*SQRT(12))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IF(C109="", "", STDEV.S(C107:C109))</f>
        <v/>
      </c>
      <c r="E109">
        <f>IF(C109="", "", STDEV.S(C98:C109)*SQRT(12))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IF(C110="", "", STDEV.S(C108:C110))</f>
        <v/>
      </c>
      <c r="E110">
        <f>IF(C110="", "", STDEV.S(C99:C110)*SQRT(12))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IF(C111="", "", STDEV.S(C109:C111))</f>
        <v/>
      </c>
      <c r="E111">
        <f>IF(C111="", "", STDEV.S(C100:C111)*SQRT(12))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IF(C112="", "", STDEV.S(C110:C112))</f>
        <v/>
      </c>
      <c r="E112">
        <f>IF(C112="", "", STDEV.S(C101:C112)*SQRT(12))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IF(C113="", "", STDEV.S(C111:C113))</f>
        <v/>
      </c>
      <c r="E113">
        <f>IF(C113="", "", STDEV.S(C102:C113)*SQRT(12))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IF(C114="", "", STDEV.S(C112:C114))</f>
        <v/>
      </c>
      <c r="E114">
        <f>IF(C114="", "", STDEV.S(C103:C114)*SQRT(12))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IF(C115="", "", STDEV.S(C113:C115))</f>
        <v/>
      </c>
      <c r="E115">
        <f>IF(C115="", "", STDEV.S(C104:C115)*SQRT(12))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IF(C116="", "", STDEV.S(C114:C116))</f>
        <v/>
      </c>
      <c r="E116">
        <f>IF(C116="", "", STDEV.S(C105:C116)*SQRT(12))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IF(C117="", "", STDEV.S(C115:C117))</f>
        <v/>
      </c>
      <c r="E117">
        <f>IF(C117="", "", STDEV.S(C106:C117)*SQRT(12))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IF(C118="", "", STDEV.S(C116:C118))</f>
        <v/>
      </c>
      <c r="E118">
        <f>IF(C118="", "", STDEV.S(C107:C118)*SQRT(12))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IF(C119="", "", STDEV.S(C117:C119))</f>
        <v/>
      </c>
      <c r="E119">
        <f>IF(C119="", "", STDEV.S(C108:C119)*SQRT(12))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IF(C120="", "", STDEV.S(C118:C120))</f>
        <v/>
      </c>
      <c r="E120">
        <f>IF(C120="", "", STDEV.S(C109:C120)*SQRT(12))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IF(C121="", "", STDEV.S(C119:C121))</f>
        <v/>
      </c>
      <c r="E121">
        <f>IF(C121="", "", STDEV.S(C110:C121)*SQRT(12))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IF(C122="", "", STDEV.S(C120:C122))</f>
        <v/>
      </c>
      <c r="E122">
        <f>IF(C122="", "", STDEV.S(C111:C122)*SQRT(12))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IF(C123="", "", STDEV.S(C121:C123))</f>
        <v/>
      </c>
      <c r="E123">
        <f>IF(C123="", "", STDEV.S(C112:C123)*SQRT(12))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IF(C124="", "", STDEV.S(C122:C124))</f>
        <v/>
      </c>
      <c r="E124">
        <f>IF(C124="", "", STDEV.S(C113:C124)*SQRT(12))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IF(C125="", "", STDEV.S(C123:C125))</f>
        <v/>
      </c>
      <c r="E125">
        <f>IF(C125="", "", STDEV.S(C114:C125)*SQRT(12))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IF(C126="", "", STDEV.S(C124:C126))</f>
        <v/>
      </c>
      <c r="E126">
        <f>IF(C126="", "", STDEV.S(C115:C126)*SQRT(12))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IF(C127="", "", STDEV.S(C125:C127))</f>
        <v/>
      </c>
      <c r="E127">
        <f>IF(C127="", "", STDEV.S(C116:C127)*SQRT(12))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IF(C128="", "", STDEV.S(C126:C128))</f>
        <v/>
      </c>
      <c r="E128">
        <f>IF(C128="", "", STDEV.S(C117:C128)*SQRT(12))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IF(C129="", "", STDEV.S(C127:C129))</f>
        <v/>
      </c>
      <c r="E129">
        <f>IF(C129="", "", STDEV.S(C118:C129)*SQRT(12))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IF(C130="", "", STDEV.S(C128:C130))</f>
        <v/>
      </c>
      <c r="E130">
        <f>IF(C130="", "", STDEV.S(C119:C130)*SQRT(12))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IF(C131="", "", STDEV.S(C129:C131))</f>
        <v/>
      </c>
      <c r="E131">
        <f>IF(C131="", "", STDEV.S(C120:C131)*SQRT(12))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IF(C132="", "", STDEV.S(C130:C132))</f>
        <v/>
      </c>
      <c r="E132">
        <f>IF(C132="", "", STDEV.S(C121:C132)*SQRT(12))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IF(C133="", "", STDEV.S(C131:C133))</f>
        <v/>
      </c>
      <c r="E133">
        <f>IF(C133="", "", STDEV.S(C122:C133)*SQRT(12))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IF(C134="", "", STDEV.S(C132:C134))</f>
        <v/>
      </c>
      <c r="E134">
        <f>IF(C134="", "", STDEV.S(C123:C134)*SQRT(12))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IF(C135="", "", STDEV.S(C133:C135))</f>
        <v/>
      </c>
      <c r="E135">
        <f>IF(C135="", "", STDEV.S(C124:C135)*SQRT(12))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IF(C136="", "", STDEV.S(C134:C136))</f>
        <v/>
      </c>
      <c r="E136">
        <f>IF(C136="", "", STDEV.S(C125:C136)*SQRT(12))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IF(C137="", "", STDEV.S(C135:C137))</f>
        <v/>
      </c>
      <c r="E137">
        <f>IF(C137="", "", STDEV.S(C126:C137)*SQRT(12))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IF(C138="", "", STDEV.S(C136:C138))</f>
        <v/>
      </c>
      <c r="E138">
        <f>IF(C138="", "", STDEV.S(C127:C138)*SQRT(12))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IF(C139="", "", STDEV.S(C137:C139))</f>
        <v/>
      </c>
      <c r="E139">
        <f>IF(C139="", "", STDEV.S(C128:C139)*SQRT(12))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IF(C140="", "", STDEV.S(C138:C140))</f>
        <v/>
      </c>
      <c r="E140">
        <f>IF(C140="", "", STDEV.S(C129:C140)*SQRT(12))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IF(C141="", "", STDEV.S(C139:C141))</f>
        <v/>
      </c>
      <c r="E141">
        <f>IF(C141="", "", STDEV.S(C130:C141)*SQRT(12))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IF(C142="", "", STDEV.S(C140:C142))</f>
        <v/>
      </c>
      <c r="E142">
        <f>IF(C142="", "", STDEV.S(C131:C142)*SQRT(12))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IF(C143="", "", STDEV.S(C141:C143))</f>
        <v/>
      </c>
      <c r="E143">
        <f>IF(C143="", "", STDEV.S(C132:C143)*SQRT(12))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IF(C144="", "", STDEV.S(C142:C144))</f>
        <v/>
      </c>
      <c r="E144">
        <f>IF(C144="", "", STDEV.S(C133:C144)*SQRT(12))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IF(C145="", "", STDEV.S(C143:C145))</f>
        <v/>
      </c>
      <c r="E145">
        <f>IF(C145="", "", STDEV.S(C134:C145)*SQRT(12))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IF(C146="", "", STDEV.S(C144:C146))</f>
        <v/>
      </c>
      <c r="E146">
        <f>IF(C146="", "", STDEV.S(C135:C146)*SQRT(12))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IF(C147="", "", STDEV.S(C145:C147))</f>
        <v/>
      </c>
      <c r="E147">
        <f>IF(C147="", "", STDEV.S(C136:C147)*SQRT(12))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IF(C148="", "", STDEV.S(C146:C148))</f>
        <v/>
      </c>
      <c r="E148">
        <f>IF(C148="", "", STDEV.S(C137:C148)*SQRT(12))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IF(C149="", "", STDEV.S(C147:C149))</f>
        <v/>
      </c>
      <c r="E149">
        <f>IF(C149="", "", STDEV.S(C138:C149)*SQRT(12))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IF(C150="", "", STDEV.S(C148:C150))</f>
        <v/>
      </c>
      <c r="E150">
        <f>IF(C150="", "", STDEV.S(C139:C150)*SQRT(12))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IF(C151="", "", STDEV.S(C149:C151))</f>
        <v/>
      </c>
      <c r="E151">
        <f>IF(C151="", "", STDEV.S(C140:C151)*SQRT(12))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IF(C152="", "", STDEV.S(C150:C152))</f>
        <v/>
      </c>
      <c r="E152">
        <f>IF(C152="", "", STDEV.S(C141:C152)*SQRT(12))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IF(C153="", "", STDEV.S(C151:C153))</f>
        <v/>
      </c>
      <c r="E153">
        <f>IF(C153="", "", STDEV.S(C142:C153)*SQRT(12))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IF(C154="", "", STDEV.S(C152:C154))</f>
        <v/>
      </c>
      <c r="E154">
        <f>IF(C154="", "", STDEV.S(C143:C154)*SQRT(12))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IF(C155="", "", STDEV.S(C153:C155))</f>
        <v/>
      </c>
      <c r="E155">
        <f>IF(C155="", "", STDEV.S(C144:C155)*SQRT(12))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IF(C156="", "", STDEV.S(C154:C156))</f>
        <v/>
      </c>
      <c r="E156">
        <f>IF(C156="", "", STDEV.S(C145:C156)*SQRT(12))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IF(C157="", "", STDEV.S(C155:C157))</f>
        <v/>
      </c>
      <c r="E157">
        <f>IF(C157="", "", STDEV.S(C146:C157)*SQRT(12))</f>
        <v/>
      </c>
    </row>
    <row r="158">
      <c r="A158" s="6" t="inlineStr">
        <is>
          <t>2003M1</t>
        </is>
      </c>
      <c r="B158" t="n">
        <v>356.85909090909</v>
      </c>
      <c r="C158">
        <f>IF(OR(B158="",B157=""),"",LN(B158/B157)*100)</f>
        <v/>
      </c>
      <c r="D158">
        <f>IF(C158="", "", STDEV.S(C156:C158))</f>
        <v/>
      </c>
      <c r="E158">
        <f>IF(C158="", "", STDEV.S(C147:C158)*SQRT(12))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IF(C159="", "", STDEV.S(C157:C159))</f>
        <v/>
      </c>
      <c r="E159">
        <f>IF(C159="", "", STDEV.S(C148:C159)*SQRT(12))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IF(C160="", "", STDEV.S(C158:C160))</f>
        <v/>
      </c>
      <c r="E160">
        <f>IF(C160="", "", STDEV.S(C149:C160)*SQRT(12))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IF(C161="", "", STDEV.S(C159:C161))</f>
        <v/>
      </c>
      <c r="E161">
        <f>IF(C161="", "", STDEV.S(C150:C161)*SQRT(12))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IF(C162="", "", STDEV.S(C160:C162))</f>
        <v/>
      </c>
      <c r="E162">
        <f>IF(C162="", "", STDEV.S(C151:C162)*SQRT(12))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IF(C163="", "", STDEV.S(C161:C163))</f>
        <v/>
      </c>
      <c r="E163">
        <f>IF(C163="", "", STDEV.S(C152:C163)*SQRT(12))</f>
        <v/>
      </c>
    </row>
    <row r="164">
      <c r="A164" s="6" t="inlineStr">
        <is>
          <t>2003M7</t>
        </is>
      </c>
      <c r="B164" t="n">
        <v>351.019565217391</v>
      </c>
      <c r="C164">
        <f>IF(OR(B164="",B163=""),"",LN(B164/B163)*100)</f>
        <v/>
      </c>
      <c r="D164">
        <f>IF(C164="", "", STDEV.S(C162:C164))</f>
        <v/>
      </c>
      <c r="E164">
        <f>IF(C164="", "", STDEV.S(C153:C164)*SQRT(12))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IF(C165="", "", STDEV.S(C163:C165))</f>
        <v/>
      </c>
      <c r="E165">
        <f>IF(C165="", "", STDEV.S(C154:C165)*SQRT(12))</f>
        <v/>
      </c>
    </row>
    <row r="166">
      <c r="A166" s="6" t="inlineStr">
        <is>
          <t>2003M9</t>
        </is>
      </c>
      <c r="B166" t="n">
        <v>378.945454545454</v>
      </c>
      <c r="C166">
        <f>IF(OR(B166="",B165=""),"",LN(B166/B165)*100)</f>
        <v/>
      </c>
      <c r="D166">
        <f>IF(C166="", "", STDEV.S(C164:C166))</f>
        <v/>
      </c>
      <c r="E166">
        <f>IF(C166="", "", STDEV.S(C155:C166)*SQRT(12))</f>
        <v/>
      </c>
    </row>
    <row r="167">
      <c r="A167" s="6" t="inlineStr">
        <is>
          <t>2003M10</t>
        </is>
      </c>
      <c r="B167" t="n">
        <v>378.919565217391</v>
      </c>
      <c r="C167">
        <f>IF(OR(B167="",B166=""),"",LN(B167/B166)*100)</f>
        <v/>
      </c>
      <c r="D167">
        <f>IF(C167="", "", STDEV.S(C165:C167))</f>
        <v/>
      </c>
      <c r="E167">
        <f>IF(C167="", "", STDEV.S(C156:C167)*SQRT(12))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IF(C168="", "", STDEV.S(C166:C168))</f>
        <v/>
      </c>
      <c r="E168">
        <f>IF(C168="", "", STDEV.S(C157:C168)*SQRT(12))</f>
        <v/>
      </c>
    </row>
    <row r="169">
      <c r="A169" s="6" t="inlineStr">
        <is>
          <t>2003M12</t>
        </is>
      </c>
      <c r="B169" t="n">
        <v>406.952631578947</v>
      </c>
      <c r="C169">
        <f>IF(OR(B169="",B168=""),"",LN(B169/B168)*100)</f>
        <v/>
      </c>
      <c r="D169">
        <f>IF(C169="", "", STDEV.S(C167:C169))</f>
        <v/>
      </c>
      <c r="E169">
        <f>IF(C169="", "", STDEV.S(C158:C169)*SQRT(12))</f>
        <v/>
      </c>
    </row>
    <row r="170">
      <c r="A170" s="6" t="inlineStr">
        <is>
          <t>2004M1</t>
        </is>
      </c>
      <c r="B170" t="n">
        <v>413.788095238095</v>
      </c>
      <c r="C170">
        <f>IF(OR(B170="",B169=""),"",LN(B170/B169)*100)</f>
        <v/>
      </c>
      <c r="D170">
        <f>IF(C170="", "", STDEV.S(C168:C170))</f>
        <v/>
      </c>
      <c r="E170">
        <f>IF(C170="", "", STDEV.S(C159:C170)*SQRT(12))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IF(C171="", "", STDEV.S(C169:C171))</f>
        <v/>
      </c>
      <c r="E171">
        <f>IF(C171="", "", STDEV.S(C160:C171)*SQRT(12))</f>
        <v/>
      </c>
    </row>
    <row r="172">
      <c r="A172" s="6" t="inlineStr">
        <is>
          <t>2004M3</t>
        </is>
      </c>
      <c r="B172" t="n">
        <v>406.667391304347</v>
      </c>
      <c r="C172">
        <f>IF(OR(B172="",B171=""),"",LN(B172/B171)*100)</f>
        <v/>
      </c>
      <c r="D172">
        <f>IF(C172="", "", STDEV.S(C170:C172))</f>
        <v/>
      </c>
      <c r="E172">
        <f>IF(C172="", "", STDEV.S(C161:C172)*SQRT(12))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IF(C173="", "", STDEV.S(C171:C173))</f>
        <v/>
      </c>
      <c r="E173">
        <f>IF(C173="", "", STDEV.S(C162:C173)*SQRT(12))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IF(C174="", "", STDEV.S(C172:C174))</f>
        <v/>
      </c>
      <c r="E174">
        <f>IF(C174="", "", STDEV.S(C163:C174)*SQRT(12))</f>
        <v/>
      </c>
    </row>
    <row r="175">
      <c r="A175" s="6" t="inlineStr">
        <is>
          <t>2004M6</t>
        </is>
      </c>
      <c r="B175" t="n">
        <v>392.372727272727</v>
      </c>
      <c r="C175">
        <f>IF(OR(B175="",B174=""),"",LN(B175/B174)*100)</f>
        <v/>
      </c>
      <c r="D175">
        <f>IF(C175="", "", STDEV.S(C173:C175))</f>
        <v/>
      </c>
      <c r="E175">
        <f>IF(C175="", "", STDEV.S(C164:C175)*SQRT(12))</f>
        <v/>
      </c>
    </row>
    <row r="176">
      <c r="A176" s="6" t="inlineStr">
        <is>
          <t>2004M7</t>
        </is>
      </c>
      <c r="B176" t="n">
        <v>398.090909090909</v>
      </c>
      <c r="C176">
        <f>IF(OR(B176="",B175=""),"",LN(B176/B175)*100)</f>
        <v/>
      </c>
      <c r="D176">
        <f>IF(C176="", "", STDEV.S(C174:C176))</f>
        <v/>
      </c>
      <c r="E176">
        <f>IF(C176="", "", STDEV.S(C165:C176)*SQRT(12))</f>
        <v/>
      </c>
    </row>
    <row r="177">
      <c r="A177" s="6" t="inlineStr">
        <is>
          <t>2004M8</t>
        </is>
      </c>
      <c r="B177" t="n">
        <v>400.509523809523</v>
      </c>
      <c r="C177">
        <f>IF(OR(B177="",B176=""),"",LN(B177/B176)*100)</f>
        <v/>
      </c>
      <c r="D177">
        <f>IF(C177="", "", STDEV.S(C175:C177))</f>
        <v/>
      </c>
      <c r="E177">
        <f>IF(C177="", "", STDEV.S(C166:C177)*SQRT(12))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IF(C178="", "", STDEV.S(C176:C178))</f>
        <v/>
      </c>
      <c r="E178">
        <f>IF(C178="", "", STDEV.S(C167:C178)*SQRT(12))</f>
        <v/>
      </c>
    </row>
    <row r="179">
      <c r="A179" s="6" t="inlineStr">
        <is>
          <t>2004M10</t>
        </is>
      </c>
      <c r="B179" t="n">
        <v>420.464285714285</v>
      </c>
      <c r="C179">
        <f>IF(OR(B179="",B178=""),"",LN(B179/B178)*100)</f>
        <v/>
      </c>
      <c r="D179">
        <f>IF(C179="", "", STDEV.S(C177:C179))</f>
        <v/>
      </c>
      <c r="E179">
        <f>IF(C179="", "", STDEV.S(C168:C179)*SQRT(12))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IF(C180="", "", STDEV.S(C178:C180))</f>
        <v/>
      </c>
      <c r="E180">
        <f>IF(C180="", "", STDEV.S(C169:C180)*SQRT(12))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IF(C181="", "", STDEV.S(C179:C181))</f>
        <v/>
      </c>
      <c r="E181">
        <f>IF(C181="", "", STDEV.S(C170:C181)*SQRT(12))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IF(C182="", "", STDEV.S(C180:C182))</f>
        <v/>
      </c>
      <c r="E182">
        <f>IF(C182="", "", STDEV.S(C171:C182)*SQRT(12))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IF(C183="", "", STDEV.S(C181:C183))</f>
        <v/>
      </c>
      <c r="E183">
        <f>IF(C183="", "", STDEV.S(C172:C183)*SQRT(12))</f>
        <v/>
      </c>
    </row>
    <row r="184">
      <c r="A184" s="6" t="inlineStr">
        <is>
          <t>2005M3</t>
        </is>
      </c>
      <c r="B184" t="n">
        <v>434.321428571428</v>
      </c>
      <c r="C184">
        <f>IF(OR(B184="",B183=""),"",LN(B184/B183)*100)</f>
        <v/>
      </c>
      <c r="D184">
        <f>IF(C184="", "", STDEV.S(C182:C184))</f>
        <v/>
      </c>
      <c r="E184">
        <f>IF(C184="", "", STDEV.S(C173:C184)*SQRT(12))</f>
        <v/>
      </c>
    </row>
    <row r="185">
      <c r="A185" s="6" t="inlineStr">
        <is>
          <t>2005M4</t>
        </is>
      </c>
      <c r="B185" t="n">
        <v>429.233333333333</v>
      </c>
      <c r="C185">
        <f>IF(OR(B185="",B184=""),"",LN(B185/B184)*100)</f>
        <v/>
      </c>
      <c r="D185">
        <f>IF(C185="", "", STDEV.S(C183:C185))</f>
        <v/>
      </c>
      <c r="E185">
        <f>IF(C185="", "", STDEV.S(C174:C185)*SQRT(12))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IF(C186="", "", STDEV.S(C184:C186))</f>
        <v/>
      </c>
      <c r="E186">
        <f>IF(C186="", "", STDEV.S(C175:C186)*SQRT(12))</f>
        <v/>
      </c>
    </row>
    <row r="187">
      <c r="A187" s="6" t="inlineStr">
        <is>
          <t>2005M6</t>
        </is>
      </c>
      <c r="B187" t="n">
        <v>430.656818181818</v>
      </c>
      <c r="C187">
        <f>IF(OR(B187="",B186=""),"",LN(B187/B186)*100)</f>
        <v/>
      </c>
      <c r="D187">
        <f>IF(C187="", "", STDEV.S(C185:C187))</f>
        <v/>
      </c>
      <c r="E187">
        <f>IF(C187="", "", STDEV.S(C176:C187)*SQRT(12))</f>
        <v/>
      </c>
    </row>
    <row r="188">
      <c r="A188" s="6" t="inlineStr">
        <is>
          <t>2005M7</t>
        </is>
      </c>
      <c r="B188" t="n">
        <v>424.478571428571</v>
      </c>
      <c r="C188">
        <f>IF(OR(B188="",B187=""),"",LN(B188/B187)*100)</f>
        <v/>
      </c>
      <c r="D188">
        <f>IF(C188="", "", STDEV.S(C186:C188))</f>
        <v/>
      </c>
      <c r="E188">
        <f>IF(C188="", "", STDEV.S(C177:C188)*SQRT(12))</f>
        <v/>
      </c>
    </row>
    <row r="189">
      <c r="A189" s="6" t="inlineStr">
        <is>
          <t>2005M8</t>
        </is>
      </c>
      <c r="B189" t="n">
        <v>437.929545454545</v>
      </c>
      <c r="C189">
        <f>IF(OR(B189="",B188=""),"",LN(B189/B188)*100)</f>
        <v/>
      </c>
      <c r="D189">
        <f>IF(C189="", "", STDEV.S(C187:C189))</f>
        <v/>
      </c>
      <c r="E189">
        <f>IF(C189="", "", STDEV.S(C178:C189)*SQRT(12))</f>
        <v/>
      </c>
    </row>
    <row r="190">
      <c r="A190" s="6" t="inlineStr">
        <is>
          <t>2005M9</t>
        </is>
      </c>
      <c r="B190" t="n">
        <v>456.047727272727</v>
      </c>
      <c r="C190">
        <f>IF(OR(B190="",B189=""),"",LN(B190/B189)*100)</f>
        <v/>
      </c>
      <c r="D190">
        <f>IF(C190="", "", STDEV.S(C188:C190))</f>
        <v/>
      </c>
      <c r="E190">
        <f>IF(C190="", "", STDEV.S(C179:C190)*SQRT(12))</f>
        <v/>
      </c>
    </row>
    <row r="191">
      <c r="A191" s="6" t="inlineStr">
        <is>
          <t>2005M10</t>
        </is>
      </c>
      <c r="B191" t="n">
        <v>469.897619047619</v>
      </c>
      <c r="C191">
        <f>IF(OR(B191="",B190=""),"",LN(B191/B190)*100)</f>
        <v/>
      </c>
      <c r="D191">
        <f>IF(C191="", "", STDEV.S(C189:C191))</f>
        <v/>
      </c>
      <c r="E191">
        <f>IF(C191="", "", STDEV.S(C180:C191)*SQRT(12))</f>
        <v/>
      </c>
    </row>
    <row r="192">
      <c r="A192" s="6" t="inlineStr">
        <is>
          <t>2005M11</t>
        </is>
      </c>
      <c r="B192" t="n">
        <v>476.665909090909</v>
      </c>
      <c r="C192">
        <f>IF(OR(B192="",B191=""),"",LN(B192/B191)*100)</f>
        <v/>
      </c>
      <c r="D192">
        <f>IF(C192="", "", STDEV.S(C190:C192))</f>
        <v/>
      </c>
      <c r="E192">
        <f>IF(C192="", "", STDEV.S(C181:C192)*SQRT(12))</f>
        <v/>
      </c>
    </row>
    <row r="193">
      <c r="A193" s="6" t="inlineStr">
        <is>
          <t>2005M12</t>
        </is>
      </c>
      <c r="B193" t="n">
        <v>510.097222222222</v>
      </c>
      <c r="C193">
        <f>IF(OR(B193="",B192=""),"",LN(B193/B192)*100)</f>
        <v/>
      </c>
      <c r="D193">
        <f>IF(C193="", "", STDEV.S(C191:C193))</f>
        <v/>
      </c>
      <c r="E193">
        <f>IF(C193="", "", STDEV.S(C182:C193)*SQRT(12))</f>
        <v/>
      </c>
    </row>
    <row r="194">
      <c r="A194" s="6" t="inlineStr">
        <is>
          <t>2006M1</t>
        </is>
      </c>
      <c r="B194" t="n">
        <v>549.864285714285</v>
      </c>
      <c r="C194">
        <f>IF(OR(B194="",B193=""),"",LN(B194/B193)*100)</f>
        <v/>
      </c>
      <c r="D194">
        <f>IF(C194="", "", STDEV.S(C192:C194))</f>
        <v/>
      </c>
      <c r="E194">
        <f>IF(C194="", "", STDEV.S(C183:C194)*SQRT(12))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IF(C195="", "", STDEV.S(C193:C195))</f>
        <v/>
      </c>
      <c r="E195">
        <f>IF(C195="", "", STDEV.S(C184:C195)*SQRT(12))</f>
        <v/>
      </c>
    </row>
    <row r="196">
      <c r="A196" s="6" t="inlineStr">
        <is>
          <t>2006M3</t>
        </is>
      </c>
      <c r="B196" t="n">
        <v>557.093478260869</v>
      </c>
      <c r="C196">
        <f>IF(OR(B196="",B195=""),"",LN(B196/B195)*100)</f>
        <v/>
      </c>
      <c r="D196">
        <f>IF(C196="", "", STDEV.S(C194:C196))</f>
        <v/>
      </c>
      <c r="E196">
        <f>IF(C196="", "", STDEV.S(C185:C196)*SQRT(12))</f>
        <v/>
      </c>
    </row>
    <row r="197">
      <c r="A197" s="6" t="inlineStr">
        <is>
          <t>2006M4</t>
        </is>
      </c>
      <c r="B197" t="n">
        <v>610.652777777777</v>
      </c>
      <c r="C197">
        <f>IF(OR(B197="",B196=""),"",LN(B197/B196)*100)</f>
        <v/>
      </c>
      <c r="D197">
        <f>IF(C197="", "", STDEV.S(C195:C197))</f>
        <v/>
      </c>
      <c r="E197">
        <f>IF(C197="", "", STDEV.S(C186:C197)*SQRT(12))</f>
        <v/>
      </c>
    </row>
    <row r="198">
      <c r="A198" s="6" t="inlineStr">
        <is>
          <t>2006M5</t>
        </is>
      </c>
      <c r="B198" t="n">
        <v>675.392857142857</v>
      </c>
      <c r="C198">
        <f>IF(OR(B198="",B197=""),"",LN(B198/B197)*100)</f>
        <v/>
      </c>
      <c r="D198">
        <f>IF(C198="", "", STDEV.S(C196:C198))</f>
        <v/>
      </c>
      <c r="E198">
        <f>IF(C198="", "", STDEV.S(C187:C198)*SQRT(12))</f>
        <v/>
      </c>
    </row>
    <row r="199">
      <c r="A199" s="6" t="inlineStr">
        <is>
          <t>2006M6</t>
        </is>
      </c>
      <c r="B199" t="n">
        <v>596.145454545454</v>
      </c>
      <c r="C199">
        <f>IF(OR(B199="",B198=""),"",LN(B199/B198)*100)</f>
        <v/>
      </c>
      <c r="D199">
        <f>IF(C199="", "", STDEV.S(C197:C199))</f>
        <v/>
      </c>
      <c r="E199">
        <f>IF(C199="", "", STDEV.S(C188:C199)*SQRT(12))</f>
        <v/>
      </c>
    </row>
    <row r="200">
      <c r="A200" s="6" t="inlineStr">
        <is>
          <t>2006M7</t>
        </is>
      </c>
      <c r="B200" t="n">
        <v>633.709523809523</v>
      </c>
      <c r="C200">
        <f>IF(OR(B200="",B199=""),"",LN(B200/B199)*100)</f>
        <v/>
      </c>
      <c r="D200">
        <f>IF(C200="", "", STDEV.S(C198:C200))</f>
        <v/>
      </c>
      <c r="E200">
        <f>IF(C200="", "", STDEV.S(C189:C200)*SQRT(12))</f>
        <v/>
      </c>
    </row>
    <row r="201">
      <c r="A201" s="6" t="inlineStr">
        <is>
          <t>2006M8</t>
        </is>
      </c>
      <c r="B201" t="n">
        <v>632.5931818181811</v>
      </c>
      <c r="C201">
        <f>IF(OR(B201="",B200=""),"",LN(B201/B200)*100)</f>
        <v/>
      </c>
      <c r="D201">
        <f>IF(C201="", "", STDEV.S(C199:C201))</f>
        <v/>
      </c>
      <c r="E201">
        <f>IF(C201="", "", STDEV.S(C190:C201)*SQRT(12))</f>
        <v/>
      </c>
    </row>
    <row r="202">
      <c r="A202" s="6" t="inlineStr">
        <is>
          <t>2006M9</t>
        </is>
      </c>
      <c r="B202" t="n">
        <v>598.185714285714</v>
      </c>
      <c r="C202">
        <f>IF(OR(B202="",B201=""),"",LN(B202/B201)*100)</f>
        <v/>
      </c>
      <c r="D202">
        <f>IF(C202="", "", STDEV.S(C200:C202))</f>
        <v/>
      </c>
      <c r="E202">
        <f>IF(C202="", "", STDEV.S(C191:C202)*SQRT(12))</f>
        <v/>
      </c>
    </row>
    <row r="203">
      <c r="A203" s="6" t="inlineStr">
        <is>
          <t>2006M10</t>
        </is>
      </c>
      <c r="B203" t="n">
        <v>585.779545454545</v>
      </c>
      <c r="C203">
        <f>IF(OR(B203="",B202=""),"",LN(B203/B202)*100)</f>
        <v/>
      </c>
      <c r="D203">
        <f>IF(C203="", "", STDEV.S(C201:C203))</f>
        <v/>
      </c>
      <c r="E203">
        <f>IF(C203="", "", STDEV.S(C192:C203)*SQRT(12))</f>
        <v/>
      </c>
    </row>
    <row r="204">
      <c r="A204" s="6" t="inlineStr">
        <is>
          <t>2006M11</t>
        </is>
      </c>
      <c r="B204" t="n">
        <v>627.827272727272</v>
      </c>
      <c r="C204">
        <f>IF(OR(B204="",B203=""),"",LN(B204/B203)*100)</f>
        <v/>
      </c>
      <c r="D204">
        <f>IF(C204="", "", STDEV.S(C202:C204))</f>
        <v/>
      </c>
      <c r="E204">
        <f>IF(C204="", "", STDEV.S(C193:C204)*SQRT(12))</f>
        <v/>
      </c>
    </row>
    <row r="205">
      <c r="A205" s="6" t="inlineStr">
        <is>
          <t>2006M12</t>
        </is>
      </c>
      <c r="B205" t="n">
        <v>629.791176470588</v>
      </c>
      <c r="C205">
        <f>IF(OR(B205="",B204=""),"",LN(B205/B204)*100)</f>
        <v/>
      </c>
      <c r="D205">
        <f>IF(C205="", "", STDEV.S(C203:C205))</f>
        <v/>
      </c>
      <c r="E205">
        <f>IF(C205="", "", STDEV.S(C194:C205)*SQRT(12))</f>
        <v/>
      </c>
    </row>
    <row r="206">
      <c r="A206" s="6" t="inlineStr">
        <is>
          <t>2007M1</t>
        </is>
      </c>
      <c r="B206" t="n">
        <v>631.1659090909091</v>
      </c>
      <c r="C206">
        <f>IF(OR(B206="",B205=""),"",LN(B206/B205)*100)</f>
        <v/>
      </c>
      <c r="D206">
        <f>IF(C206="", "", STDEV.S(C204:C206))</f>
        <v/>
      </c>
      <c r="E206">
        <f>IF(C206="", "", STDEV.S(C195:C206)*SQRT(12))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IF(C207="", "", STDEV.S(C205:C207))</f>
        <v/>
      </c>
      <c r="E207">
        <f>IF(C207="", "", STDEV.S(C196:C207)*SQRT(12))</f>
        <v/>
      </c>
    </row>
    <row r="208">
      <c r="A208" s="6" t="inlineStr">
        <is>
          <t>2007M3</t>
        </is>
      </c>
      <c r="B208" t="n">
        <v>654.895454545454</v>
      </c>
      <c r="C208">
        <f>IF(OR(B208="",B207=""),"",LN(B208/B207)*100)</f>
        <v/>
      </c>
      <c r="D208">
        <f>IF(C208="", "", STDEV.S(C206:C208))</f>
        <v/>
      </c>
      <c r="E208">
        <f>IF(C208="", "", STDEV.S(C197:C208)*SQRT(12))</f>
        <v/>
      </c>
    </row>
    <row r="209">
      <c r="A209" s="6" t="inlineStr">
        <is>
          <t>2007M4</t>
        </is>
      </c>
      <c r="B209" t="n">
        <v>679.368421052631</v>
      </c>
      <c r="C209">
        <f>IF(OR(B209="",B208=""),"",LN(B209/B208)*100)</f>
        <v/>
      </c>
      <c r="D209">
        <f>IF(C209="", "", STDEV.S(C207:C209))</f>
        <v/>
      </c>
      <c r="E209">
        <f>IF(C209="", "", STDEV.S(C198:C209)*SQRT(12))</f>
        <v/>
      </c>
    </row>
    <row r="210">
      <c r="A210" s="6" t="inlineStr">
        <is>
          <t>2007M5</t>
        </is>
      </c>
      <c r="B210" t="n">
        <v>666.859523809523</v>
      </c>
      <c r="C210">
        <f>IF(OR(B210="",B209=""),"",LN(B210/B209)*100)</f>
        <v/>
      </c>
      <c r="D210">
        <f>IF(C210="", "", STDEV.S(C208:C210))</f>
        <v/>
      </c>
      <c r="E210">
        <f>IF(C210="", "", STDEV.S(C199:C210)*SQRT(12))</f>
        <v/>
      </c>
    </row>
    <row r="211">
      <c r="A211" s="6" t="inlineStr">
        <is>
          <t>2007M6</t>
        </is>
      </c>
      <c r="B211" t="n">
        <v>655.490476190476</v>
      </c>
      <c r="C211">
        <f>IF(OR(B211="",B210=""),"",LN(B211/B210)*100)</f>
        <v/>
      </c>
      <c r="D211">
        <f>IF(C211="", "", STDEV.S(C209:C211))</f>
        <v/>
      </c>
      <c r="E211">
        <f>IF(C211="", "", STDEV.S(C200:C211)*SQRT(12))</f>
        <v/>
      </c>
    </row>
    <row r="212">
      <c r="A212" s="6" t="inlineStr">
        <is>
          <t>2007M7</t>
        </is>
      </c>
      <c r="B212" t="n">
        <v>665.295454545454</v>
      </c>
      <c r="C212">
        <f>IF(OR(B212="",B211=""),"",LN(B212/B211)*100)</f>
        <v/>
      </c>
      <c r="D212">
        <f>IF(C212="", "", STDEV.S(C210:C212))</f>
        <v/>
      </c>
      <c r="E212">
        <f>IF(C212="", "", STDEV.S(C201:C212)*SQRT(12))</f>
        <v/>
      </c>
    </row>
    <row r="213">
      <c r="A213" s="6" t="inlineStr">
        <is>
          <t>2007M8</t>
        </is>
      </c>
      <c r="B213" t="n">
        <v>665.411363636363</v>
      </c>
      <c r="C213">
        <f>IF(OR(B213="",B212=""),"",LN(B213/B212)*100)</f>
        <v/>
      </c>
      <c r="D213">
        <f>IF(C213="", "", STDEV.S(C211:C213))</f>
        <v/>
      </c>
      <c r="E213">
        <f>IF(C213="", "", STDEV.S(C202:C213)*SQRT(12))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IF(C214="", "", STDEV.S(C212:C214))</f>
        <v/>
      </c>
      <c r="E214">
        <f>IF(C214="", "", STDEV.S(C203:C214)*SQRT(12))</f>
        <v/>
      </c>
    </row>
    <row r="215">
      <c r="A215" s="6" t="inlineStr">
        <is>
          <t>2007M10</t>
        </is>
      </c>
      <c r="B215" t="n">
        <v>754.604347826087</v>
      </c>
      <c r="C215">
        <f>IF(OR(B215="",B214=""),"",LN(B215/B214)*100)</f>
        <v/>
      </c>
      <c r="D215">
        <f>IF(C215="", "", STDEV.S(C213:C215))</f>
        <v/>
      </c>
      <c r="E215">
        <f>IF(C215="", "", STDEV.S(C204:C215)*SQRT(12))</f>
        <v/>
      </c>
    </row>
    <row r="216">
      <c r="A216" s="6" t="inlineStr">
        <is>
          <t>2007M11</t>
        </is>
      </c>
      <c r="B216" t="n">
        <v>806.247727272727</v>
      </c>
      <c r="C216">
        <f>IF(OR(B216="",B215=""),"",LN(B216/B215)*100)</f>
        <v/>
      </c>
      <c r="D216">
        <f>IF(C216="", "", STDEV.S(C214:C216))</f>
        <v/>
      </c>
      <c r="E216">
        <f>IF(C216="", "", STDEV.S(C205:C216)*SQRT(12))</f>
        <v/>
      </c>
    </row>
    <row r="217">
      <c r="A217" s="6" t="inlineStr">
        <is>
          <t>2007M12</t>
        </is>
      </c>
      <c r="B217" t="n">
        <v>803.2029411764699</v>
      </c>
      <c r="C217">
        <f>IF(OR(B217="",B216=""),"",LN(B217/B216)*100)</f>
        <v/>
      </c>
      <c r="D217">
        <f>IF(C217="", "", STDEV.S(C215:C217))</f>
        <v/>
      </c>
      <c r="E217">
        <f>IF(C217="", "", STDEV.S(C206:C217)*SQRT(12))</f>
        <v/>
      </c>
    </row>
    <row r="218">
      <c r="A218" s="6" t="inlineStr">
        <is>
          <t>2008M1</t>
        </is>
      </c>
      <c r="B218" t="n">
        <v>889.595454545454</v>
      </c>
      <c r="C218">
        <f>IF(OR(B218="",B217=""),"",LN(B218/B217)*100)</f>
        <v/>
      </c>
      <c r="D218">
        <f>IF(C218="", "", STDEV.S(C216:C218))</f>
        <v/>
      </c>
      <c r="E218">
        <f>IF(C218="", "", STDEV.S(C207:C218)*SQRT(12))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IF(C219="", "", STDEV.S(C217:C219))</f>
        <v/>
      </c>
      <c r="E219">
        <f>IF(C219="", "", STDEV.S(C208:C219)*SQRT(12))</f>
        <v/>
      </c>
    </row>
    <row r="220">
      <c r="A220" s="6" t="inlineStr">
        <is>
          <t>2008M3</t>
        </is>
      </c>
      <c r="B220" t="n">
        <v>968.434210526315</v>
      </c>
      <c r="C220">
        <f>IF(OR(B220="",B219=""),"",LN(B220/B219)*100)</f>
        <v/>
      </c>
      <c r="D220">
        <f>IF(C220="", "", STDEV.S(C218:C220))</f>
        <v/>
      </c>
      <c r="E220">
        <f>IF(C220="", "", STDEV.S(C209:C220)*SQRT(12))</f>
        <v/>
      </c>
    </row>
    <row r="221">
      <c r="A221" s="6" t="inlineStr">
        <is>
          <t>2008M4</t>
        </is>
      </c>
      <c r="B221" t="n">
        <v>909.704545454545</v>
      </c>
      <c r="C221">
        <f>IF(OR(B221="",B220=""),"",LN(B221/B220)*100)</f>
        <v/>
      </c>
      <c r="D221">
        <f>IF(C221="", "", STDEV.S(C219:C221))</f>
        <v/>
      </c>
      <c r="E221">
        <f>IF(C221="", "", STDEV.S(C210:C221)*SQRT(12))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IF(C222="", "", STDEV.S(C220:C222))</f>
        <v/>
      </c>
      <c r="E222">
        <f>IF(C222="", "", STDEV.S(C211:C222)*SQRT(12))</f>
        <v/>
      </c>
    </row>
    <row r="223">
      <c r="A223" s="6" t="inlineStr">
        <is>
          <t>2008M6</t>
        </is>
      </c>
      <c r="B223" t="n">
        <v>889.488095238095</v>
      </c>
      <c r="C223">
        <f>IF(OR(B223="",B222=""),"",LN(B223/B222)*100)</f>
        <v/>
      </c>
      <c r="D223">
        <f>IF(C223="", "", STDEV.S(C221:C223))</f>
        <v/>
      </c>
      <c r="E223">
        <f>IF(C223="", "", STDEV.S(C212:C223)*SQRT(12))</f>
        <v/>
      </c>
    </row>
    <row r="224">
      <c r="A224" s="6" t="inlineStr">
        <is>
          <t>2008M7</t>
        </is>
      </c>
      <c r="B224" t="n">
        <v>939.771739130434</v>
      </c>
      <c r="C224">
        <f>IF(OR(B224="",B223=""),"",LN(B224/B223)*100)</f>
        <v/>
      </c>
      <c r="D224">
        <f>IF(C224="", "", STDEV.S(C222:C224))</f>
        <v/>
      </c>
      <c r="E224">
        <f>IF(C224="", "", STDEV.S(C213:C224)*SQRT(12))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IF(C225="", "", STDEV.S(C223:C225))</f>
        <v/>
      </c>
      <c r="E225">
        <f>IF(C225="", "", STDEV.S(C214:C225)*SQRT(12))</f>
        <v/>
      </c>
    </row>
    <row r="226">
      <c r="A226" s="6" t="inlineStr">
        <is>
          <t>2008M9</t>
        </is>
      </c>
      <c r="B226" t="n">
        <v>829.931818181818</v>
      </c>
      <c r="C226">
        <f>IF(OR(B226="",B225=""),"",LN(B226/B225)*100)</f>
        <v/>
      </c>
      <c r="D226">
        <f>IF(C226="", "", STDEV.S(C224:C226))</f>
        <v/>
      </c>
      <c r="E226">
        <f>IF(C226="", "", STDEV.S(C215:C226)*SQRT(12))</f>
        <v/>
      </c>
    </row>
    <row r="227">
      <c r="A227" s="6" t="inlineStr">
        <is>
          <t>2008M10</t>
        </is>
      </c>
      <c r="B227" t="n">
        <v>806.619565217391</v>
      </c>
      <c r="C227">
        <f>IF(OR(B227="",B226=""),"",LN(B227/B226)*100)</f>
        <v/>
      </c>
      <c r="D227">
        <f>IF(C227="", "", STDEV.S(C225:C227))</f>
        <v/>
      </c>
      <c r="E227">
        <f>IF(C227="", "", STDEV.S(C216:C227)*SQRT(12))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IF(C228="", "", STDEV.S(C226:C228))</f>
        <v/>
      </c>
      <c r="E228">
        <f>IF(C228="", "", STDEV.S(C217:C228)*SQRT(12))</f>
        <v/>
      </c>
    </row>
    <row r="229">
      <c r="A229" s="6" t="inlineStr">
        <is>
          <t>2008M12</t>
        </is>
      </c>
      <c r="B229" t="n">
        <v>816.092105263157</v>
      </c>
      <c r="C229">
        <f>IF(OR(B229="",B228=""),"",LN(B229/B228)*100)</f>
        <v/>
      </c>
      <c r="D229">
        <f>IF(C229="", "", STDEV.S(C227:C229))</f>
        <v/>
      </c>
      <c r="E229">
        <f>IF(C229="", "", STDEV.S(C218:C229)*SQRT(12))</f>
        <v/>
      </c>
    </row>
    <row r="230">
      <c r="A230" s="6" t="inlineStr">
        <is>
          <t>2009M1</t>
        </is>
      </c>
      <c r="B230" t="n">
        <v>858.690476190476</v>
      </c>
      <c r="C230">
        <f>IF(OR(B230="",B229=""),"",LN(B230/B229)*100)</f>
        <v/>
      </c>
      <c r="D230">
        <f>IF(C230="", "", STDEV.S(C228:C230))</f>
        <v/>
      </c>
      <c r="E230">
        <f>IF(C230="", "", STDEV.S(C219:C230)*SQRT(12))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IF(C231="", "", STDEV.S(C229:C231))</f>
        <v/>
      </c>
      <c r="E231">
        <f>IF(C231="", "", STDEV.S(C220:C231)*SQRT(12))</f>
        <v/>
      </c>
    </row>
    <row r="232">
      <c r="A232" s="6" t="inlineStr">
        <is>
          <t>2009M3</t>
        </is>
      </c>
      <c r="B232" t="n">
        <v>924.272727272727</v>
      </c>
      <c r="C232">
        <f>IF(OR(B232="",B231=""),"",LN(B232/B231)*100)</f>
        <v/>
      </c>
      <c r="D232">
        <f>IF(C232="", "", STDEV.S(C230:C232))</f>
        <v/>
      </c>
      <c r="E232">
        <f>IF(C232="", "", STDEV.S(C221:C232)*SQRT(12))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IF(C233="", "", STDEV.S(C231:C233))</f>
        <v/>
      </c>
      <c r="E233">
        <f>IF(C233="", "", STDEV.S(C222:C233)*SQRT(12))</f>
        <v/>
      </c>
    </row>
    <row r="234">
      <c r="A234" s="6" t="inlineStr">
        <is>
          <t>2009M5</t>
        </is>
      </c>
      <c r="B234" t="n">
        <v>928.644736842105</v>
      </c>
      <c r="C234">
        <f>IF(OR(B234="",B233=""),"",LN(B234/B233)*100)</f>
        <v/>
      </c>
      <c r="D234">
        <f>IF(C234="", "", STDEV.S(C232:C234))</f>
        <v/>
      </c>
      <c r="E234">
        <f>IF(C234="", "", STDEV.S(C223:C234)*SQRT(12))</f>
        <v/>
      </c>
    </row>
    <row r="235">
      <c r="A235" s="6" t="inlineStr">
        <is>
          <t>2009M6</t>
        </is>
      </c>
      <c r="B235" t="n">
        <v>945.670454545454</v>
      </c>
      <c r="C235">
        <f>IF(OR(B235="",B234=""),"",LN(B235/B234)*100)</f>
        <v/>
      </c>
      <c r="D235">
        <f>IF(C235="", "", STDEV.S(C233:C235))</f>
        <v/>
      </c>
      <c r="E235">
        <f>IF(C235="", "", STDEV.S(C224:C235)*SQRT(12))</f>
        <v/>
      </c>
    </row>
    <row r="236">
      <c r="A236" s="6" t="inlineStr">
        <is>
          <t>2009M7</t>
        </is>
      </c>
      <c r="B236" t="n">
        <v>934.228260869565</v>
      </c>
      <c r="C236">
        <f>IF(OR(B236="",B235=""),"",LN(B236/B235)*100)</f>
        <v/>
      </c>
      <c r="D236">
        <f>IF(C236="", "", STDEV.S(C234:C236))</f>
        <v/>
      </c>
      <c r="E236">
        <f>IF(C236="", "", STDEV.S(C225:C236)*SQRT(12))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IF(C237="", "", STDEV.S(C235:C237))</f>
        <v/>
      </c>
      <c r="E237">
        <f>IF(C237="", "", STDEV.S(C226:C237)*SQRT(12))</f>
        <v/>
      </c>
    </row>
    <row r="238">
      <c r="A238" s="6" t="inlineStr">
        <is>
          <t>2009M9</t>
        </is>
      </c>
      <c r="B238" t="n">
        <v>996.590909090909</v>
      </c>
      <c r="C238">
        <f>IF(OR(B238="",B237=""),"",LN(B238/B237)*100)</f>
        <v/>
      </c>
      <c r="D238">
        <f>IF(C238="", "", STDEV.S(C236:C238))</f>
        <v/>
      </c>
      <c r="E238">
        <f>IF(C238="", "", STDEV.S(C227:C238)*SQRT(12))</f>
        <v/>
      </c>
    </row>
    <row r="239">
      <c r="A239" s="6" t="inlineStr">
        <is>
          <t>2009M10</t>
        </is>
      </c>
      <c r="B239" t="n">
        <v>1043.15909090909</v>
      </c>
      <c r="C239">
        <f>IF(OR(B239="",B238=""),"",LN(B239/B238)*100)</f>
        <v/>
      </c>
      <c r="D239">
        <f>IF(C239="", "", STDEV.S(C237:C239))</f>
        <v/>
      </c>
      <c r="E239">
        <f>IF(C239="", "", STDEV.S(C228:C239)*SQRT(12))</f>
        <v/>
      </c>
    </row>
    <row r="240">
      <c r="A240" s="6" t="inlineStr">
        <is>
          <t>2009M11</t>
        </is>
      </c>
      <c r="B240" t="n">
        <v>1127.03571428571</v>
      </c>
      <c r="C240">
        <f>IF(OR(B240="",B239=""),"",LN(B240/B239)*100)</f>
        <v/>
      </c>
      <c r="D240">
        <f>IF(C240="", "", STDEV.S(C238:C240))</f>
        <v/>
      </c>
      <c r="E240">
        <f>IF(C240="", "", STDEV.S(C229:C240)*SQRT(12))</f>
        <v/>
      </c>
    </row>
    <row r="241">
      <c r="A241" s="6" t="inlineStr">
        <is>
          <t>2009M12</t>
        </is>
      </c>
      <c r="B241" t="n">
        <v>1134.72368421052</v>
      </c>
      <c r="C241">
        <f>IF(OR(B241="",B240=""),"",LN(B241/B240)*100)</f>
        <v/>
      </c>
      <c r="D241">
        <f>IF(C241="", "", STDEV.S(C239:C241))</f>
        <v/>
      </c>
      <c r="E241">
        <f>IF(C241="", "", STDEV.S(C230:C241)*SQRT(12))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IF(C242="", "", STDEV.S(C240:C242))</f>
        <v/>
      </c>
      <c r="E242">
        <f>IF(C242="", "", STDEV.S(C231:C242)*SQRT(12))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IF(C243="", "", STDEV.S(C241:C243))</f>
        <v/>
      </c>
      <c r="E243">
        <f>IF(C243="", "", STDEV.S(C232:C243)*SQRT(12))</f>
        <v/>
      </c>
    </row>
    <row r="244">
      <c r="A244" s="6" t="inlineStr">
        <is>
          <t>2010M3</t>
        </is>
      </c>
      <c r="B244" t="n">
        <v>1113.33695652173</v>
      </c>
      <c r="C244">
        <f>IF(OR(B244="",B243=""),"",LN(B244/B243)*100)</f>
        <v/>
      </c>
      <c r="D244">
        <f>IF(C244="", "", STDEV.S(C242:C244))</f>
        <v/>
      </c>
      <c r="E244">
        <f>IF(C244="", "", STDEV.S(C233:C244)*SQRT(12))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IF(C245="", "", STDEV.S(C243:C245))</f>
        <v/>
      </c>
      <c r="E245">
        <f>IF(C245="", "", STDEV.S(C234:C245)*SQRT(12))</f>
        <v/>
      </c>
    </row>
    <row r="246">
      <c r="A246" s="6" t="inlineStr">
        <is>
          <t>2010M5</t>
        </is>
      </c>
      <c r="B246" t="n">
        <v>1205.43421052631</v>
      </c>
      <c r="C246">
        <f>IF(OR(B246="",B245=""),"",LN(B246/B245)*100)</f>
        <v/>
      </c>
      <c r="D246">
        <f>IF(C246="", "", STDEV.S(C244:C246))</f>
        <v/>
      </c>
      <c r="E246">
        <f>IF(C246="", "", STDEV.S(C235:C246)*SQRT(12))</f>
        <v/>
      </c>
    </row>
    <row r="247">
      <c r="A247" s="6" t="inlineStr">
        <is>
          <t>2010M6</t>
        </is>
      </c>
      <c r="B247" t="n">
        <v>1232.92045454545</v>
      </c>
      <c r="C247">
        <f>IF(OR(B247="",B246=""),"",LN(B247/B246)*100)</f>
        <v/>
      </c>
      <c r="D247">
        <f>IF(C247="", "", STDEV.S(C245:C247))</f>
        <v/>
      </c>
      <c r="E247">
        <f>IF(C247="", "", STDEV.S(C236:C247)*SQRT(12))</f>
        <v/>
      </c>
    </row>
    <row r="248">
      <c r="A248" s="6" t="inlineStr">
        <is>
          <t>2010M7</t>
        </is>
      </c>
      <c r="B248" t="n">
        <v>1192.9659090909</v>
      </c>
      <c r="C248">
        <f>IF(OR(B248="",B247=""),"",LN(B248/B247)*100)</f>
        <v/>
      </c>
      <c r="D248">
        <f>IF(C248="", "", STDEV.S(C246:C248))</f>
        <v/>
      </c>
      <c r="E248">
        <f>IF(C248="", "", STDEV.S(C237:C248)*SQRT(12))</f>
        <v/>
      </c>
    </row>
    <row r="249">
      <c r="A249" s="6" t="inlineStr">
        <is>
          <t>2010M8</t>
        </is>
      </c>
      <c r="B249" t="n">
        <v>1215.80952380952</v>
      </c>
      <c r="C249">
        <f>IF(OR(B249="",B248=""),"",LN(B249/B248)*100)</f>
        <v/>
      </c>
      <c r="D249">
        <f>IF(C249="", "", STDEV.S(C247:C249))</f>
        <v/>
      </c>
      <c r="E249">
        <f>IF(C249="", "", STDEV.S(C238:C249)*SQRT(12))</f>
        <v/>
      </c>
    </row>
    <row r="250">
      <c r="A250" s="6" t="inlineStr">
        <is>
          <t>2010M9</t>
        </is>
      </c>
      <c r="B250" t="n">
        <v>1270.97727272727</v>
      </c>
      <c r="C250">
        <f>IF(OR(B250="",B249=""),"",LN(B250/B249)*100)</f>
        <v/>
      </c>
      <c r="D250">
        <f>IF(C250="", "", STDEV.S(C248:C250))</f>
        <v/>
      </c>
      <c r="E250">
        <f>IF(C250="", "", STDEV.S(C239:C250)*SQRT(12))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IF(C251="", "", STDEV.S(C249:C251))</f>
        <v/>
      </c>
      <c r="E251">
        <f>IF(C251="", "", STDEV.S(C240:C251)*SQRT(12))</f>
        <v/>
      </c>
    </row>
    <row r="252">
      <c r="A252" s="6" t="inlineStr">
        <is>
          <t>2010M11</t>
        </is>
      </c>
      <c r="B252" t="n">
        <v>1369.88636363636</v>
      </c>
      <c r="C252">
        <f>IF(OR(B252="",B251=""),"",LN(B252/B251)*100)</f>
        <v/>
      </c>
      <c r="D252">
        <f>IF(C252="", "", STDEV.S(C250:C252))</f>
        <v/>
      </c>
      <c r="E252">
        <f>IF(C252="", "", STDEV.S(C241:C252)*SQRT(12))</f>
        <v/>
      </c>
    </row>
    <row r="253">
      <c r="A253" s="6" t="inlineStr">
        <is>
          <t>2010M12</t>
        </is>
      </c>
      <c r="B253" t="n">
        <v>1390.55263157894</v>
      </c>
      <c r="C253">
        <f>IF(OR(B253="",B252=""),"",LN(B253/B252)*100)</f>
        <v/>
      </c>
      <c r="D253">
        <f>IF(C253="", "", STDEV.S(C251:C253))</f>
        <v/>
      </c>
      <c r="E253">
        <f>IF(C253="", "", STDEV.S(C242:C253)*SQRT(12))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IF(C254="", "", STDEV.S(C252:C254))</f>
        <v/>
      </c>
      <c r="E254">
        <f>IF(C254="", "", STDEV.S(C243:C254)*SQRT(12))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IF(C255="", "", STDEV.S(C253:C255))</f>
        <v/>
      </c>
      <c r="E255">
        <f>IF(C255="", "", STDEV.S(C244:C255)*SQRT(12))</f>
        <v/>
      </c>
    </row>
    <row r="256">
      <c r="A256" s="6" t="inlineStr">
        <is>
          <t>2011M3</t>
        </is>
      </c>
      <c r="B256" t="n">
        <v>1424.01086956521</v>
      </c>
      <c r="C256">
        <f>IF(OR(B256="",B255=""),"",LN(B256/B255)*100)</f>
        <v/>
      </c>
      <c r="D256">
        <f>IF(C256="", "", STDEV.S(C254:C256))</f>
        <v/>
      </c>
      <c r="E256">
        <f>IF(C256="", "", STDEV.S(C245:C256)*SQRT(12))</f>
        <v/>
      </c>
    </row>
    <row r="257">
      <c r="A257" s="6" t="inlineStr">
        <is>
          <t>2011M4</t>
        </is>
      </c>
      <c r="B257" t="n">
        <v>1473.80555555555</v>
      </c>
      <c r="C257">
        <f>IF(OR(B257="",B256=""),"",LN(B257/B256)*100)</f>
        <v/>
      </c>
      <c r="D257">
        <f>IF(C257="", "", STDEV.S(C255:C257))</f>
        <v/>
      </c>
      <c r="E257">
        <f>IF(C257="", "", STDEV.S(C246:C257)*SQRT(12))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IF(C258="", "", STDEV.S(C256:C258))</f>
        <v/>
      </c>
      <c r="E258">
        <f>IF(C258="", "", STDEV.S(C247:C258)*SQRT(12))</f>
        <v/>
      </c>
    </row>
    <row r="259">
      <c r="A259" s="6" t="inlineStr">
        <is>
          <t>2011M6</t>
        </is>
      </c>
      <c r="B259" t="n">
        <v>1528.65909090909</v>
      </c>
      <c r="C259">
        <f>IF(OR(B259="",B258=""),"",LN(B259/B258)*100)</f>
        <v/>
      </c>
      <c r="D259">
        <f>IF(C259="", "", STDEV.S(C257:C259))</f>
        <v/>
      </c>
      <c r="E259">
        <f>IF(C259="", "", STDEV.S(C248:C259)*SQRT(12))</f>
        <v/>
      </c>
    </row>
    <row r="260">
      <c r="A260" s="6" t="inlineStr">
        <is>
          <t>2011M7</t>
        </is>
      </c>
      <c r="B260" t="n">
        <v>1572.80952380952</v>
      </c>
      <c r="C260">
        <f>IF(OR(B260="",B259=""),"",LN(B260/B259)*100)</f>
        <v/>
      </c>
      <c r="D260">
        <f>IF(C260="", "", STDEV.S(C258:C260))</f>
        <v/>
      </c>
      <c r="E260">
        <f>IF(C260="", "", STDEV.S(C249:C260)*SQRT(12))</f>
        <v/>
      </c>
    </row>
    <row r="261">
      <c r="A261" s="6" t="inlineStr">
        <is>
          <t>2011M8</t>
        </is>
      </c>
      <c r="B261" t="n">
        <v>1755.80681818181</v>
      </c>
      <c r="C261">
        <f>IF(OR(B261="",B260=""),"",LN(B261/B260)*100)</f>
        <v/>
      </c>
      <c r="D261">
        <f>IF(C261="", "", STDEV.S(C259:C261))</f>
        <v/>
      </c>
      <c r="E261">
        <f>IF(C261="", "", STDEV.S(C250:C261)*SQRT(12))</f>
        <v/>
      </c>
    </row>
    <row r="262">
      <c r="A262" s="6" t="inlineStr">
        <is>
          <t>2011M9</t>
        </is>
      </c>
      <c r="B262" t="n">
        <v>1771.85227272727</v>
      </c>
      <c r="C262">
        <f>IF(OR(B262="",B261=""),"",LN(B262/B261)*100)</f>
        <v/>
      </c>
      <c r="D262">
        <f>IF(C262="", "", STDEV.S(C260:C262))</f>
        <v/>
      </c>
      <c r="E262">
        <f>IF(C262="", "", STDEV.S(C251:C262)*SQRT(12))</f>
        <v/>
      </c>
    </row>
    <row r="263">
      <c r="A263" s="6" t="inlineStr">
        <is>
          <t>2011M10</t>
        </is>
      </c>
      <c r="B263" t="n">
        <v>1665.21428571428</v>
      </c>
      <c r="C263">
        <f>IF(OR(B263="",B262=""),"",LN(B263/B262)*100)</f>
        <v/>
      </c>
      <c r="D263">
        <f>IF(C263="", "", STDEV.S(C261:C263))</f>
        <v/>
      </c>
      <c r="E263">
        <f>IF(C263="", "", STDEV.S(C252:C263)*SQRT(12))</f>
        <v/>
      </c>
    </row>
    <row r="264">
      <c r="A264" s="6" t="inlineStr">
        <is>
          <t>2011M11</t>
        </is>
      </c>
      <c r="B264" t="n">
        <v>1738.97727272727</v>
      </c>
      <c r="C264">
        <f>IF(OR(B264="",B263=""),"",LN(B264/B263)*100)</f>
        <v/>
      </c>
      <c r="D264">
        <f>IF(C264="", "", STDEV.S(C262:C264))</f>
        <v/>
      </c>
      <c r="E264">
        <f>IF(C264="", "", STDEV.S(C253:C264)*SQRT(12))</f>
        <v/>
      </c>
    </row>
    <row r="265">
      <c r="A265" s="6" t="inlineStr">
        <is>
          <t>2011M12</t>
        </is>
      </c>
      <c r="B265" t="n">
        <v>1652.30555555555</v>
      </c>
      <c r="C265">
        <f>IF(OR(B265="",B264=""),"",LN(B265/B264)*100)</f>
        <v/>
      </c>
      <c r="D265">
        <f>IF(C265="", "", STDEV.S(C263:C265))</f>
        <v/>
      </c>
      <c r="E265">
        <f>IF(C265="", "", STDEV.S(C254:C265)*SQRT(12))</f>
        <v/>
      </c>
    </row>
    <row r="266">
      <c r="A266" s="6" t="inlineStr">
        <is>
          <t>2012M1</t>
        </is>
      </c>
      <c r="B266" t="n">
        <v>1656.11904761904</v>
      </c>
      <c r="C266">
        <f>IF(OR(B266="",B265=""),"",LN(B266/B265)*100)</f>
        <v/>
      </c>
      <c r="D266">
        <f>IF(C266="", "", STDEV.S(C264:C266))</f>
        <v/>
      </c>
      <c r="E266">
        <f>IF(C266="", "", STDEV.S(C255:C266)*SQRT(12))</f>
        <v/>
      </c>
    </row>
    <row r="267">
      <c r="A267" s="6" t="inlineStr">
        <is>
          <t>2012M2</t>
        </is>
      </c>
      <c r="B267" t="n">
        <v>1742.61904761904</v>
      </c>
      <c r="C267">
        <f>IF(OR(B267="",B266=""),"",LN(B267/B266)*100)</f>
        <v/>
      </c>
      <c r="D267">
        <f>IF(C267="", "", STDEV.S(C265:C267))</f>
        <v/>
      </c>
      <c r="E267">
        <f>IF(C267="", "", STDEV.S(C256:C267)*SQRT(12))</f>
        <v/>
      </c>
    </row>
    <row r="268">
      <c r="A268" s="6" t="inlineStr">
        <is>
          <t>2012M3</t>
        </is>
      </c>
      <c r="B268" t="n">
        <v>1673.77272727272</v>
      </c>
      <c r="C268">
        <f>IF(OR(B268="",B267=""),"",LN(B268/B267)*100)</f>
        <v/>
      </c>
      <c r="D268">
        <f>IF(C268="", "", STDEV.S(C266:C268))</f>
        <v/>
      </c>
      <c r="E268">
        <f>IF(C268="", "", STDEV.S(C257:C268)*SQRT(12))</f>
        <v/>
      </c>
    </row>
    <row r="269">
      <c r="A269" s="6" t="inlineStr">
        <is>
          <t>2012M4</t>
        </is>
      </c>
      <c r="B269" t="n">
        <v>1650.06578947368</v>
      </c>
      <c r="C269">
        <f>IF(OR(B269="",B268=""),"",LN(B269/B268)*100)</f>
        <v/>
      </c>
      <c r="D269">
        <f>IF(C269="", "", STDEV.S(C267:C269))</f>
        <v/>
      </c>
      <c r="E269">
        <f>IF(C269="", "", STDEV.S(C258:C269)*SQRT(12))</f>
        <v/>
      </c>
    </row>
    <row r="270">
      <c r="A270" s="6" t="inlineStr">
        <is>
          <t>2012M5</t>
        </is>
      </c>
      <c r="B270" t="n">
        <v>1585.50454545454</v>
      </c>
      <c r="C270">
        <f>IF(OR(B270="",B269=""),"",LN(B270/B269)*100)</f>
        <v/>
      </c>
      <c r="D270">
        <f>IF(C270="", "", STDEV.S(C268:C270))</f>
        <v/>
      </c>
      <c r="E270">
        <f>IF(C270="", "", STDEV.S(C259:C270)*SQRT(12))</f>
        <v/>
      </c>
    </row>
    <row r="271">
      <c r="A271" s="6" t="inlineStr">
        <is>
          <t>2012M6</t>
        </is>
      </c>
      <c r="B271" t="n">
        <v>1596.69736842105</v>
      </c>
      <c r="C271">
        <f>IF(OR(B271="",B270=""),"",LN(B271/B270)*100)</f>
        <v/>
      </c>
      <c r="D271">
        <f>IF(C271="", "", STDEV.S(C269:C271))</f>
        <v/>
      </c>
      <c r="E271">
        <f>IF(C271="", "", STDEV.S(C260:C271)*SQRT(12))</f>
        <v/>
      </c>
    </row>
    <row r="272">
      <c r="A272" s="6" t="inlineStr">
        <is>
          <t>2012M7</t>
        </is>
      </c>
      <c r="B272" t="n">
        <v>1593.90909090909</v>
      </c>
      <c r="C272">
        <f>IF(OR(B272="",B271=""),"",LN(B272/B271)*100)</f>
        <v/>
      </c>
      <c r="D272">
        <f>IF(C272="", "", STDEV.S(C270:C272))</f>
        <v/>
      </c>
      <c r="E272">
        <f>IF(C272="", "", STDEV.S(C261:C272)*SQRT(12))</f>
        <v/>
      </c>
    </row>
    <row r="273">
      <c r="A273" s="6" t="inlineStr">
        <is>
          <t>2012M8</t>
        </is>
      </c>
      <c r="B273" t="n">
        <v>1626.03409090909</v>
      </c>
      <c r="C273">
        <f>IF(OR(B273="",B272=""),"",LN(B273/B272)*100)</f>
        <v/>
      </c>
      <c r="D273">
        <f>IF(C273="", "", STDEV.S(C271:C273))</f>
        <v/>
      </c>
      <c r="E273">
        <f>IF(C273="", "", STDEV.S(C262:C273)*SQRT(12))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IF(C274="", "", STDEV.S(C272:C274))</f>
        <v/>
      </c>
      <c r="E274">
        <f>IF(C274="", "", STDEV.S(C263:C274)*SQRT(12))</f>
        <v/>
      </c>
    </row>
    <row r="275">
      <c r="A275" s="6" t="inlineStr">
        <is>
          <t>2012M10</t>
        </is>
      </c>
      <c r="B275" t="n">
        <v>1747.01086956521</v>
      </c>
      <c r="C275">
        <f>IF(OR(B275="",B274=""),"",LN(B275/B274)*100)</f>
        <v/>
      </c>
      <c r="D275">
        <f>IF(C275="", "", STDEV.S(C273:C275))</f>
        <v/>
      </c>
      <c r="E275">
        <f>IF(C275="", "", STDEV.S(C264:C275)*SQRT(12))</f>
        <v/>
      </c>
    </row>
    <row r="276">
      <c r="A276" s="6" t="inlineStr">
        <is>
          <t>2012M11</t>
        </is>
      </c>
      <c r="B276" t="n">
        <v>1721.13636363636</v>
      </c>
      <c r="C276">
        <f>IF(OR(B276="",B275=""),"",LN(B276/B275)*100)</f>
        <v/>
      </c>
      <c r="D276">
        <f>IF(C276="", "", STDEV.S(C274:C276))</f>
        <v/>
      </c>
      <c r="E276">
        <f>IF(C276="", "", STDEV.S(C265:C276)*SQRT(12))</f>
        <v/>
      </c>
    </row>
    <row r="277">
      <c r="A277" s="6" t="inlineStr">
        <is>
          <t>2012M12</t>
        </is>
      </c>
      <c r="B277" t="n">
        <v>1688.5294117647</v>
      </c>
      <c r="C277">
        <f>IF(OR(B277="",B276=""),"",LN(B277/B276)*100)</f>
        <v/>
      </c>
      <c r="D277">
        <f>IF(C277="", "", STDEV.S(C275:C277))</f>
        <v/>
      </c>
      <c r="E277">
        <f>IF(C277="", "", STDEV.S(C266:C277)*SQRT(12))</f>
        <v/>
      </c>
    </row>
    <row r="278">
      <c r="A278" s="6" t="inlineStr">
        <is>
          <t>2013M1</t>
        </is>
      </c>
      <c r="B278" t="n">
        <v>1670.95454545454</v>
      </c>
      <c r="C278">
        <f>IF(OR(B278="",B277=""),"",LN(B278/B277)*100)</f>
        <v/>
      </c>
      <c r="D278">
        <f>IF(C278="", "", STDEV.S(C276:C278))</f>
        <v/>
      </c>
      <c r="E278">
        <f>IF(C278="", "", STDEV.S(C267:C278)*SQRT(12))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IF(C279="", "", STDEV.S(C277:C279))</f>
        <v/>
      </c>
      <c r="E279">
        <f>IF(C279="", "", STDEV.S(C268:C279)*SQRT(12))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IF(C280="", "", STDEV.S(C278:C280))</f>
        <v/>
      </c>
      <c r="E280">
        <f>IF(C280="", "", STDEV.S(C269:C280)*SQRT(12))</f>
        <v/>
      </c>
    </row>
    <row r="281">
      <c r="A281" s="6" t="inlineStr">
        <is>
          <t>2013M4</t>
        </is>
      </c>
      <c r="B281" t="n">
        <v>1485.08333333333</v>
      </c>
      <c r="C281">
        <f>IF(OR(B281="",B280=""),"",LN(B281/B280)*100)</f>
        <v/>
      </c>
      <c r="D281">
        <f>IF(C281="", "", STDEV.S(C279:C281))</f>
        <v/>
      </c>
      <c r="E281">
        <f>IF(C281="", "", STDEV.S(C270:C281)*SQRT(12))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IF(C282="", "", STDEV.S(C280:C282))</f>
        <v/>
      </c>
      <c r="E282">
        <f>IF(C282="", "", STDEV.S(C271:C282)*SQRT(12))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IF(C283="", "", STDEV.S(C281:C283))</f>
        <v/>
      </c>
      <c r="E283">
        <f>IF(C283="", "", STDEV.S(C272:C283)*SQRT(12))</f>
        <v/>
      </c>
    </row>
    <row r="284">
      <c r="A284" s="6" t="inlineStr">
        <is>
          <t>2013M7</t>
        </is>
      </c>
      <c r="B284" t="n">
        <v>1286.72391304347</v>
      </c>
      <c r="C284">
        <f>IF(OR(B284="",B283=""),"",LN(B284/B283)*100)</f>
        <v/>
      </c>
      <c r="D284">
        <f>IF(C284="", "", STDEV.S(C282:C284))</f>
        <v/>
      </c>
      <c r="E284">
        <f>IF(C284="", "", STDEV.S(C273:C284)*SQRT(12))</f>
        <v/>
      </c>
    </row>
    <row r="285">
      <c r="A285" s="6" t="inlineStr">
        <is>
          <t>2013M8</t>
        </is>
      </c>
      <c r="B285" t="n">
        <v>1347.09523809523</v>
      </c>
      <c r="C285">
        <f>IF(OR(B285="",B284=""),"",LN(B285/B284)*100)</f>
        <v/>
      </c>
      <c r="D285">
        <f>IF(C285="", "", STDEV.S(C283:C285))</f>
        <v/>
      </c>
      <c r="E285">
        <f>IF(C285="", "", STDEV.S(C274:C285)*SQRT(12))</f>
        <v/>
      </c>
    </row>
    <row r="286">
      <c r="A286" s="6" t="inlineStr">
        <is>
          <t>2013M9</t>
        </is>
      </c>
      <c r="B286" t="n">
        <v>1348.79761904761</v>
      </c>
      <c r="C286">
        <f>IF(OR(B286="",B285=""),"",LN(B286/B285)*100)</f>
        <v/>
      </c>
      <c r="D286">
        <f>IF(C286="", "", STDEV.S(C284:C286))</f>
        <v/>
      </c>
      <c r="E286">
        <f>IF(C286="", "", STDEV.S(C275:C286)*SQRT(12))</f>
        <v/>
      </c>
    </row>
    <row r="287">
      <c r="A287" s="6" t="inlineStr">
        <is>
          <t>2013M10</t>
        </is>
      </c>
      <c r="B287" t="n">
        <v>1316.18478260869</v>
      </c>
      <c r="C287">
        <f>IF(OR(B287="",B286=""),"",LN(B287/B286)*100)</f>
        <v/>
      </c>
      <c r="D287">
        <f>IF(C287="", "", STDEV.S(C285:C287))</f>
        <v/>
      </c>
      <c r="E287">
        <f>IF(C287="", "", STDEV.S(C276:C287)*SQRT(12))</f>
        <v/>
      </c>
    </row>
    <row r="288">
      <c r="A288" s="6" t="inlineStr">
        <is>
          <t>2013M11</t>
        </is>
      </c>
      <c r="B288" t="n">
        <v>1275.82142857142</v>
      </c>
      <c r="C288">
        <f>IF(OR(B288="",B287=""),"",LN(B288/B287)*100)</f>
        <v/>
      </c>
      <c r="D288">
        <f>IF(C288="", "", STDEV.S(C286:C288))</f>
        <v/>
      </c>
      <c r="E288">
        <f>IF(C288="", "", STDEV.S(C277:C288)*SQRT(12))</f>
        <v/>
      </c>
    </row>
    <row r="289">
      <c r="A289" s="6" t="inlineStr">
        <is>
          <t>2013M12</t>
        </is>
      </c>
      <c r="B289" t="n">
        <v>1225.40277777777</v>
      </c>
      <c r="C289">
        <f>IF(OR(B289="",B288=""),"",LN(B289/B288)*100)</f>
        <v/>
      </c>
      <c r="D289">
        <f>IF(C289="", "", STDEV.S(C287:C289))</f>
        <v/>
      </c>
      <c r="E289">
        <f>IF(C289="", "", STDEV.S(C278:C289)*SQRT(12))</f>
        <v/>
      </c>
    </row>
    <row r="290">
      <c r="A290" s="6" t="inlineStr">
        <is>
          <t>2014M1</t>
        </is>
      </c>
      <c r="B290" t="n">
        <v>1244.79545454545</v>
      </c>
      <c r="C290">
        <f>IF(OR(B290="",B289=""),"",LN(B290/B289)*100)</f>
        <v/>
      </c>
      <c r="D290">
        <f>IF(C290="", "", STDEV.S(C288:C290))</f>
        <v/>
      </c>
      <c r="E290">
        <f>IF(C290="", "", STDEV.S(C279:C290)*SQRT(12))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IF(C291="", "", STDEV.S(C289:C291))</f>
        <v/>
      </c>
      <c r="E291">
        <f>IF(C291="", "", STDEV.S(C280:C291)*SQRT(12))</f>
        <v/>
      </c>
    </row>
    <row r="292">
      <c r="A292" s="6" t="inlineStr">
        <is>
          <t>2014M3</t>
        </is>
      </c>
      <c r="B292" t="n">
        <v>1336.08333333333</v>
      </c>
      <c r="C292">
        <f>IF(OR(B292="",B291=""),"",LN(B292/B291)*100)</f>
        <v/>
      </c>
      <c r="D292">
        <f>IF(C292="", "", STDEV.S(C290:C292))</f>
        <v/>
      </c>
      <c r="E292">
        <f>IF(C292="", "", STDEV.S(C281:C292)*SQRT(12))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IF(C293="", "", STDEV.S(C291:C293))</f>
        <v/>
      </c>
      <c r="E293">
        <f>IF(C293="", "", STDEV.S(C282:C293)*SQRT(12))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IF(C294="", "", STDEV.S(C292:C294))</f>
        <v/>
      </c>
      <c r="E294">
        <f>IF(C294="", "", STDEV.S(C283:C294)*SQRT(12))</f>
        <v/>
      </c>
    </row>
    <row r="295">
      <c r="A295" s="6" t="inlineStr">
        <is>
          <t>2014M6</t>
        </is>
      </c>
      <c r="B295" t="n">
        <v>1279.09523809523</v>
      </c>
      <c r="C295">
        <f>IF(OR(B295="",B294=""),"",LN(B295/B294)*100)</f>
        <v/>
      </c>
      <c r="D295">
        <f>IF(C295="", "", STDEV.S(C293:C295))</f>
        <v/>
      </c>
      <c r="E295">
        <f>IF(C295="", "", STDEV.S(C284:C295)*SQRT(12))</f>
        <v/>
      </c>
    </row>
    <row r="296">
      <c r="A296" s="6" t="inlineStr">
        <is>
          <t>2014M7</t>
        </is>
      </c>
      <c r="B296" t="n">
        <v>1310.96739130434</v>
      </c>
      <c r="C296">
        <f>IF(OR(B296="",B295=""),"",LN(B296/B295)*100)</f>
        <v/>
      </c>
      <c r="D296">
        <f>IF(C296="", "", STDEV.S(C294:C296))</f>
        <v/>
      </c>
      <c r="E296">
        <f>IF(C296="", "", STDEV.S(C285:C296)*SQRT(12))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IF(C297="", "", STDEV.S(C295:C297))</f>
        <v/>
      </c>
      <c r="E297">
        <f>IF(C297="", "", STDEV.S(C286:C297)*SQRT(12))</f>
        <v/>
      </c>
    </row>
    <row r="298">
      <c r="A298" s="6" t="inlineStr">
        <is>
          <t>2014M9</t>
        </is>
      </c>
      <c r="B298" t="n">
        <v>1238.81818181818</v>
      </c>
      <c r="C298">
        <f>IF(OR(B298="",B297=""),"",LN(B298/B297)*100)</f>
        <v/>
      </c>
      <c r="D298">
        <f>IF(C298="", "", STDEV.S(C296:C298))</f>
        <v/>
      </c>
      <c r="E298">
        <f>IF(C298="", "", STDEV.S(C287:C298)*SQRT(12))</f>
        <v/>
      </c>
    </row>
    <row r="299">
      <c r="A299" s="6" t="inlineStr">
        <is>
          <t>2014M10</t>
        </is>
      </c>
      <c r="B299" t="n">
        <v>1222.48913043478</v>
      </c>
      <c r="C299">
        <f>IF(OR(B299="",B298=""),"",LN(B299/B298)*100)</f>
        <v/>
      </c>
      <c r="D299">
        <f>IF(C299="", "", STDEV.S(C297:C299))</f>
        <v/>
      </c>
      <c r="E299">
        <f>IF(C299="", "", STDEV.S(C288:C299)*SQRT(12))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IF(C300="", "", STDEV.S(C298:C300))</f>
        <v/>
      </c>
      <c r="E300">
        <f>IF(C300="", "", STDEV.S(C289:C300)*SQRT(12))</f>
        <v/>
      </c>
    </row>
    <row r="301">
      <c r="A301" s="6" t="inlineStr">
        <is>
          <t>2014M12</t>
        </is>
      </c>
      <c r="B301" t="n">
        <v>1202.28947368421</v>
      </c>
      <c r="C301">
        <f>IF(OR(B301="",B300=""),"",LN(B301/B300)*100)</f>
        <v/>
      </c>
      <c r="D301">
        <f>IF(C301="", "", STDEV.S(C299:C301))</f>
        <v/>
      </c>
      <c r="E301">
        <f>IF(C301="", "", STDEV.S(C290:C301)*SQRT(12))</f>
        <v/>
      </c>
    </row>
    <row r="302">
      <c r="A302" s="6" t="inlineStr">
        <is>
          <t>2015M1</t>
        </is>
      </c>
      <c r="B302" t="n">
        <v>1251.84523809523</v>
      </c>
      <c r="C302">
        <f>IF(OR(B302="",B301=""),"",LN(B302/B301)*100)</f>
        <v/>
      </c>
      <c r="D302">
        <f>IF(C302="", "", STDEV.S(C300:C302))</f>
        <v/>
      </c>
      <c r="E302">
        <f>IF(C302="", "", STDEV.S(C291:C302)*SQRT(12))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IF(C303="", "", STDEV.S(C301:C303))</f>
        <v/>
      </c>
      <c r="E303">
        <f>IF(C303="", "", STDEV.S(C292:C303)*SQRT(12))</f>
        <v/>
      </c>
    </row>
    <row r="304">
      <c r="A304" s="6" t="inlineStr">
        <is>
          <t>2015M3</t>
        </is>
      </c>
      <c r="B304" t="n">
        <v>1178.62954545454</v>
      </c>
      <c r="C304">
        <f>IF(OR(B304="",B303=""),"",LN(B304/B303)*100)</f>
        <v/>
      </c>
      <c r="D304">
        <f>IF(C304="", "", STDEV.S(C302:C304))</f>
        <v/>
      </c>
      <c r="E304">
        <f>IF(C304="", "", STDEV.S(C293:C304)*SQRT(12))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IF(C305="", "", STDEV.S(C303:C305))</f>
        <v/>
      </c>
      <c r="E305">
        <f>IF(C305="", "", STDEV.S(C294:C305)*SQRT(12))</f>
        <v/>
      </c>
    </row>
    <row r="306">
      <c r="A306" s="6" t="inlineStr">
        <is>
          <t>2015M5</t>
        </is>
      </c>
      <c r="B306" t="n">
        <v>1199.05263157894</v>
      </c>
      <c r="C306">
        <f>IF(OR(B306="",B305=""),"",LN(B306/B305)*100)</f>
        <v/>
      </c>
      <c r="D306">
        <f>IF(C306="", "", STDEV.S(C304:C306))</f>
        <v/>
      </c>
      <c r="E306">
        <f>IF(C306="", "", STDEV.S(C295:C306)*SQRT(12))</f>
        <v/>
      </c>
    </row>
    <row r="307">
      <c r="A307" s="6" t="inlineStr">
        <is>
          <t>2015M6</t>
        </is>
      </c>
      <c r="B307" t="n">
        <v>1181.50454545454</v>
      </c>
      <c r="C307">
        <f>IF(OR(B307="",B306=""),"",LN(B307/B306)*100)</f>
        <v/>
      </c>
      <c r="D307">
        <f>IF(C307="", "", STDEV.S(C305:C307))</f>
        <v/>
      </c>
      <c r="E307">
        <f>IF(C307="", "", STDEV.S(C296:C307)*SQRT(12))</f>
        <v/>
      </c>
    </row>
    <row r="308">
      <c r="A308" s="6" t="inlineStr">
        <is>
          <t>2015M7</t>
        </is>
      </c>
      <c r="B308" t="n">
        <v>1130.03695652173</v>
      </c>
      <c r="C308">
        <f>IF(OR(B308="",B307=""),"",LN(B308/B307)*100)</f>
        <v/>
      </c>
      <c r="D308">
        <f>IF(C308="", "", STDEV.S(C306:C308))</f>
        <v/>
      </c>
      <c r="E308">
        <f>IF(C308="", "", STDEV.S(C297:C308)*SQRT(12))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IF(C309="", "", STDEV.S(C307:C309))</f>
        <v/>
      </c>
      <c r="E309">
        <f>IF(C309="", "", STDEV.S(C298:C309)*SQRT(12))</f>
        <v/>
      </c>
    </row>
    <row r="310">
      <c r="A310" s="6" t="inlineStr">
        <is>
          <t>2015M9</t>
        </is>
      </c>
      <c r="B310" t="n">
        <v>1124.53181818181</v>
      </c>
      <c r="C310">
        <f>IF(OR(B310="",B309=""),"",LN(B310/B309)*100)</f>
        <v/>
      </c>
      <c r="D310">
        <f>IF(C310="", "", STDEV.S(C308:C310))</f>
        <v/>
      </c>
      <c r="E310">
        <f>IF(C310="", "", STDEV.S(C299:C310)*SQRT(12))</f>
        <v/>
      </c>
    </row>
    <row r="311">
      <c r="A311" s="6" t="inlineStr">
        <is>
          <t>2015M10</t>
        </is>
      </c>
      <c r="B311" t="n">
        <v>1159.24545454545</v>
      </c>
      <c r="C311">
        <f>IF(OR(B311="",B310=""),"",LN(B311/B310)*100)</f>
        <v/>
      </c>
      <c r="D311">
        <f>IF(C311="", "", STDEV.S(C309:C311))</f>
        <v/>
      </c>
      <c r="E311">
        <f>IF(C311="", "", STDEV.S(C300:C311)*SQRT(12))</f>
        <v/>
      </c>
    </row>
    <row r="312">
      <c r="A312" s="6" t="inlineStr">
        <is>
          <t>2015M11</t>
        </is>
      </c>
      <c r="B312" t="n">
        <v>1085.70238095238</v>
      </c>
      <c r="C312">
        <f>IF(OR(B312="",B311=""),"",LN(B312/B311)*100)</f>
        <v/>
      </c>
      <c r="D312">
        <f>IF(C312="", "", STDEV.S(C310:C312))</f>
        <v/>
      </c>
      <c r="E312">
        <f>IF(C312="", "", STDEV.S(C301:C312)*SQRT(12))</f>
        <v/>
      </c>
    </row>
    <row r="313">
      <c r="A313" s="6" t="inlineStr">
        <is>
          <t>2015M12</t>
        </is>
      </c>
      <c r="B313" t="n">
        <v>1068.25263157894</v>
      </c>
      <c r="C313">
        <f>IF(OR(B313="",B312=""),"",LN(B313/B312)*100)</f>
        <v/>
      </c>
      <c r="D313">
        <f>IF(C313="", "", STDEV.S(C311:C313))</f>
        <v/>
      </c>
      <c r="E313">
        <f>IF(C313="", "", STDEV.S(C302:C313)*SQRT(12))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IF(C314="", "", STDEV.S(C312:C314))</f>
        <v/>
      </c>
      <c r="E314">
        <f>IF(C314="", "", STDEV.S(C303:C314)*SQRT(12))</f>
        <v/>
      </c>
    </row>
    <row r="315">
      <c r="A315" s="6" t="inlineStr">
        <is>
          <t>2016M2</t>
        </is>
      </c>
      <c r="B315" t="n">
        <v>1199.9119047619</v>
      </c>
      <c r="C315">
        <f>IF(OR(B315="",B314=""),"",LN(B315/B314)*100)</f>
        <v/>
      </c>
      <c r="D315">
        <f>IF(C315="", "", STDEV.S(C313:C315))</f>
        <v/>
      </c>
      <c r="E315">
        <f>IF(C315="", "", STDEV.S(C304:C315)*SQRT(12))</f>
        <v/>
      </c>
    </row>
    <row r="316">
      <c r="A316" s="6" t="inlineStr">
        <is>
          <t>2016M3</t>
        </is>
      </c>
      <c r="B316" t="n">
        <v>1246.33809523809</v>
      </c>
      <c r="C316">
        <f>IF(OR(B316="",B315=""),"",LN(B316/B315)*100)</f>
        <v/>
      </c>
      <c r="D316">
        <f>IF(C316="", "", STDEV.S(C314:C316))</f>
        <v/>
      </c>
      <c r="E316">
        <f>IF(C316="", "", STDEV.S(C305:C316)*SQRT(12))</f>
        <v/>
      </c>
    </row>
    <row r="317">
      <c r="A317" s="6" t="inlineStr">
        <is>
          <t>2016M4</t>
        </is>
      </c>
      <c r="B317" t="n">
        <v>1242.2619047619</v>
      </c>
      <c r="C317">
        <f>IF(OR(B317="",B316=""),"",LN(B317/B316)*100)</f>
        <v/>
      </c>
      <c r="D317">
        <f>IF(C317="", "", STDEV.S(C315:C317))</f>
        <v/>
      </c>
      <c r="E317">
        <f>IF(C317="", "", STDEV.S(C306:C317)*SQRT(12))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IF(C318="", "", STDEV.S(C316:C318))</f>
        <v/>
      </c>
      <c r="E318">
        <f>IF(C318="", "", STDEV.S(C307:C318)*SQRT(12))</f>
        <v/>
      </c>
    </row>
    <row r="319">
      <c r="A319" s="6" t="inlineStr">
        <is>
          <t>2016M6</t>
        </is>
      </c>
      <c r="B319" t="n">
        <v>1276.40454545454</v>
      </c>
      <c r="C319">
        <f>IF(OR(B319="",B318=""),"",LN(B319/B318)*100)</f>
        <v/>
      </c>
      <c r="D319">
        <f>IF(C319="", "", STDEV.S(C317:C319))</f>
        <v/>
      </c>
      <c r="E319">
        <f>IF(C319="", "", STDEV.S(C308:C319)*SQRT(12))</f>
        <v/>
      </c>
    </row>
    <row r="320">
      <c r="A320" s="6" t="inlineStr">
        <is>
          <t>2016M7</t>
        </is>
      </c>
      <c r="B320" t="n">
        <v>1337.32619047619</v>
      </c>
      <c r="C320">
        <f>IF(OR(B320="",B319=""),"",LN(B320/B319)*100)</f>
        <v/>
      </c>
      <c r="D320">
        <f>IF(C320="", "", STDEV.S(C318:C320))</f>
        <v/>
      </c>
      <c r="E320">
        <f>IF(C320="", "", STDEV.S(C309:C320)*SQRT(12))</f>
        <v/>
      </c>
    </row>
    <row r="321">
      <c r="A321" s="6" t="inlineStr">
        <is>
          <t>2016M8</t>
        </is>
      </c>
      <c r="B321" t="n">
        <v>1341.08863636363</v>
      </c>
      <c r="C321">
        <f>IF(OR(B321="",B320=""),"",LN(B321/B320)*100)</f>
        <v/>
      </c>
      <c r="D321">
        <f>IF(C321="", "", STDEV.S(C319:C321))</f>
        <v/>
      </c>
      <c r="E321">
        <f>IF(C321="", "", STDEV.S(C310:C321)*SQRT(12))</f>
        <v/>
      </c>
    </row>
    <row r="322">
      <c r="A322" s="6" t="inlineStr">
        <is>
          <t>2016M9</t>
        </is>
      </c>
      <c r="B322" t="n">
        <v>1326.02954545454</v>
      </c>
      <c r="C322">
        <f>IF(OR(B322="",B321=""),"",LN(B322/B321)*100)</f>
        <v/>
      </c>
      <c r="D322">
        <f>IF(C322="", "", STDEV.S(C320:C322))</f>
        <v/>
      </c>
      <c r="E322">
        <f>IF(C322="", "", STDEV.S(C311:C322)*SQRT(12))</f>
        <v/>
      </c>
    </row>
    <row r="323">
      <c r="A323" s="6" t="inlineStr">
        <is>
          <t>2016M10</t>
        </is>
      </c>
      <c r="B323" t="n">
        <v>1266.56904761904</v>
      </c>
      <c r="C323">
        <f>IF(OR(B323="",B322=""),"",LN(B323/B322)*100)</f>
        <v/>
      </c>
      <c r="D323">
        <f>IF(C323="", "", STDEV.S(C321:C323))</f>
        <v/>
      </c>
      <c r="E323">
        <f>IF(C323="", "", STDEV.S(C312:C323)*SQRT(12))</f>
        <v/>
      </c>
    </row>
    <row r="324">
      <c r="A324" s="6" t="inlineStr">
        <is>
          <t>2016M11</t>
        </is>
      </c>
      <c r="B324" t="n">
        <v>1235.97954545454</v>
      </c>
      <c r="C324">
        <f>IF(OR(B324="",B323=""),"",LN(B324/B323)*100)</f>
        <v/>
      </c>
      <c r="D324">
        <f>IF(C324="", "", STDEV.S(C322:C324))</f>
        <v/>
      </c>
      <c r="E324">
        <f>IF(C324="", "", STDEV.S(C313:C324)*SQRT(12))</f>
        <v/>
      </c>
    </row>
    <row r="325">
      <c r="A325" s="6" t="inlineStr">
        <is>
          <t>2016M12</t>
        </is>
      </c>
      <c r="B325" t="n">
        <v>1151.40277777777</v>
      </c>
      <c r="C325">
        <f>IF(OR(B325="",B324=""),"",LN(B325/B324)*100)</f>
        <v/>
      </c>
      <c r="D325">
        <f>IF(C325="", "", STDEV.S(C323:C325))</f>
        <v/>
      </c>
      <c r="E325">
        <f>IF(C325="", "", STDEV.S(C314:C325)*SQRT(12))</f>
        <v/>
      </c>
    </row>
    <row r="326">
      <c r="A326" s="6" t="inlineStr">
        <is>
          <t>2017M1</t>
        </is>
      </c>
      <c r="B326" t="n">
        <v>1192.61666666666</v>
      </c>
      <c r="C326">
        <f>IF(OR(B326="",B325=""),"",LN(B326/B325)*100)</f>
        <v/>
      </c>
      <c r="D326">
        <f>IF(C326="", "", STDEV.S(C324:C326))</f>
        <v/>
      </c>
      <c r="E326">
        <f>IF(C326="", "", STDEV.S(C315:C326)*SQRT(12))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IF(C327="", "", STDEV.S(C325:C327))</f>
        <v/>
      </c>
      <c r="E327">
        <f>IF(C327="", "", STDEV.S(C316:C327)*SQRT(12))</f>
        <v/>
      </c>
    </row>
    <row r="328">
      <c r="A328" s="6" t="inlineStr">
        <is>
          <t>2017M3</t>
        </is>
      </c>
      <c r="B328" t="n">
        <v>1231.09347826087</v>
      </c>
      <c r="C328">
        <f>IF(OR(B328="",B327=""),"",LN(B328/B327)*100)</f>
        <v/>
      </c>
      <c r="D328">
        <f>IF(C328="", "", STDEV.S(C326:C328))</f>
        <v/>
      </c>
      <c r="E328">
        <f>IF(C328="", "", STDEV.S(C317:C328)*SQRT(12))</f>
        <v/>
      </c>
    </row>
    <row r="329">
      <c r="A329" s="6" t="inlineStr">
        <is>
          <t>2017M4</t>
        </is>
      </c>
      <c r="B329" t="n">
        <v>1265.62777777777</v>
      </c>
      <c r="C329">
        <f>IF(OR(B329="",B328=""),"",LN(B329/B328)*100)</f>
        <v/>
      </c>
      <c r="D329">
        <f>IF(C329="", "", STDEV.S(C327:C329))</f>
        <v/>
      </c>
      <c r="E329">
        <f>IF(C329="", "", STDEV.S(C318:C329)*SQRT(12))</f>
        <v/>
      </c>
    </row>
    <row r="330">
      <c r="A330" s="6" t="inlineStr">
        <is>
          <t>2017M5</t>
        </is>
      </c>
      <c r="B330" t="n">
        <v>1245.00476190476</v>
      </c>
      <c r="C330">
        <f>IF(OR(B330="",B329=""),"",LN(B330/B329)*100)</f>
        <v/>
      </c>
      <c r="D330">
        <f>IF(C330="", "", STDEV.S(C328:C330))</f>
        <v/>
      </c>
      <c r="E330">
        <f>IF(C330="", "", STDEV.S(C319:C330)*SQRT(12))</f>
        <v/>
      </c>
    </row>
    <row r="331">
      <c r="A331" s="6" t="inlineStr">
        <is>
          <t>2017M6</t>
        </is>
      </c>
      <c r="B331" t="n">
        <v>1260.25681818181</v>
      </c>
      <c r="C331">
        <f>IF(OR(B331="",B330=""),"",LN(B331/B330)*100)</f>
        <v/>
      </c>
      <c r="D331">
        <f>IF(C331="", "", STDEV.S(C329:C331))</f>
        <v/>
      </c>
      <c r="E331">
        <f>IF(C331="", "", STDEV.S(C320:C331)*SQRT(12))</f>
        <v/>
      </c>
    </row>
    <row r="332">
      <c r="A332" s="6" t="inlineStr">
        <is>
          <t>2017M7</t>
        </is>
      </c>
      <c r="B332" t="n">
        <v>1236.22142857142</v>
      </c>
      <c r="C332">
        <f>IF(OR(B332="",B331=""),"",LN(B332/B331)*100)</f>
        <v/>
      </c>
      <c r="D332">
        <f>IF(C332="", "", STDEV.S(C330:C332))</f>
        <v/>
      </c>
      <c r="E332">
        <f>IF(C332="", "", STDEV.S(C321:C332)*SQRT(12))</f>
        <v/>
      </c>
    </row>
    <row r="333">
      <c r="A333" s="6" t="inlineStr">
        <is>
          <t>2017M8</t>
        </is>
      </c>
      <c r="B333" t="n">
        <v>1282.3159090909</v>
      </c>
      <c r="C333">
        <f>IF(OR(B333="",B332=""),"",LN(B333/B332)*100)</f>
        <v/>
      </c>
      <c r="D333">
        <f>IF(C333="", "", STDEV.S(C331:C333))</f>
        <v/>
      </c>
      <c r="E333">
        <f>IF(C333="", "", STDEV.S(C322:C333)*SQRT(12))</f>
        <v/>
      </c>
    </row>
    <row r="334">
      <c r="A334" s="6" t="inlineStr">
        <is>
          <t>2017M9</t>
        </is>
      </c>
      <c r="B334" t="n">
        <v>1314.97857142857</v>
      </c>
      <c r="C334">
        <f>IF(OR(B334="",B333=""),"",LN(B334/B333)*100)</f>
        <v/>
      </c>
      <c r="D334">
        <f>IF(C334="", "", STDEV.S(C332:C334))</f>
        <v/>
      </c>
      <c r="E334">
        <f>IF(C334="", "", STDEV.S(C323:C334)*SQRT(12))</f>
        <v/>
      </c>
    </row>
    <row r="335">
      <c r="A335" s="6" t="inlineStr">
        <is>
          <t>2017M10</t>
        </is>
      </c>
      <c r="B335" t="n">
        <v>1279.51363636363</v>
      </c>
      <c r="C335">
        <f>IF(OR(B335="",B334=""),"",LN(B335/B334)*100)</f>
        <v/>
      </c>
      <c r="D335">
        <f>IF(C335="", "", STDEV.S(C333:C335))</f>
        <v/>
      </c>
      <c r="E335">
        <f>IF(C335="", "", STDEV.S(C324:C335)*SQRT(12))</f>
        <v/>
      </c>
    </row>
    <row r="336">
      <c r="A336" s="6" t="inlineStr">
        <is>
          <t>2017M11</t>
        </is>
      </c>
      <c r="B336" t="n">
        <v>1282.28409090909</v>
      </c>
      <c r="C336">
        <f>IF(OR(B336="",B335=""),"",LN(B336/B335)*100)</f>
        <v/>
      </c>
      <c r="D336">
        <f>IF(C336="", "", STDEV.S(C334:C336))</f>
        <v/>
      </c>
      <c r="E336">
        <f>IF(C336="", "", STDEV.S(C325:C336)*SQRT(12))</f>
        <v/>
      </c>
    </row>
    <row r="337">
      <c r="A337" s="6" t="inlineStr">
        <is>
          <t>2017M12</t>
        </is>
      </c>
      <c r="B337" t="n">
        <v>1261.25588235294</v>
      </c>
      <c r="C337">
        <f>IF(OR(B337="",B336=""),"",LN(B337/B336)*100)</f>
        <v/>
      </c>
      <c r="D337">
        <f>IF(C337="", "", STDEV.S(C335:C337))</f>
        <v/>
      </c>
      <c r="E337">
        <f>IF(C337="", "", STDEV.S(C326:C337)*SQRT(12))</f>
        <v/>
      </c>
    </row>
    <row r="338">
      <c r="A338" s="6" t="inlineStr">
        <is>
          <t>2018M1</t>
        </is>
      </c>
      <c r="B338" t="n">
        <v>1331.6659090909</v>
      </c>
      <c r="C338">
        <f>IF(OR(B338="",B337=""),"",LN(B338/B337)*100)</f>
        <v/>
      </c>
      <c r="D338">
        <f>IF(C338="", "", STDEV.S(C336:C338))</f>
        <v/>
      </c>
      <c r="E338">
        <f>IF(C338="", "", STDEV.S(C327:C338)*SQRT(12))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IF(C339="", "", STDEV.S(C337:C339))</f>
        <v/>
      </c>
      <c r="E339">
        <f>IF(C339="", "", STDEV.S(C328:C339)*SQRT(12))</f>
        <v/>
      </c>
    </row>
    <row r="340">
      <c r="A340" s="6" t="inlineStr">
        <is>
          <t>2018M3</t>
        </is>
      </c>
      <c r="B340" t="n">
        <v>1324.65714285714</v>
      </c>
      <c r="C340">
        <f>IF(OR(B340="",B339=""),"",LN(B340/B339)*100)</f>
        <v/>
      </c>
      <c r="D340">
        <f>IF(C340="", "", STDEV.S(C338:C340))</f>
        <v/>
      </c>
      <c r="E340">
        <f>IF(C340="", "", STDEV.S(C329:C340)*SQRT(12))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IF(C341="", "", STDEV.S(C339:C341))</f>
        <v/>
      </c>
      <c r="E341">
        <f>IF(C341="", "", STDEV.S(C330:C341)*SQRT(12))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IF(C342="", "", STDEV.S(C340:C342))</f>
        <v/>
      </c>
      <c r="E342">
        <f>IF(C342="", "", STDEV.S(C331:C342)*SQRT(12))</f>
        <v/>
      </c>
    </row>
    <row r="343">
      <c r="A343" s="6" t="inlineStr">
        <is>
          <t>2018M6</t>
        </is>
      </c>
      <c r="B343" t="n">
        <v>1281.56666666666</v>
      </c>
      <c r="C343">
        <f>IF(OR(B343="",B342=""),"",LN(B343/B342)*100)</f>
        <v/>
      </c>
      <c r="D343">
        <f>IF(C343="", "", STDEV.S(C341:C343))</f>
        <v/>
      </c>
      <c r="E343">
        <f>IF(C343="", "", STDEV.S(C332:C343)*SQRT(12))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IF(C344="", "", STDEV.S(C342:C344))</f>
        <v/>
      </c>
      <c r="E344">
        <f>IF(C344="", "", STDEV.S(C333:C344)*SQRT(12))</f>
        <v/>
      </c>
    </row>
    <row r="345">
      <c r="A345" s="6" t="inlineStr">
        <is>
          <t>2018M8</t>
        </is>
      </c>
      <c r="B345" t="n">
        <v>1201.24545454545</v>
      </c>
      <c r="C345">
        <f>IF(OR(B345="",B344=""),"",LN(B345/B344)*100)</f>
        <v/>
      </c>
      <c r="D345">
        <f>IF(C345="", "", STDEV.S(C343:C345))</f>
        <v/>
      </c>
      <c r="E345">
        <f>IF(C345="", "", STDEV.S(C334:C345)*SQRT(12))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IF(C346="", "", STDEV.S(C344:C346))</f>
        <v/>
      </c>
      <c r="E346">
        <f>IF(C346="", "", STDEV.S(C335:C346)*SQRT(12))</f>
        <v/>
      </c>
    </row>
    <row r="347">
      <c r="A347" s="6" t="inlineStr">
        <is>
          <t>2018M10</t>
        </is>
      </c>
      <c r="B347" t="n">
        <v>1215.39347826087</v>
      </c>
      <c r="C347">
        <f>IF(OR(B347="",B346=""),"",LN(B347/B346)*100)</f>
        <v/>
      </c>
      <c r="D347">
        <f>IF(C347="", "", STDEV.S(C345:C347))</f>
        <v/>
      </c>
      <c r="E347">
        <f>IF(C347="", "", STDEV.S(C336:C347)*SQRT(12))</f>
        <v/>
      </c>
    </row>
    <row r="348">
      <c r="A348" s="6" t="inlineStr">
        <is>
          <t>2018M11</t>
        </is>
      </c>
      <c r="B348" t="n">
        <v>1220.94545454545</v>
      </c>
      <c r="C348">
        <f>IF(OR(B348="",B347=""),"",LN(B348/B347)*100)</f>
        <v/>
      </c>
      <c r="D348">
        <f>IF(C348="", "", STDEV.S(C346:C348))</f>
        <v/>
      </c>
      <c r="E348">
        <f>IF(C348="", "", STDEV.S(C337:C348)*SQRT(12))</f>
        <v/>
      </c>
    </row>
    <row r="349">
      <c r="A349" s="6" t="inlineStr">
        <is>
          <t>2018M12</t>
        </is>
      </c>
      <c r="B349" t="n">
        <v>1247.92352941176</v>
      </c>
      <c r="C349">
        <f>IF(OR(B349="",B348=""),"",LN(B349/B348)*100)</f>
        <v/>
      </c>
      <c r="D349">
        <f>IF(C349="", "", STDEV.S(C347:C349))</f>
        <v/>
      </c>
      <c r="E349">
        <f>IF(C349="", "", STDEV.S(C338:C349)*SQRT(12))</f>
        <v/>
      </c>
    </row>
    <row r="350">
      <c r="A350" s="6" t="inlineStr">
        <is>
          <t>2019M1</t>
        </is>
      </c>
      <c r="B350" t="n">
        <v>1291.74545454545</v>
      </c>
      <c r="C350">
        <f>IF(OR(B350="",B349=""),"",LN(B350/B349)*100)</f>
        <v/>
      </c>
      <c r="D350">
        <f>IF(C350="", "", STDEV.S(C348:C350))</f>
        <v/>
      </c>
      <c r="E350">
        <f>IF(C350="", "", STDEV.S(C339:C350)*SQRT(12))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IF(C351="", "", STDEV.S(C349:C351))</f>
        <v/>
      </c>
      <c r="E351">
        <f>IF(C351="", "", STDEV.S(C340:C351)*SQRT(12))</f>
        <v/>
      </c>
    </row>
    <row r="352">
      <c r="A352" s="6" t="inlineStr">
        <is>
          <t>2019M3</t>
        </is>
      </c>
      <c r="B352" t="n">
        <v>1300.89761904761</v>
      </c>
      <c r="C352">
        <f>IF(OR(B352="",B351=""),"",LN(B352/B351)*100)</f>
        <v/>
      </c>
      <c r="D352">
        <f>IF(C352="", "", STDEV.S(C350:C352))</f>
        <v/>
      </c>
      <c r="E352">
        <f>IF(C352="", "", STDEV.S(C341:C352)*SQRT(12))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IF(C353="", "", STDEV.S(C351:C353))</f>
        <v/>
      </c>
      <c r="E353">
        <f>IF(C353="", "", STDEV.S(C342:C353)*SQRT(12))</f>
        <v/>
      </c>
    </row>
    <row r="354">
      <c r="A354" s="6" t="inlineStr">
        <is>
          <t>2019M5</t>
        </is>
      </c>
      <c r="B354" t="n">
        <v>1283.94761904761</v>
      </c>
      <c r="C354">
        <f>IF(OR(B354="",B353=""),"",LN(B354/B353)*100)</f>
        <v/>
      </c>
      <c r="D354">
        <f>IF(C354="", "", STDEV.S(C352:C354))</f>
        <v/>
      </c>
      <c r="E354">
        <f>IF(C354="", "", STDEV.S(C343:C354)*SQRT(12))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IF(C355="", "", STDEV.S(C353:C355))</f>
        <v/>
      </c>
      <c r="E355">
        <f>IF(C355="", "", STDEV.S(C344:C355)*SQRT(12))</f>
        <v/>
      </c>
    </row>
    <row r="356">
      <c r="A356" s="6" t="inlineStr">
        <is>
          <t>2019M7</t>
        </is>
      </c>
      <c r="B356" t="n">
        <v>1412.97826086956</v>
      </c>
      <c r="C356">
        <f>IF(OR(B356="",B355=""),"",LN(B356/B355)*100)</f>
        <v/>
      </c>
      <c r="D356">
        <f>IF(C356="", "", STDEV.S(C354:C356))</f>
        <v/>
      </c>
      <c r="E356">
        <f>IF(C356="", "", STDEV.S(C345:C356)*SQRT(12))</f>
        <v/>
      </c>
    </row>
    <row r="357">
      <c r="A357" s="6" t="inlineStr">
        <is>
          <t>2019M8</t>
        </is>
      </c>
      <c r="B357" t="n">
        <v>1498.79761904761</v>
      </c>
      <c r="C357">
        <f>IF(OR(B357="",B356=""),"",LN(B357/B356)*100)</f>
        <v/>
      </c>
      <c r="D357">
        <f>IF(C357="", "", STDEV.S(C355:C357))</f>
        <v/>
      </c>
      <c r="E357">
        <f>IF(C357="", "", STDEV.S(C346:C357)*SQRT(12))</f>
        <v/>
      </c>
    </row>
    <row r="358">
      <c r="A358" s="6" t="inlineStr">
        <is>
          <t>2019M9</t>
        </is>
      </c>
      <c r="B358" t="n">
        <v>1511.31428571428</v>
      </c>
      <c r="C358">
        <f>IF(OR(B358="",B357=""),"",LN(B358/B357)*100)</f>
        <v/>
      </c>
      <c r="D358">
        <f>IF(C358="", "", STDEV.S(C356:C358))</f>
        <v/>
      </c>
      <c r="E358">
        <f>IF(C358="", "", STDEV.S(C347:C358)*SQRT(12))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IF(C359="", "", STDEV.S(C357:C359))</f>
        <v/>
      </c>
      <c r="E359">
        <f>IF(C359="", "", STDEV.S(C348:C359)*SQRT(12))</f>
        <v/>
      </c>
    </row>
    <row r="360">
      <c r="A360" s="6" t="inlineStr">
        <is>
          <t>2019M11</t>
        </is>
      </c>
      <c r="B360" t="n">
        <v>1470.01666666666</v>
      </c>
      <c r="C360">
        <f>IF(OR(B360="",B359=""),"",LN(B360/B359)*100)</f>
        <v/>
      </c>
      <c r="D360">
        <f>IF(C360="", "", STDEV.S(C358:C360))</f>
        <v/>
      </c>
      <c r="E360">
        <f>IF(C360="", "", STDEV.S(C349:C360)*SQRT(12))</f>
        <v/>
      </c>
    </row>
    <row r="361">
      <c r="A361" s="6" t="inlineStr">
        <is>
          <t>2019M12</t>
        </is>
      </c>
      <c r="B361" t="n">
        <v>1476.04444444444</v>
      </c>
      <c r="C361">
        <f>IF(OR(B361="",B360=""),"",LN(B361/B360)*100)</f>
        <v/>
      </c>
      <c r="D361">
        <f>IF(C361="", "", STDEV.S(C359:C361))</f>
        <v/>
      </c>
      <c r="E361">
        <f>IF(C361="", "", STDEV.S(C350:C361)*SQRT(12))</f>
        <v/>
      </c>
    </row>
    <row r="362">
      <c r="A362" s="6" t="inlineStr">
        <is>
          <t>2020M1</t>
        </is>
      </c>
      <c r="B362" t="n">
        <v>1560.67272727272</v>
      </c>
      <c r="C362">
        <f>IF(OR(B362="",B361=""),"",LN(B362/B361)*100)</f>
        <v/>
      </c>
      <c r="D362">
        <f>IF(C362="", "", STDEV.S(C360:C362))</f>
        <v/>
      </c>
      <c r="E362">
        <f>IF(C362="", "", STDEV.S(C351:C362)*SQRT(12))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IF(C363="", "", STDEV.S(C361:C363))</f>
        <v/>
      </c>
      <c r="E363">
        <f>IF(C363="", "", STDEV.S(C352:C363)*SQRT(12))</f>
        <v/>
      </c>
    </row>
    <row r="364">
      <c r="A364" s="6" t="inlineStr">
        <is>
          <t>2020M3</t>
        </is>
      </c>
      <c r="B364" t="n">
        <v>1591.92727272727</v>
      </c>
      <c r="C364">
        <f>IF(OR(B364="",B363=""),"",LN(B364/B363)*100)</f>
        <v/>
      </c>
      <c r="D364">
        <f>IF(C364="", "", STDEV.S(C362:C364))</f>
        <v/>
      </c>
      <c r="E364">
        <f>IF(C364="", "", STDEV.S(C353:C364)*SQRT(12))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IF(C365="", "", STDEV.S(C363:C365))</f>
        <v/>
      </c>
      <c r="E365">
        <f>IF(C365="", "", STDEV.S(C354:C365)*SQRT(12))</f>
        <v/>
      </c>
    </row>
    <row r="366">
      <c r="A366" s="6" t="inlineStr">
        <is>
          <t>2020M5</t>
        </is>
      </c>
      <c r="B366" t="n">
        <v>1716.38157894736</v>
      </c>
      <c r="C366">
        <f>IF(OR(B366="",B365=""),"",LN(B366/B365)*100)</f>
        <v/>
      </c>
      <c r="D366">
        <f>IF(C366="", "", STDEV.S(C364:C366))</f>
        <v/>
      </c>
      <c r="E366">
        <f>IF(C366="", "", STDEV.S(C355:C366)*SQRT(12))</f>
        <v/>
      </c>
    </row>
    <row r="367">
      <c r="A367" s="6" t="inlineStr">
        <is>
          <t>2020M6</t>
        </is>
      </c>
      <c r="B367" t="n">
        <v>1732.21818181818</v>
      </c>
      <c r="C367">
        <f>IF(OR(B367="",B366=""),"",LN(B367/B366)*100)</f>
        <v/>
      </c>
      <c r="D367">
        <f>IF(C367="", "", STDEV.S(C365:C367))</f>
        <v/>
      </c>
      <c r="E367">
        <f>IF(C367="", "", STDEV.S(C356:C367)*SQRT(12))</f>
        <v/>
      </c>
    </row>
    <row r="368">
      <c r="A368" s="6" t="inlineStr">
        <is>
          <t>2020M7</t>
        </is>
      </c>
      <c r="B368" t="n">
        <v>1843.31304347826</v>
      </c>
      <c r="C368">
        <f>IF(OR(B368="",B367=""),"",LN(B368/B367)*100)</f>
        <v/>
      </c>
      <c r="D368">
        <f>IF(C368="", "", STDEV.S(C366:C368))</f>
        <v/>
      </c>
      <c r="E368">
        <f>IF(C368="", "", STDEV.S(C357:C368)*SQRT(12))</f>
        <v/>
      </c>
    </row>
    <row r="369">
      <c r="A369" s="6" t="inlineStr">
        <is>
          <t>2020M8</t>
        </is>
      </c>
      <c r="B369" t="n">
        <v>1968.03095238095</v>
      </c>
      <c r="C369">
        <f>IF(OR(B369="",B368=""),"",LN(B369/B368)*100)</f>
        <v/>
      </c>
      <c r="D369">
        <f>IF(C369="", "", STDEV.S(C367:C369))</f>
        <v/>
      </c>
      <c r="E369">
        <f>IF(C369="", "", STDEV.S(C358:C369)*SQRT(12))</f>
        <v/>
      </c>
    </row>
    <row r="370">
      <c r="A370" s="6" t="inlineStr">
        <is>
          <t>2020M9</t>
        </is>
      </c>
      <c r="B370" t="n">
        <v>1922.21363636363</v>
      </c>
      <c r="C370">
        <f>IF(OR(B370="",B369=""),"",LN(B370/B369)*100)</f>
        <v/>
      </c>
      <c r="D370">
        <f>IF(C370="", "", STDEV.S(C368:C370))</f>
        <v/>
      </c>
      <c r="E370">
        <f>IF(C370="", "", STDEV.S(C359:C370)*SQRT(12))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IF(C371="", "", STDEV.S(C369:C371))</f>
        <v/>
      </c>
      <c r="E371">
        <f>IF(C371="", "", STDEV.S(C360:C371)*SQRT(12))</f>
        <v/>
      </c>
    </row>
    <row r="372">
      <c r="A372" s="6" t="inlineStr">
        <is>
          <t>2020M11</t>
        </is>
      </c>
      <c r="B372" t="n">
        <v>1863.49285714285</v>
      </c>
      <c r="C372">
        <f>IF(OR(B372="",B371=""),"",LN(B372/B371)*100)</f>
        <v/>
      </c>
      <c r="D372">
        <f>IF(C372="", "", STDEV.S(C370:C372))</f>
        <v/>
      </c>
      <c r="E372">
        <f>IF(C372="", "", STDEV.S(C361:C372)*SQRT(12))</f>
        <v/>
      </c>
    </row>
    <row r="373">
      <c r="A373" s="6" t="inlineStr">
        <is>
          <t>2020M12</t>
        </is>
      </c>
      <c r="B373" t="n">
        <v>1855.95526315789</v>
      </c>
      <c r="C373">
        <f>IF(OR(B373="",B372=""),"",LN(B373/B372)*100)</f>
        <v/>
      </c>
      <c r="D373">
        <f>IF(C373="", "", STDEV.S(C371:C373))</f>
        <v/>
      </c>
      <c r="E373">
        <f>IF(C373="", "", STDEV.S(C362:C373)*SQRT(12))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IF(C374="", "", STDEV.S(C372:C374))</f>
        <v/>
      </c>
      <c r="E374">
        <f>IF(C374="", "", STDEV.S(C363:C374)*SQRT(12))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IF(C375="", "", STDEV.S(C373:C375))</f>
        <v/>
      </c>
      <c r="E375">
        <f>IF(C375="", "", STDEV.S(C364:C375)*SQRT(12))</f>
        <v/>
      </c>
    </row>
    <row r="376">
      <c r="A376" s="6" t="inlineStr">
        <is>
          <t>2021M3</t>
        </is>
      </c>
      <c r="B376" t="n">
        <v>1718.22826086956</v>
      </c>
      <c r="C376">
        <f>IF(OR(B376="",B375=""),"",LN(B376/B375)*100)</f>
        <v/>
      </c>
      <c r="D376">
        <f>IF(C376="", "", STDEV.S(C374:C376))</f>
        <v/>
      </c>
      <c r="E376">
        <f>IF(C376="", "", STDEV.S(C365:C376)*SQRT(12))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IF(C377="", "", STDEV.S(C375:C377))</f>
        <v/>
      </c>
      <c r="E377">
        <f>IF(C377="", "", STDEV.S(C366:C377)*SQRT(12))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IF(C378="", "", STDEV.S(C376:C378))</f>
        <v/>
      </c>
      <c r="E378">
        <f>IF(C378="", "", STDEV.S(C367:C378)*SQRT(12))</f>
        <v/>
      </c>
    </row>
    <row r="379">
      <c r="A379" s="6" t="inlineStr">
        <is>
          <t>2021M6</t>
        </is>
      </c>
      <c r="B379" t="n">
        <v>1834.5659090909</v>
      </c>
      <c r="C379">
        <f>IF(OR(B379="",B378=""),"",LN(B379/B378)*100)</f>
        <v/>
      </c>
      <c r="D379">
        <f>IF(C379="", "", STDEV.S(C377:C379))</f>
        <v/>
      </c>
      <c r="E379">
        <f>IF(C379="", "", STDEV.S(C368:C379)*SQRT(12))</f>
        <v/>
      </c>
    </row>
    <row r="380">
      <c r="A380" s="6" t="inlineStr">
        <is>
          <t>2021M7</t>
        </is>
      </c>
      <c r="B380" t="n">
        <v>1807.09318181818</v>
      </c>
      <c r="C380">
        <f>IF(OR(B380="",B379=""),"",LN(B380/B379)*100)</f>
        <v/>
      </c>
      <c r="D380">
        <f>IF(C380="", "", STDEV.S(C378:C380))</f>
        <v/>
      </c>
      <c r="E380">
        <f>IF(C380="", "", STDEV.S(C369:C380)*SQRT(12))</f>
        <v/>
      </c>
    </row>
    <row r="381">
      <c r="A381" s="6" t="inlineStr">
        <is>
          <t>2021M8</t>
        </is>
      </c>
      <c r="B381" t="n">
        <v>1783.96904761904</v>
      </c>
      <c r="C381">
        <f>IF(OR(B381="",B380=""),"",LN(B381/B380)*100)</f>
        <v/>
      </c>
      <c r="D381">
        <f>IF(C381="", "", STDEV.S(C379:C381))</f>
        <v/>
      </c>
      <c r="E381">
        <f>IF(C381="", "", STDEV.S(C370:C381)*SQRT(12))</f>
        <v/>
      </c>
    </row>
    <row r="382">
      <c r="A382" s="6" t="inlineStr">
        <is>
          <t>2021M9</t>
        </is>
      </c>
      <c r="B382" t="n">
        <v>1777.25227272727</v>
      </c>
      <c r="C382">
        <f>IF(OR(B382="",B381=""),"",LN(B382/B381)*100)</f>
        <v/>
      </c>
      <c r="D382">
        <f>IF(C382="", "", STDEV.S(C380:C382))</f>
        <v/>
      </c>
      <c r="E382">
        <f>IF(C382="", "", STDEV.S(C371:C382)*SQRT(12))</f>
        <v/>
      </c>
    </row>
    <row r="383">
      <c r="A383" s="6" t="inlineStr">
        <is>
          <t>2021M10</t>
        </is>
      </c>
      <c r="B383" t="n">
        <v>1776.85476190476</v>
      </c>
      <c r="C383">
        <f>IF(OR(B383="",B382=""),"",LN(B383/B382)*100)</f>
        <v/>
      </c>
      <c r="D383">
        <f>IF(C383="", "", STDEV.S(C381:C383))</f>
        <v/>
      </c>
      <c r="E383">
        <f>IF(C383="", "", STDEV.S(C372:C383)*SQRT(12))</f>
        <v/>
      </c>
    </row>
    <row r="384">
      <c r="A384" s="6" t="inlineStr">
        <is>
          <t>2021M11</t>
        </is>
      </c>
      <c r="B384" t="n">
        <v>1820.23409090909</v>
      </c>
      <c r="C384">
        <f>IF(OR(B384="",B383=""),"",LN(B384/B383)*100)</f>
        <v/>
      </c>
      <c r="D384">
        <f>IF(C384="", "", STDEV.S(C382:C384))</f>
        <v/>
      </c>
      <c r="E384">
        <f>IF(C384="", "", STDEV.S(C373:C384)*SQRT(12))</f>
        <v/>
      </c>
    </row>
    <row r="385">
      <c r="A385" s="6" t="inlineStr">
        <is>
          <t>2021M12</t>
        </is>
      </c>
      <c r="B385" t="n">
        <v>1786.65263157894</v>
      </c>
      <c r="C385">
        <f>IF(OR(B385="",B384=""),"",LN(B385/B384)*100)</f>
        <v/>
      </c>
      <c r="D385">
        <f>IF(C385="", "", STDEV.S(C383:C385))</f>
        <v/>
      </c>
      <c r="E385">
        <f>IF(C385="", "", STDEV.S(C374:C385)*SQRT(12))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IF(C386="", "", STDEV.S(C384:C386))</f>
        <v/>
      </c>
      <c r="E386">
        <f>IF(C386="", "", STDEV.S(C375:C386)*SQRT(12))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IF(C387="", "", STDEV.S(C385:C387))</f>
        <v/>
      </c>
      <c r="E387">
        <f>IF(C387="", "", STDEV.S(C376:C387)*SQRT(12))</f>
        <v/>
      </c>
    </row>
    <row r="388">
      <c r="A388" s="6" t="inlineStr">
        <is>
          <t>2022M3</t>
        </is>
      </c>
      <c r="B388" t="n">
        <v>1947.82826086956</v>
      </c>
      <c r="C388">
        <f>IF(OR(B388="",B387=""),"",LN(B388/B387)*100)</f>
        <v/>
      </c>
      <c r="D388">
        <f>IF(C388="", "", STDEV.S(C386:C388))</f>
        <v/>
      </c>
      <c r="E388">
        <f>IF(C388="", "", STDEV.S(C377:C388)*SQRT(12))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IF(C389="", "", STDEV.S(C387:C389))</f>
        <v/>
      </c>
      <c r="E389">
        <f>IF(C389="", "", STDEV.S(C378:C389)*SQRT(12))</f>
        <v/>
      </c>
    </row>
    <row r="390">
      <c r="A390" s="6" t="inlineStr">
        <is>
          <t>2022M5</t>
        </is>
      </c>
      <c r="B390" t="n">
        <v>1849.83318181818</v>
      </c>
      <c r="C390">
        <f>IF(OR(B390="",B389=""),"",LN(B390/B389)*100)</f>
        <v/>
      </c>
      <c r="D390">
        <f>IF(C390="", "", STDEV.S(C388:C390))</f>
        <v/>
      </c>
      <c r="E390">
        <f>IF(C390="", "", STDEV.S(C379:C390)*SQRT(12))</f>
        <v/>
      </c>
    </row>
    <row r="391">
      <c r="A391" s="6" t="inlineStr">
        <is>
          <t>2022M6</t>
        </is>
      </c>
      <c r="B391" t="n">
        <v>1837.06409090909</v>
      </c>
      <c r="C391">
        <f>IF(OR(B391="",B390=""),"",LN(B391/B390)*100)</f>
        <v/>
      </c>
      <c r="D391">
        <f>IF(C391="", "", STDEV.S(C389:C391))</f>
        <v/>
      </c>
      <c r="E391">
        <f>IF(C391="", "", STDEV.S(C380:C391)*SQRT(12))</f>
        <v/>
      </c>
    </row>
    <row r="392">
      <c r="A392" s="6" t="inlineStr">
        <is>
          <t>2022M7</t>
        </is>
      </c>
      <c r="B392" t="n">
        <v>1737.38047619047</v>
      </c>
      <c r="C392">
        <f>IF(OR(B392="",B391=""),"",LN(B392/B391)*100)</f>
        <v/>
      </c>
      <c r="D392">
        <f>IF(C392="", "", STDEV.S(C390:C392))</f>
        <v/>
      </c>
      <c r="E392">
        <f>IF(C392="", "", STDEV.S(C381:C392)*SQRT(12))</f>
        <v/>
      </c>
    </row>
    <row r="393">
      <c r="A393" s="6" t="inlineStr">
        <is>
          <t>2022M8</t>
        </is>
      </c>
      <c r="B393" t="n">
        <v>1764.13260869565</v>
      </c>
      <c r="C393">
        <f>IF(OR(B393="",B392=""),"",LN(B393/B392)*100)</f>
        <v/>
      </c>
      <c r="D393">
        <f>IF(C393="", "", STDEV.S(C391:C393))</f>
        <v/>
      </c>
      <c r="E393">
        <f>IF(C393="", "", STDEV.S(C382:C393)*SQRT(12))</f>
        <v/>
      </c>
    </row>
    <row r="394">
      <c r="A394" s="6" t="inlineStr">
        <is>
          <t>2022M9</t>
        </is>
      </c>
      <c r="B394" t="n">
        <v>1683.20818181818</v>
      </c>
      <c r="C394">
        <f>IF(OR(B394="",B393=""),"",LN(B394/B393)*100)</f>
        <v/>
      </c>
      <c r="D394">
        <f>IF(C394="", "", STDEV.S(C392:C394))</f>
        <v/>
      </c>
      <c r="E394">
        <f>IF(C394="", "", STDEV.S(C383:C394)*SQRT(12))</f>
        <v/>
      </c>
    </row>
    <row r="395">
      <c r="A395" s="6" t="inlineStr">
        <is>
          <t>2022M10</t>
        </is>
      </c>
      <c r="B395" t="n">
        <v>1666.62666666666</v>
      </c>
      <c r="C395">
        <f>IF(OR(B395="",B394=""),"",LN(B395/B394)*100)</f>
        <v/>
      </c>
      <c r="D395">
        <f>IF(C395="", "", STDEV.S(C393:C395))</f>
        <v/>
      </c>
      <c r="E395">
        <f>IF(C395="", "", STDEV.S(C384:C395)*SQRT(12))</f>
        <v/>
      </c>
    </row>
    <row r="396">
      <c r="A396" s="6" t="inlineStr">
        <is>
          <t>2022M11</t>
        </is>
      </c>
      <c r="B396" t="n">
        <v>1727.89863636363</v>
      </c>
      <c r="C396">
        <f>IF(OR(B396="",B395=""),"",LN(B396/B395)*100)</f>
        <v/>
      </c>
      <c r="D396">
        <f>IF(C396="", "", STDEV.S(C394:C396))</f>
        <v/>
      </c>
      <c r="E396">
        <f>IF(C396="", "", STDEV.S(C385:C396)*SQRT(12))</f>
        <v/>
      </c>
    </row>
    <row r="397">
      <c r="A397" s="6" t="inlineStr">
        <is>
          <t>2022M12</t>
        </is>
      </c>
      <c r="B397" t="n">
        <v>1797.40818181818</v>
      </c>
      <c r="C397">
        <f>IF(OR(B397="",B396=""),"",LN(B397/B396)*100)</f>
        <v/>
      </c>
      <c r="D397">
        <f>IF(C397="", "", STDEV.S(C395:C397))</f>
        <v/>
      </c>
      <c r="E397">
        <f>IF(C397="", "", STDEV.S(C386:C397)*SQRT(12))</f>
        <v/>
      </c>
    </row>
    <row r="398">
      <c r="A398" s="6" t="inlineStr">
        <is>
          <t>2023M1</t>
        </is>
      </c>
      <c r="B398" t="n">
        <v>1896.05954545454</v>
      </c>
      <c r="C398">
        <f>IF(OR(B398="",B397=""),"",LN(B398/B397)*100)</f>
        <v/>
      </c>
      <c r="D398">
        <f>IF(C398="", "", STDEV.S(C396:C398))</f>
        <v/>
      </c>
      <c r="E398">
        <f>IF(C398="", "", STDEV.S(C387:C398)*SQRT(12))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IF(C399="", "", STDEV.S(C397:C399))</f>
        <v/>
      </c>
      <c r="E399">
        <f>IF(C399="", "", STDEV.S(C388:C399)*SQRT(12))</f>
        <v/>
      </c>
    </row>
    <row r="400">
      <c r="A400" s="6" t="inlineStr">
        <is>
          <t>2023M3</t>
        </is>
      </c>
      <c r="B400" t="n">
        <v>1913.64826086956</v>
      </c>
      <c r="C400">
        <f>IF(OR(B400="",B399=""),"",LN(B400/B399)*100)</f>
        <v/>
      </c>
      <c r="D400">
        <f>IF(C400="", "", STDEV.S(C398:C400))</f>
        <v/>
      </c>
      <c r="E400">
        <f>IF(C400="", "", STDEV.S(C389:C400)*SQRT(12))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IF(C401="", "", STDEV.S(C399:C401))</f>
        <v/>
      </c>
      <c r="E401">
        <f>IF(C401="", "", STDEV.S(C390:C401)*SQRT(12))</f>
        <v/>
      </c>
    </row>
    <row r="402">
      <c r="A402" s="6" t="inlineStr">
        <is>
          <t>2023M5</t>
        </is>
      </c>
      <c r="B402" t="n">
        <v>1989.82695652173</v>
      </c>
      <c r="C402">
        <f>IF(OR(B402="",B401=""),"",LN(B402/B401)*100)</f>
        <v/>
      </c>
      <c r="D402">
        <f>IF(C402="", "", STDEV.S(C400:C402))</f>
        <v/>
      </c>
      <c r="E402">
        <f>IF(C402="", "", STDEV.S(C391:C402)*SQRT(12))</f>
        <v/>
      </c>
    </row>
    <row r="403">
      <c r="A403" s="6" t="inlineStr">
        <is>
          <t>2023M6</t>
        </is>
      </c>
      <c r="B403" t="n">
        <v>1944.72863636363</v>
      </c>
      <c r="C403">
        <f>IF(OR(B403="",B402=""),"",LN(B403/B402)*100)</f>
        <v/>
      </c>
      <c r="D403">
        <f>IF(C403="", "", STDEV.S(C401:C403))</f>
        <v/>
      </c>
      <c r="E403">
        <f>IF(C403="", "", STDEV.S(C392:C403)*SQRT(12))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IF(C404="", "", STDEV.S(C402:C404))</f>
        <v/>
      </c>
      <c r="E404">
        <f>IF(C404="", "", STDEV.S(C393:C404)*SQRT(12))</f>
        <v/>
      </c>
    </row>
    <row r="405">
      <c r="A405" s="6" t="inlineStr">
        <is>
          <t>2023M8</t>
        </is>
      </c>
      <c r="B405" t="n">
        <v>1919.30217391304</v>
      </c>
      <c r="C405">
        <f>IF(OR(B405="",B404=""),"",LN(B405/B404)*100)</f>
        <v/>
      </c>
      <c r="D405">
        <f>IF(C405="", "", STDEV.S(C403:C405))</f>
        <v/>
      </c>
      <c r="E405">
        <f>IF(C405="", "", STDEV.S(C394:C405)*SQRT(12))</f>
        <v/>
      </c>
    </row>
    <row r="406">
      <c r="A406" s="6" t="inlineStr">
        <is>
          <t>2023M9</t>
        </is>
      </c>
      <c r="B406" t="n">
        <v>1915.43476190476</v>
      </c>
      <c r="C406">
        <f>IF(OR(B406="",B405=""),"",LN(B406/B405)*100)</f>
        <v/>
      </c>
      <c r="D406">
        <f>IF(C406="", "", STDEV.S(C404:C406))</f>
        <v/>
      </c>
      <c r="E406">
        <f>IF(C406="", "", STDEV.S(C395:C406)*SQRT(12))</f>
        <v/>
      </c>
    </row>
    <row r="407">
      <c r="A407" s="6" t="inlineStr">
        <is>
          <t>2023M10</t>
        </is>
      </c>
      <c r="B407" t="n">
        <v>1913.98454545454</v>
      </c>
      <c r="C407">
        <f>IF(OR(B407="",B406=""),"",LN(B407/B406)*100)</f>
        <v/>
      </c>
      <c r="D407">
        <f>IF(C407="", "", STDEV.S(C405:C407))</f>
        <v/>
      </c>
      <c r="E407">
        <f>IF(C407="", "", STDEV.S(C396:C407)*SQRT(12))</f>
        <v/>
      </c>
    </row>
    <row r="408">
      <c r="A408" s="6" t="inlineStr">
        <is>
          <t>2023M11</t>
        </is>
      </c>
      <c r="B408" t="n">
        <v>1985.77772727272</v>
      </c>
      <c r="C408">
        <f>IF(OR(B408="",B407=""),"",LN(B408/B407)*100)</f>
        <v/>
      </c>
      <c r="D408">
        <f>IF(C408="", "", STDEV.S(C406:C408))</f>
        <v/>
      </c>
      <c r="E408">
        <f>IF(C408="", "", STDEV.S(C397:C408)*SQRT(12))</f>
        <v/>
      </c>
    </row>
    <row r="409">
      <c r="A409" s="6" t="inlineStr">
        <is>
          <t>2023M12</t>
        </is>
      </c>
      <c r="B409" t="n">
        <v>2034.70428571428</v>
      </c>
      <c r="C409">
        <f>IF(OR(B409="",B408=""),"",LN(B409/B408)*100)</f>
        <v/>
      </c>
      <c r="D409">
        <f>IF(C409="", "", STDEV.S(C407:C409))</f>
        <v/>
      </c>
      <c r="E409">
        <f>IF(C409="", "", STDEV.S(C398:C409)*SQRT(12))</f>
        <v/>
      </c>
    </row>
    <row r="410">
      <c r="A410" s="6" t="inlineStr">
        <is>
          <t>2024M1</t>
        </is>
      </c>
      <c r="B410" t="n">
        <v>2034.00608695652</v>
      </c>
      <c r="C410">
        <f>IF(OR(B410="",B409=""),"",LN(B410/B409)*100)</f>
        <v/>
      </c>
      <c r="D410">
        <f>IF(C410="", "", STDEV.S(C408:C410))</f>
        <v/>
      </c>
      <c r="E410">
        <f>IF(C410="", "", STDEV.S(C399:C410)*SQRT(12))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IF(C411="", "", STDEV.S(C409:C411))</f>
        <v/>
      </c>
      <c r="E411">
        <f>IF(C411="", "", STDEV.S(C400:C411)*SQRT(12))</f>
        <v/>
      </c>
    </row>
    <row r="412">
      <c r="A412" s="6" t="inlineStr">
        <is>
          <t>2024M3</t>
        </is>
      </c>
      <c r="B412" t="n">
        <v>2162.34619047619</v>
      </c>
      <c r="C412">
        <f>IF(OR(B412="",B411=""),"",LN(B412/B411)*100)</f>
        <v/>
      </c>
      <c r="D412">
        <f>IF(C412="", "", STDEV.S(C410:C412))</f>
        <v/>
      </c>
      <c r="E412">
        <f>IF(C412="", "", STDEV.S(C401:C412)*SQRT(12))</f>
        <v/>
      </c>
    </row>
    <row r="413">
      <c r="A413" s="6" t="inlineStr">
        <is>
          <t>2024M4</t>
        </is>
      </c>
      <c r="B413" t="n">
        <v>2333.55045454545</v>
      </c>
      <c r="C413">
        <f>IF(OR(B413="",B412=""),"",LN(B413/B412)*100)</f>
        <v/>
      </c>
      <c r="D413">
        <f>IF(C413="", "", STDEV.S(C411:C413))</f>
        <v/>
      </c>
      <c r="E413">
        <f>IF(C413="", "", STDEV.S(C402:C413)*SQRT(12))</f>
        <v/>
      </c>
    </row>
    <row r="414">
      <c r="A414" s="6" t="inlineStr">
        <is>
          <t>2024M5</t>
        </is>
      </c>
      <c r="B414" t="n">
        <v>2350.59652173913</v>
      </c>
      <c r="C414">
        <f>IF(OR(B414="",B413=""),"",LN(B414/B413)*100)</f>
        <v/>
      </c>
      <c r="D414">
        <f>IF(C414="", "", STDEV.S(C412:C414))</f>
        <v/>
      </c>
      <c r="E414">
        <f>IF(C414="", "", STDEV.S(C403:C414)*SQRT(12))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IF(C415="", "", STDEV.S(C413:C415))</f>
        <v/>
      </c>
      <c r="E415">
        <f>IF(C415="", "", STDEV.S(C404:C415)*SQRT(12))</f>
        <v/>
      </c>
    </row>
    <row r="416">
      <c r="A416" s="6" t="inlineStr">
        <is>
          <t>2024M7</t>
        </is>
      </c>
      <c r="B416" t="n">
        <v>2393.96217391304</v>
      </c>
      <c r="C416">
        <f>IF(OR(B416="",B415=""),"",LN(B416/B415)*100)</f>
        <v/>
      </c>
      <c r="D416">
        <f>IF(C416="", "", STDEV.S(C414:C416))</f>
        <v/>
      </c>
      <c r="E416">
        <f>IF(C416="", "", STDEV.S(C405:C416)*SQRT(12))</f>
        <v/>
      </c>
    </row>
    <row r="417">
      <c r="A417" s="6" t="inlineStr">
        <is>
          <t>2024M8</t>
        </is>
      </c>
      <c r="B417" t="n">
        <v>2468.32863636363</v>
      </c>
      <c r="C417">
        <f>IF(OR(B417="",B416=""),"",LN(B417/B416)*100)</f>
        <v/>
      </c>
      <c r="D417">
        <f>IF(C417="", "", STDEV.S(C415:C417))</f>
        <v/>
      </c>
      <c r="E417">
        <f>IF(C417="", "", STDEV.S(C406:C417)*SQRT(12))</f>
        <v/>
      </c>
    </row>
    <row r="418">
      <c r="A418" s="6" t="inlineStr">
        <is>
          <t>2024M9</t>
        </is>
      </c>
      <c r="B418" t="n">
        <v>2569.04904761904</v>
      </c>
      <c r="C418">
        <f>IF(OR(B418="",B417=""),"",LN(B418/B417)*100)</f>
        <v/>
      </c>
      <c r="D418">
        <f>IF(C418="", "", STDEV.S(C416:C418))</f>
        <v/>
      </c>
      <c r="E418">
        <f>IF(C418="", "", STDEV.S(C407:C418)*SQRT(12))</f>
        <v/>
      </c>
    </row>
    <row r="419">
      <c r="A419" s="6" t="inlineStr">
        <is>
          <t>2024M10</t>
        </is>
      </c>
      <c r="B419" t="n">
        <v>2689.12869565217</v>
      </c>
      <c r="C419">
        <f>IF(OR(B419="",B418=""),"",LN(B419/B418)*100)</f>
        <v/>
      </c>
      <c r="D419">
        <f>IF(C419="", "", STDEV.S(C417:C419))</f>
        <v/>
      </c>
      <c r="E419">
        <f>IF(C419="", "", STDEV.S(C408:C419)*SQRT(12))</f>
        <v/>
      </c>
    </row>
    <row r="420">
      <c r="A420" s="6" t="inlineStr">
        <is>
          <t>2024M11</t>
        </is>
      </c>
      <c r="B420" t="n">
        <v>2652.19952380952</v>
      </c>
      <c r="C420">
        <f>IF(OR(B420="",B419=""),"",LN(B420/B419)*100)</f>
        <v/>
      </c>
      <c r="D420">
        <f>IF(C420="", "", STDEV.S(C418:C420))</f>
        <v/>
      </c>
      <c r="E420">
        <f>IF(C420="", "", STDEV.S(C409:C420)*SQRT(12))</f>
        <v/>
      </c>
    </row>
    <row r="421">
      <c r="A421" s="6" t="inlineStr">
        <is>
          <t>2024M12</t>
        </is>
      </c>
      <c r="B421" t="n">
        <v>2640.60545454545</v>
      </c>
      <c r="C421">
        <f>IF(OR(B421="",B420=""),"",LN(B421/B420)*100)</f>
        <v/>
      </c>
      <c r="D421">
        <f>IF(C421="", "", STDEV.S(C419:C421))</f>
        <v/>
      </c>
      <c r="E421">
        <f>IF(C421="", "", STDEV.S(C410:C421)*SQRT(12))</f>
        <v/>
      </c>
    </row>
    <row r="422">
      <c r="A422" s="6" t="inlineStr">
        <is>
          <t>2025M1</t>
        </is>
      </c>
      <c r="B422" t="n">
        <v>2707.46739130434</v>
      </c>
      <c r="C422">
        <f>IF(OR(B422="",B421=""),"",LN(B422/B421)*100)</f>
        <v/>
      </c>
      <c r="D422">
        <f>IF(C422="", "", STDEV.S(C420:C422))</f>
        <v/>
      </c>
      <c r="E422">
        <f>IF(C422="", "", STDEV.S(C411:C422)*SQRT(12))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IF(C423="", "", STDEV.S(C421:C423))</f>
        <v/>
      </c>
      <c r="E423">
        <f>IF(C423="", "", STDEV.S(C412:C423)*SQRT(12))</f>
        <v/>
      </c>
    </row>
    <row r="424">
      <c r="A424" s="6" t="inlineStr">
        <is>
          <t>2025M3</t>
        </is>
      </c>
      <c r="B424" t="n">
        <v>2986.25619047619</v>
      </c>
      <c r="C424">
        <f>IF(OR(B424="",B423=""),"",LN(B424/B423)*100)</f>
        <v/>
      </c>
      <c r="D424">
        <f>IF(C424="", "", STDEV.S(C422:C424))</f>
        <v/>
      </c>
      <c r="E424">
        <f>IF(C424="", "", STDEV.S(C413:C424)*SQRT(12))</f>
        <v/>
      </c>
    </row>
    <row r="425">
      <c r="A425" s="6" t="inlineStr">
        <is>
          <t>2025M4</t>
        </is>
      </c>
      <c r="B425" t="n">
        <v>3222.01181818181</v>
      </c>
      <c r="C425">
        <f>IF(OR(B425="",B424=""),"",LN(B425/B424)*100)</f>
        <v/>
      </c>
      <c r="D425">
        <f>IF(C425="", "", STDEV.S(C423:C425))</f>
        <v/>
      </c>
      <c r="E425">
        <f>IF(C425="", "", STDEV.S(C414:C425)*SQRT(12))</f>
        <v/>
      </c>
    </row>
    <row r="426">
      <c r="A426" s="6" t="inlineStr">
        <is>
          <t>2025M5</t>
        </is>
      </c>
      <c r="B426" t="n">
        <v>3288.00954545454</v>
      </c>
      <c r="C426">
        <f>IF(OR(B426="",B425=""),"",LN(B426/B425)*100)</f>
        <v/>
      </c>
      <c r="D426">
        <f>IF(C426="", "", STDEV.S(C424:C426))</f>
        <v/>
      </c>
      <c r="E426">
        <f>IF(C426="", "", STDEV.S(C415:C426)*SQRT(12))</f>
        <v/>
      </c>
    </row>
    <row r="427">
      <c r="A427" s="6" t="inlineStr">
        <is>
          <t>2025M6</t>
        </is>
      </c>
      <c r="B427" t="n">
        <v>3351.85857142857</v>
      </c>
      <c r="C427">
        <f>IF(OR(B427="",B426=""),"",LN(B427/B426)*100)</f>
        <v/>
      </c>
      <c r="D427">
        <f>IF(C427="", "", STDEV.S(C425:C427))</f>
        <v/>
      </c>
      <c r="E427">
        <f>IF(C427="", "", STDEV.S(C416:C427)*SQRT(12))</f>
        <v/>
      </c>
    </row>
    <row r="428">
      <c r="A428" s="6" t="inlineStr">
        <is>
          <t>2025M7</t>
        </is>
      </c>
      <c r="B428" t="n">
        <v>3341.64913043478</v>
      </c>
      <c r="C428">
        <f>IF(OR(B428="",B427=""),"",LN(B428/B427)*100)</f>
        <v/>
      </c>
      <c r="D428">
        <f>IF(C428="", "", STDEV.S(C426:C428))</f>
        <v/>
      </c>
      <c r="E428">
        <f>IF(C428="", "", STDEV.S(C417:C428)*SQRT(12))</f>
        <v/>
      </c>
    </row>
    <row r="429">
      <c r="A429" s="6" t="inlineStr">
        <is>
          <t>2025M8</t>
        </is>
      </c>
      <c r="B429" t="n">
        <v>3367.25619047619</v>
      </c>
      <c r="C429">
        <f>IF(OR(B429="",B428=""),"",LN(B429/B428)*100)</f>
        <v/>
      </c>
      <c r="D429">
        <f>IF(C429="", "", STDEV.S(C427:C429))</f>
        <v/>
      </c>
      <c r="E429">
        <f>IF(C429="", "", STDEV.S(C418:C429)*SQRT(12))</f>
        <v/>
      </c>
    </row>
    <row r="430">
      <c r="A430" s="6" t="inlineStr">
        <is>
          <t>2025M9</t>
        </is>
      </c>
      <c r="B430" t="n">
        <v>3666.52363636363</v>
      </c>
      <c r="C430">
        <f>IF(OR(B430="",B429=""),"",LN(B430/B429)*100)</f>
        <v/>
      </c>
      <c r="D430">
        <f>IF(C430="", "", STDEV.S(C428:C430))</f>
        <v/>
      </c>
      <c r="E430">
        <f>IF(C430="", "", STDEV.S(C419:C430)*SQRT(12))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2026-09-21T19:57:19Z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