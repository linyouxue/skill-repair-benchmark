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>
        <f>SUMXMY2($K$6:$K$27,$L$6:$L$27)+100*SUMSQ($M$8:$M$27)</f>
        <v/>
      </c>
      <c r="P5" s="13" t="n"/>
    </row>
    <row r="6">
      <c r="C6" t="n">
        <v>2002</v>
      </c>
      <c r="D6" s="19">
        <f>XLOOKUP(C6,PWT!$A$2:$A$35,PWT!$C$2:$C$35,"",0)</f>
        <v/>
      </c>
      <c r="E6">
        <f>XLOOKUP(C6,WEO_Data!$B$8:$B$51,WEO_Data!$C$8:$C$51,"",0)</f>
        <v/>
      </c>
      <c r="F6">
        <f>IF(D6="","",LN(D6))</f>
        <v/>
      </c>
      <c r="G6">
        <f>IF(E6="","",LN(E6))</f>
        <v/>
      </c>
      <c r="K6" s="4">
        <f>IF(OR(F6="",G6=""),"",G6-$B$2*F6)</f>
        <v/>
      </c>
      <c r="L6">
        <f>K6</f>
        <v/>
      </c>
      <c r="N6" s="5">
        <f>IF(OR(K6="",L6=""),"",K6-L6)</f>
        <v/>
      </c>
    </row>
    <row r="7">
      <c r="C7" t="n">
        <v>2003</v>
      </c>
      <c r="D7" s="19">
        <f>XLOOKUP(C7,PWT!$A$2:$A$35,PWT!$C$2:$C$35,"",0)</f>
        <v/>
      </c>
      <c r="E7">
        <f>XLOOKUP(C7,WEO_Data!$B$8:$B$51,WEO_Data!$C$8:$C$51,"",0)</f>
        <v/>
      </c>
      <c r="F7">
        <f>IF(D7="","",LN(D7))</f>
        <v/>
      </c>
      <c r="G7">
        <f>IF(E7="","",LN(E7))</f>
        <v/>
      </c>
      <c r="K7" s="4">
        <f>IF(OR(F7="",G7=""),"",G7-$B$2*F7)</f>
        <v/>
      </c>
      <c r="L7">
        <f>K7</f>
        <v/>
      </c>
      <c r="N7" s="5">
        <f>IF(OR(K7="",L7=""),"",K7-L7)</f>
        <v/>
      </c>
    </row>
    <row r="8">
      <c r="C8" t="n">
        <v>2004</v>
      </c>
      <c r="D8" s="19">
        <f>XLOOKUP(C8,PWT!$A$2:$A$35,PWT!$C$2:$C$35,"",0)</f>
        <v/>
      </c>
      <c r="E8">
        <f>XLOOKUP(C8,WEO_Data!$B$8:$B$51,WEO_Data!$C$8:$C$51,"",0)</f>
        <v/>
      </c>
      <c r="F8">
        <f>IF(D8="","",LN(D8))</f>
        <v/>
      </c>
      <c r="G8">
        <f>IF(E8="","",LN(E8))</f>
        <v/>
      </c>
      <c r="K8" s="4">
        <f>IF(OR(F8="",G8=""),"",G8-$B$2*F8)</f>
        <v/>
      </c>
      <c r="L8">
        <f>K8</f>
        <v/>
      </c>
      <c r="M8">
        <f>L8-2*L7+L6</f>
        <v/>
      </c>
      <c r="N8" s="5">
        <f>IF(OR(K8="",L8=""),"",K8-L8)</f>
        <v/>
      </c>
    </row>
    <row r="9">
      <c r="C9" t="n">
        <v>2005</v>
      </c>
      <c r="D9" s="19">
        <f>XLOOKUP(C9,PWT!$A$2:$A$35,PWT!$C$2:$C$35,"",0)</f>
        <v/>
      </c>
      <c r="E9">
        <f>XLOOKUP(C9,WEO_Data!$B$8:$B$51,WEO_Data!$C$8:$C$51,"",0)</f>
        <v/>
      </c>
      <c r="F9">
        <f>IF(D9="","",LN(D9))</f>
        <v/>
      </c>
      <c r="G9">
        <f>IF(E9="","",LN(E9))</f>
        <v/>
      </c>
      <c r="K9" s="4">
        <f>IF(OR(F9="",G9=""),"",G9-$B$2*F9)</f>
        <v/>
      </c>
      <c r="L9">
        <f>K9</f>
        <v/>
      </c>
      <c r="M9">
        <f>L9-2*L8+L7</f>
        <v/>
      </c>
      <c r="N9" s="5">
        <f>IF(OR(K9="",L9=""),"",K9-L9)</f>
        <v/>
      </c>
    </row>
    <row r="10">
      <c r="C10" t="n">
        <v>2006</v>
      </c>
      <c r="D10" s="19">
        <f>XLOOKUP(C10,PWT!$A$2:$A$35,PWT!$C$2:$C$35,"",0)</f>
        <v/>
      </c>
      <c r="E10">
        <f>XLOOKUP(C10,WEO_Data!$B$8:$B$51,WEO_Data!$C$8:$C$51,"",0)</f>
        <v/>
      </c>
      <c r="F10">
        <f>IF(D10="","",LN(D10))</f>
        <v/>
      </c>
      <c r="G10">
        <f>IF(E10="","",LN(E10))</f>
        <v/>
      </c>
      <c r="K10" s="4">
        <f>IF(OR(F10="",G10=""),"",G10-$B$2*F10)</f>
        <v/>
      </c>
      <c r="L10">
        <f>K10</f>
        <v/>
      </c>
      <c r="M10">
        <f>L10-2*L9+L8</f>
        <v/>
      </c>
      <c r="N10" s="5">
        <f>IF(OR(K10="",L10=""),"",K10-L10)</f>
        <v/>
      </c>
    </row>
    <row r="11">
      <c r="C11" t="n">
        <v>2007</v>
      </c>
      <c r="D11" s="19">
        <f>XLOOKUP(C11,PWT!$A$2:$A$35,PWT!$C$2:$C$35,"",0)</f>
        <v/>
      </c>
      <c r="E11">
        <f>XLOOKUP(C11,WEO_Data!$B$8:$B$51,WEO_Data!$C$8:$C$51,"",0)</f>
        <v/>
      </c>
      <c r="F11">
        <f>IF(D11="","",LN(D11))</f>
        <v/>
      </c>
      <c r="G11">
        <f>IF(E11="","",LN(E11))</f>
        <v/>
      </c>
      <c r="K11" s="4">
        <f>IF(OR(F11="",G11=""),"",G11-$B$2*F11)</f>
        <v/>
      </c>
      <c r="L11">
        <f>K11</f>
        <v/>
      </c>
      <c r="M11">
        <f>L11-2*L10+L9</f>
        <v/>
      </c>
      <c r="N11" s="5">
        <f>IF(OR(K11="",L11=""),"",K11-L11)</f>
        <v/>
      </c>
    </row>
    <row r="12">
      <c r="C12" t="n">
        <v>2008</v>
      </c>
      <c r="D12" s="19">
        <f>XLOOKUP(C12,PWT!$A$2:$A$35,PWT!$C$2:$C$35,"",0)</f>
        <v/>
      </c>
      <c r="E12">
        <f>XLOOKUP(C12,WEO_Data!$B$8:$B$51,WEO_Data!$C$8:$C$51,"",0)</f>
        <v/>
      </c>
      <c r="F12">
        <f>IF(D12="","",LN(D12))</f>
        <v/>
      </c>
      <c r="G12">
        <f>IF(E12="","",LN(E12))</f>
        <v/>
      </c>
      <c r="K12" s="4">
        <f>IF(OR(F12="",G12=""),"",G12-$B$2*F12)</f>
        <v/>
      </c>
      <c r="L12">
        <f>K12</f>
        <v/>
      </c>
      <c r="M12">
        <f>L12-2*L11+L10</f>
        <v/>
      </c>
      <c r="N12" s="5">
        <f>IF(OR(K12="",L12=""),"",K12-L12)</f>
        <v/>
      </c>
    </row>
    <row r="13">
      <c r="C13" t="n">
        <v>2009</v>
      </c>
      <c r="D13" s="19">
        <f>XLOOKUP(C13,PWT!$A$2:$A$35,PWT!$C$2:$C$35,"",0)</f>
        <v/>
      </c>
      <c r="E13">
        <f>XLOOKUP(C13,WEO_Data!$B$8:$B$51,WEO_Data!$C$8:$C$51,"",0)</f>
        <v/>
      </c>
      <c r="F13">
        <f>IF(D13="","",LN(D13))</f>
        <v/>
      </c>
      <c r="G13">
        <f>IF(E13="","",LN(E13))</f>
        <v/>
      </c>
      <c r="K13" s="4">
        <f>IF(OR(F13="",G13=""),"",G13-$B$2*F13)</f>
        <v/>
      </c>
      <c r="L13">
        <f>K13</f>
        <v/>
      </c>
      <c r="M13">
        <f>L13-2*L12+L11</f>
        <v/>
      </c>
      <c r="N13" s="5">
        <f>IF(OR(K13="",L13=""),"",K13-L13)</f>
        <v/>
      </c>
    </row>
    <row r="14">
      <c r="C14" t="n">
        <v>2010</v>
      </c>
      <c r="D14" s="19">
        <f>XLOOKUP(C14,PWT!$A$2:$A$35,PWT!$C$2:$C$35,"",0)</f>
        <v/>
      </c>
      <c r="E14">
        <f>XLOOKUP(C14,WEO_Data!$B$8:$B$51,WEO_Data!$C$8:$C$51,"",0)</f>
        <v/>
      </c>
      <c r="F14">
        <f>IF(D14="","",LN(D14))</f>
        <v/>
      </c>
      <c r="G14">
        <f>IF(E14="","",LN(E14))</f>
        <v/>
      </c>
      <c r="K14" s="4">
        <f>IF(OR(F14="",G14=""),"",G14-$B$2*F14)</f>
        <v/>
      </c>
      <c r="L14">
        <f>K14</f>
        <v/>
      </c>
      <c r="M14">
        <f>L14-2*L13+L12</f>
        <v/>
      </c>
      <c r="N14" s="5">
        <f>IF(OR(K14="",L14=""),"",K14-L14)</f>
        <v/>
      </c>
    </row>
    <row r="15">
      <c r="C15" t="n">
        <v>2011</v>
      </c>
      <c r="D15" s="19">
        <f>XLOOKUP(C15,PWT!$A$2:$A$35,PWT!$C$2:$C$35,"",0)</f>
        <v/>
      </c>
      <c r="E15">
        <f>XLOOKUP(C15,WEO_Data!$B$8:$B$51,WEO_Data!$C$8:$C$51,"",0)</f>
        <v/>
      </c>
      <c r="F15">
        <f>IF(D15="","",LN(D15))</f>
        <v/>
      </c>
      <c r="G15">
        <f>IF(E15="","",LN(E15))</f>
        <v/>
      </c>
      <c r="K15" s="4">
        <f>IF(OR(F15="",G15=""),"",G15-$B$2*F15)</f>
        <v/>
      </c>
      <c r="L15">
        <f>K15</f>
        <v/>
      </c>
      <c r="M15">
        <f>L15-2*L14+L13</f>
        <v/>
      </c>
      <c r="N15" s="5">
        <f>IF(OR(K15="",L15=""),"",K15-L15)</f>
        <v/>
      </c>
    </row>
    <row r="16">
      <c r="C16" t="n">
        <v>2012</v>
      </c>
      <c r="D16" s="19">
        <f>XLOOKUP(C16,PWT!$A$2:$A$35,PWT!$C$2:$C$35,"",0)</f>
        <v/>
      </c>
      <c r="E16">
        <f>XLOOKUP(C16,WEO_Data!$B$8:$B$51,WEO_Data!$C$8:$C$51,"",0)</f>
        <v/>
      </c>
      <c r="F16">
        <f>IF(D16="","",LN(D16))</f>
        <v/>
      </c>
      <c r="G16">
        <f>IF(E16="","",LN(E16))</f>
        <v/>
      </c>
      <c r="K16" s="4">
        <f>IF(OR(F16="",G16=""),"",G16-$B$2*F16)</f>
        <v/>
      </c>
      <c r="L16">
        <f>K16</f>
        <v/>
      </c>
      <c r="M16">
        <f>L16-2*L15+L14</f>
        <v/>
      </c>
      <c r="N16" s="5">
        <f>IF(OR(K16="",L16=""),"",K16-L16)</f>
        <v/>
      </c>
    </row>
    <row r="17">
      <c r="C17" t="n">
        <v>2013</v>
      </c>
      <c r="D17" s="19">
        <f>XLOOKUP(C17,PWT!$A$2:$A$35,PWT!$C$2:$C$35,"",0)</f>
        <v/>
      </c>
      <c r="E17">
        <f>XLOOKUP(C17,WEO_Data!$B$8:$B$51,WEO_Data!$C$8:$C$51,"",0)</f>
        <v/>
      </c>
      <c r="F17">
        <f>IF(D17="","",LN(D17))</f>
        <v/>
      </c>
      <c r="G17">
        <f>IF(E17="","",LN(E17))</f>
        <v/>
      </c>
      <c r="K17" s="4">
        <f>IF(OR(F17="",G17=""),"",G17-$B$2*F17)</f>
        <v/>
      </c>
      <c r="L17">
        <f>K17</f>
        <v/>
      </c>
      <c r="M17">
        <f>L17-2*L16+L15</f>
        <v/>
      </c>
      <c r="N17" s="5">
        <f>IF(OR(K17="",L17=""),"",K17-L17)</f>
        <v/>
      </c>
    </row>
    <row r="18">
      <c r="C18" t="n">
        <v>2014</v>
      </c>
      <c r="D18" s="19">
        <f>XLOOKUP(C18,PWT!$A$2:$A$35,PWT!$C$2:$C$35,"",0)</f>
        <v/>
      </c>
      <c r="E18">
        <f>XLOOKUP(C18,WEO_Data!$B$8:$B$51,WEO_Data!$C$8:$C$51,"",0)</f>
        <v/>
      </c>
      <c r="F18">
        <f>IF(D18="","",LN(D18))</f>
        <v/>
      </c>
      <c r="G18">
        <f>IF(E18="","",LN(E18))</f>
        <v/>
      </c>
      <c r="K18" s="4">
        <f>IF(OR(F18="",G18=""),"",G18-$B$2*F18)</f>
        <v/>
      </c>
      <c r="L18">
        <f>K18</f>
        <v/>
      </c>
      <c r="M18">
        <f>L18-2*L17+L16</f>
        <v/>
      </c>
      <c r="N18" s="5">
        <f>IF(OR(K18="",L18=""),"",K18-L18)</f>
        <v/>
      </c>
    </row>
    <row r="19">
      <c r="C19" t="n">
        <v>2015</v>
      </c>
      <c r="D19" s="19">
        <f>XLOOKUP(C19,PWT!$A$2:$A$35,PWT!$C$2:$C$35,"",0)</f>
        <v/>
      </c>
      <c r="E19">
        <f>XLOOKUP(C19,WEO_Data!$B$8:$B$51,WEO_Data!$C$8:$C$51,"",0)</f>
        <v/>
      </c>
      <c r="F19">
        <f>IF(D19="","",LN(D19))</f>
        <v/>
      </c>
      <c r="G19">
        <f>IF(E19="","",LN(E19))</f>
        <v/>
      </c>
      <c r="K19" s="4">
        <f>IF(OR(F19="",G19=""),"",G19-$B$2*F19)</f>
        <v/>
      </c>
      <c r="L19">
        <f>K19</f>
        <v/>
      </c>
      <c r="M19">
        <f>L19-2*L18+L17</f>
        <v/>
      </c>
      <c r="N19" s="5">
        <f>IF(OR(K19="",L19=""),"",K19-L19)</f>
        <v/>
      </c>
    </row>
    <row r="20">
      <c r="C20" t="n">
        <v>2016</v>
      </c>
      <c r="D20" s="19">
        <f>XLOOKUP(C20,PWT!$A$2:$A$35,PWT!$C$2:$C$35,"",0)</f>
        <v/>
      </c>
      <c r="E20">
        <f>XLOOKUP(C20,WEO_Data!$B$8:$B$51,WEO_Data!$C$8:$C$51,"",0)</f>
        <v/>
      </c>
      <c r="F20">
        <f>IF(D20="","",LN(D20))</f>
        <v/>
      </c>
      <c r="G20">
        <f>IF(E20="","",LN(E20))</f>
        <v/>
      </c>
      <c r="K20" s="4">
        <f>IF(OR(F20="",G20=""),"",G20-$B$2*F20)</f>
        <v/>
      </c>
      <c r="L20">
        <f>K20</f>
        <v/>
      </c>
      <c r="M20">
        <f>L20-2*L19+L18</f>
        <v/>
      </c>
      <c r="N20" s="5">
        <f>IF(OR(K20="",L20=""),"",K20-L20)</f>
        <v/>
      </c>
    </row>
    <row r="21">
      <c r="C21" t="n">
        <v>2017</v>
      </c>
      <c r="D21" s="19">
        <f>XLOOKUP(C21,PWT!$A$2:$A$35,PWT!$C$2:$C$35,"",0)</f>
        <v/>
      </c>
      <c r="E21">
        <f>XLOOKUP(C21,WEO_Data!$B$8:$B$51,WEO_Data!$C$8:$C$51,"",0)</f>
        <v/>
      </c>
      <c r="F21">
        <f>IF(D21="","",LN(D21))</f>
        <v/>
      </c>
      <c r="G21">
        <f>IF(E21="","",LN(E21))</f>
        <v/>
      </c>
      <c r="K21" s="4">
        <f>IF(OR(F21="",G21=""),"",G21-$B$2*F21)</f>
        <v/>
      </c>
      <c r="L21">
        <f>K21</f>
        <v/>
      </c>
      <c r="M21">
        <f>L21-2*L20+L19</f>
        <v/>
      </c>
      <c r="N21" s="5">
        <f>IF(OR(K21="",L21=""),"",K21-L21)</f>
        <v/>
      </c>
    </row>
    <row r="22">
      <c r="C22" t="n">
        <v>2018</v>
      </c>
      <c r="D22" s="19">
        <f>XLOOKUP(C22,PWT!$A$2:$A$35,PWT!$C$2:$C$35,"",0)</f>
        <v/>
      </c>
      <c r="E22">
        <f>XLOOKUP(C22,WEO_Data!$B$8:$B$51,WEO_Data!$C$8:$C$51,"",0)</f>
        <v/>
      </c>
      <c r="F22">
        <f>IF(D22="","",LN(D22))</f>
        <v/>
      </c>
      <c r="G22">
        <f>IF(E22="","",LN(E22))</f>
        <v/>
      </c>
      <c r="K22" s="4">
        <f>IF(OR(F22="",G22=""),"",G22-$B$2*F22)</f>
        <v/>
      </c>
      <c r="L22">
        <f>K22</f>
        <v/>
      </c>
      <c r="M22">
        <f>L22-2*L21+L20</f>
        <v/>
      </c>
      <c r="N22" s="5">
        <f>IF(OR(K22="",L22=""),"",K22-L22)</f>
        <v/>
      </c>
    </row>
    <row r="23">
      <c r="C23" t="n">
        <v>2019</v>
      </c>
      <c r="D23" s="19">
        <f>XLOOKUP(C23,PWT!$A$2:$A$35,PWT!$C$2:$C$35,"",0)</f>
        <v/>
      </c>
      <c r="E23">
        <f>XLOOKUP(C23,WEO_Data!$B$8:$B$51,WEO_Data!$C$8:$C$51,"",0)</f>
        <v/>
      </c>
      <c r="F23">
        <f>IF(D23="","",LN(D23))</f>
        <v/>
      </c>
      <c r="G23">
        <f>IF(E23="","",LN(E23))</f>
        <v/>
      </c>
      <c r="K23" s="4">
        <f>IF(OR(F23="",G23=""),"",G23-$B$2*F23)</f>
        <v/>
      </c>
      <c r="L23">
        <f>K23</f>
        <v/>
      </c>
      <c r="M23">
        <f>L23-2*L22+L21</f>
        <v/>
      </c>
      <c r="N23" s="5">
        <f>IF(OR(K23="",L23=""),"",K23-L23)</f>
        <v/>
      </c>
    </row>
    <row r="24">
      <c r="C24" t="n">
        <v>2020</v>
      </c>
      <c r="D24" s="19">
        <f>XLOOKUP(C24,PWT!$A$2:$A$35,PWT!$C$2:$C$35,"",0)</f>
        <v/>
      </c>
      <c r="E24">
        <f>XLOOKUP(C24,WEO_Data!$B$8:$B$51,WEO_Data!$C$8:$C$51,"",0)</f>
        <v/>
      </c>
      <c r="F24">
        <f>IF(D24="","",LN(D24))</f>
        <v/>
      </c>
      <c r="G24">
        <f>IF(E24="","",LN(E24))</f>
        <v/>
      </c>
      <c r="K24" s="4">
        <f>IF(OR(F24="",G24=""),"",G24-$B$2*F24)</f>
        <v/>
      </c>
      <c r="L24">
        <f>K24</f>
        <v/>
      </c>
      <c r="M24">
        <f>L24-2*L23+L22</f>
        <v/>
      </c>
      <c r="N24" s="5">
        <f>IF(OR(K24="",L24=""),"",K24-L24)</f>
        <v/>
      </c>
    </row>
    <row r="25">
      <c r="C25" t="n">
        <v>2021</v>
      </c>
      <c r="D25" s="19">
        <f>XLOOKUP(C25,PWT!$A$2:$A$35,PWT!$C$2:$C$35,"",0)</f>
        <v/>
      </c>
      <c r="E25">
        <f>XLOOKUP(C25,WEO_Data!$B$8:$B$51,WEO_Data!$C$8:$C$51,"",0)</f>
        <v/>
      </c>
      <c r="F25">
        <f>IF(D25="","",LN(D25))</f>
        <v/>
      </c>
      <c r="G25">
        <f>IF(E25="","",LN(E25))</f>
        <v/>
      </c>
      <c r="K25" s="4">
        <f>IF(OR(F25="",G25=""),"",G25-$B$2*F25)</f>
        <v/>
      </c>
      <c r="L25">
        <f>K25</f>
        <v/>
      </c>
      <c r="M25">
        <f>L25-2*L24+L23</f>
        <v/>
      </c>
      <c r="N25" s="5">
        <f>IF(OR(K25="",L25=""),"",K25-L25)</f>
        <v/>
      </c>
    </row>
    <row r="26">
      <c r="C26" t="n">
        <v>2022</v>
      </c>
      <c r="D26" s="19">
        <f>XLOOKUP(C26,PWT!$A$2:$A$35,PWT!$C$2:$C$35,"",0)</f>
        <v/>
      </c>
      <c r="E26">
        <f>XLOOKUP(C26,WEO_Data!$B$8:$B$51,WEO_Data!$C$8:$C$51,"",0)</f>
        <v/>
      </c>
      <c r="F26">
        <f>IF(D26="","",LN(D26))</f>
        <v/>
      </c>
      <c r="G26">
        <f>IF(E26="","",LN(E26))</f>
        <v/>
      </c>
      <c r="K26" s="4">
        <f>IF(OR(F26="",G26=""),"",G26-$B$2*F26)</f>
        <v/>
      </c>
      <c r="L26">
        <f>K26</f>
        <v/>
      </c>
      <c r="M26">
        <f>L26-2*L25+L24</f>
        <v/>
      </c>
      <c r="N26" s="5">
        <f>IF(OR(K26="",L26=""),"",K26-L26)</f>
        <v/>
      </c>
    </row>
    <row r="27">
      <c r="C27" t="n">
        <v>2023</v>
      </c>
      <c r="D27" s="19">
        <f>XLOOKUP(C27,PWT!$A$2:$A$35,PWT!$C$2:$C$35,"",0)</f>
        <v/>
      </c>
      <c r="E27">
        <f>XLOOKUP(C27,WEO_Data!$B$8:$B$51,WEO_Data!$C$8:$C$51,"",0)</f>
        <v/>
      </c>
      <c r="F27">
        <f>IF(D27="","",LN(D27))</f>
        <v/>
      </c>
      <c r="G27">
        <f>IF(E27="","",LN(E27))</f>
        <v/>
      </c>
      <c r="K27" s="6">
        <f>IF(OR(F27="",G27=""),"",G27-$B$2*F27)</f>
        <v/>
      </c>
      <c r="L27" s="7">
        <f>K27</f>
        <v/>
      </c>
      <c r="M27" s="7">
        <f>L27-2*L26+L25</f>
        <v/>
      </c>
      <c r="N27" s="8">
        <f>IF(OR(K27="",L27=""),"",K27-L27)</f>
        <v/>
      </c>
    </row>
    <row r="34">
      <c r="C34" t="inlineStr">
        <is>
          <t>K/Y anchor (avg 2015-2023)</t>
        </is>
      </c>
      <c r="D34">
        <f>AVERAGE(D49:D57)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IF(OR(E36="",F36=""),"",E36/F36)</f>
        <v/>
      </c>
      <c r="E36" s="19">
        <f>XLOOKUP(C36,PWT!$A$2:$A$35,PWT!$C$2:$C$35,"",0)</f>
        <v/>
      </c>
      <c r="F36">
        <f>XLOOKUP(C36,WEO_Data!$B$8:$B$51,WEO_Data!$C$8:$C$51,"",0)</f>
        <v/>
      </c>
      <c r="G36">
        <f>XLOOKUP(C36,$C$6:$C$27,$L$6:$L$27,"",0)</f>
        <v/>
      </c>
      <c r="H36">
        <f>IF(OR(E36="",G36=""),"",EXP(G36)*(E36^$B$2))</f>
        <v/>
      </c>
      <c r="I36">
        <f>IFERROR(XLOOKUP(C36,Investment!$B$2:$B$9,Investment!$C$2:$C$9,0,0),0)</f>
        <v/>
      </c>
      <c r="J36" t="n">
        <v>0</v>
      </c>
      <c r="K36" s="19">
        <f>IF(E36="","",E36+J36)</f>
        <v/>
      </c>
      <c r="L36">
        <f>IF(OR(K36="",G36=""),"",EXP(G36)*(K36^$B$2))</f>
        <v/>
      </c>
      <c r="M36">
        <f>IF(OR(L36="",H36=""),"",L36/H36-1)</f>
        <v/>
      </c>
      <c r="N36">
        <f>IF(OR(F36="",M36=""),"",F36*(1+M36))</f>
        <v/>
      </c>
      <c r="O36" t="inlineStr"/>
      <c r="P36">
        <f>IFERROR(XLOOKUP(C36,WEO_Data!$B$8:$B$51,WEO_Data!$D$8:$D$51,0,0)/100,"")</f>
        <v/>
      </c>
    </row>
    <row r="37">
      <c r="C37" t="n">
        <v>2003</v>
      </c>
      <c r="D37">
        <f>IF(OR(E37="",F37=""),"",E37/F37)</f>
        <v/>
      </c>
      <c r="E37" s="19">
        <f>XLOOKUP(C37,PWT!$A$2:$A$35,PWT!$C$2:$C$35,"",0)</f>
        <v/>
      </c>
      <c r="F37">
        <f>XLOOKUP(C37,WEO_Data!$B$8:$B$51,WEO_Data!$C$8:$C$51,"",0)</f>
        <v/>
      </c>
      <c r="G37">
        <f>XLOOKUP(C37,$C$6:$C$27,$L$6:$L$27,"",0)</f>
        <v/>
      </c>
      <c r="H37">
        <f>IF(OR(E37="",G37=""),"",EXP(G37)*(E37^$B$2))</f>
        <v/>
      </c>
      <c r="I37">
        <f>IFERROR(XLOOKUP(C37,Investment!$B$2:$B$9,Investment!$C$2:$C$9,0,0),0)</f>
        <v/>
      </c>
      <c r="J37" t="n">
        <v>0</v>
      </c>
      <c r="K37" s="19">
        <f>IF(E37="","",E37+J37)</f>
        <v/>
      </c>
      <c r="L37">
        <f>IF(OR(K37="",G37=""),"",EXP(G37)*(K37^$B$2))</f>
        <v/>
      </c>
      <c r="M37">
        <f>IF(OR(L37="",H37=""),"",L37/H37-1)</f>
        <v/>
      </c>
      <c r="N37">
        <f>IF(OR(F37="",M37=""),"",F37*(1+M37))</f>
        <v/>
      </c>
      <c r="O37">
        <f>IF(OR(N36="",N37=""),"",N37/N36-1)</f>
        <v/>
      </c>
      <c r="P37">
        <f>IFERROR(XLOOKUP(C37,WEO_Data!$B$8:$B$51,WEO_Data!$D$8:$D$51,0,0)/100,"")</f>
        <v/>
      </c>
    </row>
    <row r="38">
      <c r="C38" t="n">
        <v>2004</v>
      </c>
      <c r="D38">
        <f>IF(OR(E38="",F38=""),"",E38/F38)</f>
        <v/>
      </c>
      <c r="E38" s="19">
        <f>XLOOKUP(C38,PWT!$A$2:$A$35,PWT!$C$2:$C$35,"",0)</f>
        <v/>
      </c>
      <c r="F38">
        <f>XLOOKUP(C38,WEO_Data!$B$8:$B$51,WEO_Data!$C$8:$C$51,"",0)</f>
        <v/>
      </c>
      <c r="G38">
        <f>XLOOKUP(C38,$C$6:$C$27,$L$6:$L$27,"",0)</f>
        <v/>
      </c>
      <c r="H38">
        <f>IF(OR(E38="",G38=""),"",EXP(G38)*(E38^$B$2))</f>
        <v/>
      </c>
      <c r="I38">
        <f>IFERROR(XLOOKUP(C38,Investment!$B$2:$B$9,Investment!$C$2:$C$9,0,0),0)</f>
        <v/>
      </c>
      <c r="J38" t="n">
        <v>0</v>
      </c>
      <c r="K38" s="19">
        <f>IF(E38="","",E38+J38)</f>
        <v/>
      </c>
      <c r="L38">
        <f>IF(OR(K38="",G38=""),"",EXP(G38)*(K38^$B$2))</f>
        <v/>
      </c>
      <c r="M38">
        <f>IF(OR(L38="",H38=""),"",L38/H38-1)</f>
        <v/>
      </c>
      <c r="N38">
        <f>IF(OR(F38="",M38=""),"",F38*(1+M38))</f>
        <v/>
      </c>
      <c r="O38">
        <f>IF(OR(N37="",N38=""),"",N38/N37-1)</f>
        <v/>
      </c>
      <c r="P38">
        <f>IFERROR(XLOOKUP(C38,WEO_Data!$B$8:$B$51,WEO_Data!$D$8:$D$51,0,0)/100,"")</f>
        <v/>
      </c>
    </row>
    <row r="39">
      <c r="C39" t="n">
        <v>2005</v>
      </c>
      <c r="D39">
        <f>IF(OR(E39="",F39=""),"",E39/F39)</f>
        <v/>
      </c>
      <c r="E39" s="19">
        <f>XLOOKUP(C39,PWT!$A$2:$A$35,PWT!$C$2:$C$35,"",0)</f>
        <v/>
      </c>
      <c r="F39">
        <f>XLOOKUP(C39,WEO_Data!$B$8:$B$51,WEO_Data!$C$8:$C$51,"",0)</f>
        <v/>
      </c>
      <c r="G39">
        <f>XLOOKUP(C39,$C$6:$C$27,$L$6:$L$27,"",0)</f>
        <v/>
      </c>
      <c r="H39">
        <f>IF(OR(E39="",G39=""),"",EXP(G39)*(E39^$B$2))</f>
        <v/>
      </c>
      <c r="I39">
        <f>IFERROR(XLOOKUP(C39,Investment!$B$2:$B$9,Investment!$C$2:$C$9,0,0),0)</f>
        <v/>
      </c>
      <c r="J39" t="n">
        <v>0</v>
      </c>
      <c r="K39" s="19">
        <f>IF(E39="","",E39+J39)</f>
        <v/>
      </c>
      <c r="L39">
        <f>IF(OR(K39="",G39=""),"",EXP(G39)*(K39^$B$2))</f>
        <v/>
      </c>
      <c r="M39">
        <f>IF(OR(L39="",H39=""),"",L39/H39-1)</f>
        <v/>
      </c>
      <c r="N39">
        <f>IF(OR(F39="",M39=""),"",F39*(1+M39))</f>
        <v/>
      </c>
      <c r="O39">
        <f>IF(OR(N38="",N39=""),"",N39/N38-1)</f>
        <v/>
      </c>
      <c r="P39">
        <f>IFERROR(XLOOKUP(C39,WEO_Data!$B$8:$B$51,WEO_Data!$D$8:$D$51,0,0)/100,"")</f>
        <v/>
      </c>
    </row>
    <row r="40">
      <c r="C40" t="n">
        <v>2006</v>
      </c>
      <c r="D40">
        <f>IF(OR(E40="",F40=""),"",E40/F40)</f>
        <v/>
      </c>
      <c r="E40" s="19">
        <f>XLOOKUP(C40,PWT!$A$2:$A$35,PWT!$C$2:$C$35,"",0)</f>
        <v/>
      </c>
      <c r="F40">
        <f>XLOOKUP(C40,WEO_Data!$B$8:$B$51,WEO_Data!$C$8:$C$51,"",0)</f>
        <v/>
      </c>
      <c r="G40">
        <f>XLOOKUP(C40,$C$6:$C$27,$L$6:$L$27,"",0)</f>
        <v/>
      </c>
      <c r="H40">
        <f>IF(OR(E40="",G40=""),"",EXP(G40)*(E40^$B$2))</f>
        <v/>
      </c>
      <c r="I40">
        <f>IFERROR(XLOOKUP(C40,Investment!$B$2:$B$9,Investment!$C$2:$C$9,0,0),0)</f>
        <v/>
      </c>
      <c r="J40" t="n">
        <v>0</v>
      </c>
      <c r="K40" s="19">
        <f>IF(E40="","",E40+J40)</f>
        <v/>
      </c>
      <c r="L40">
        <f>IF(OR(K40="",G40=""),"",EXP(G40)*(K40^$B$2))</f>
        <v/>
      </c>
      <c r="M40">
        <f>IF(OR(L40="",H40=""),"",L40/H40-1)</f>
        <v/>
      </c>
      <c r="N40">
        <f>IF(OR(F40="",M40=""),"",F40*(1+M40))</f>
        <v/>
      </c>
      <c r="O40">
        <f>IF(OR(N39="",N40=""),"",N40/N39-1)</f>
        <v/>
      </c>
      <c r="P40">
        <f>IFERROR(XLOOKUP(C40,WEO_Data!$B$8:$B$51,WEO_Data!$D$8:$D$51,0,0)/100,"")</f>
        <v/>
      </c>
    </row>
    <row r="41">
      <c r="C41" t="n">
        <v>2007</v>
      </c>
      <c r="D41">
        <f>IF(OR(E41="",F41=""),"",E41/F41)</f>
        <v/>
      </c>
      <c r="E41" s="19">
        <f>XLOOKUP(C41,PWT!$A$2:$A$35,PWT!$C$2:$C$35,"",0)</f>
        <v/>
      </c>
      <c r="F41">
        <f>XLOOKUP(C41,WEO_Data!$B$8:$B$51,WEO_Data!$C$8:$C$51,"",0)</f>
        <v/>
      </c>
      <c r="G41">
        <f>XLOOKUP(C41,$C$6:$C$27,$L$6:$L$27,"",0)</f>
        <v/>
      </c>
      <c r="H41">
        <f>IF(OR(E41="",G41=""),"",EXP(G41)*(E41^$B$2))</f>
        <v/>
      </c>
      <c r="I41">
        <f>IFERROR(XLOOKUP(C41,Investment!$B$2:$B$9,Investment!$C$2:$C$9,0,0),0)</f>
        <v/>
      </c>
      <c r="J41" t="n">
        <v>0</v>
      </c>
      <c r="K41" s="19">
        <f>IF(E41="","",E41+J41)</f>
        <v/>
      </c>
      <c r="L41">
        <f>IF(OR(K41="",G41=""),"",EXP(G41)*(K41^$B$2))</f>
        <v/>
      </c>
      <c r="M41">
        <f>IF(OR(L41="",H41=""),"",L41/H41-1)</f>
        <v/>
      </c>
      <c r="N41">
        <f>IF(OR(F41="",M41=""),"",F41*(1+M41))</f>
        <v/>
      </c>
      <c r="O41">
        <f>IF(OR(N40="",N41=""),"",N41/N40-1)</f>
        <v/>
      </c>
      <c r="P41">
        <f>IFERROR(XLOOKUP(C41,WEO_Data!$B$8:$B$51,WEO_Data!$D$8:$D$51,0,0)/100,"")</f>
        <v/>
      </c>
    </row>
    <row r="42">
      <c r="C42" t="n">
        <v>2008</v>
      </c>
      <c r="D42">
        <f>IF(OR(E42="",F42=""),"",E42/F42)</f>
        <v/>
      </c>
      <c r="E42" s="19">
        <f>XLOOKUP(C42,PWT!$A$2:$A$35,PWT!$C$2:$C$35,"",0)</f>
        <v/>
      </c>
      <c r="F42">
        <f>XLOOKUP(C42,WEO_Data!$B$8:$B$51,WEO_Data!$C$8:$C$51,"",0)</f>
        <v/>
      </c>
      <c r="G42">
        <f>XLOOKUP(C42,$C$6:$C$27,$L$6:$L$27,"",0)</f>
        <v/>
      </c>
      <c r="H42">
        <f>IF(OR(E42="",G42=""),"",EXP(G42)*(E42^$B$2))</f>
        <v/>
      </c>
      <c r="I42">
        <f>IFERROR(XLOOKUP(C42,Investment!$B$2:$B$9,Investment!$C$2:$C$9,0,0),0)</f>
        <v/>
      </c>
      <c r="J42" t="n">
        <v>0</v>
      </c>
      <c r="K42" s="19">
        <f>IF(E42="","",E42+J42)</f>
        <v/>
      </c>
      <c r="L42">
        <f>IF(OR(K42="",G42=""),"",EXP(G42)*(K42^$B$2))</f>
        <v/>
      </c>
      <c r="M42">
        <f>IF(OR(L42="",H42=""),"",L42/H42-1)</f>
        <v/>
      </c>
      <c r="N42">
        <f>IF(OR(F42="",M42=""),"",F42*(1+M42))</f>
        <v/>
      </c>
      <c r="O42">
        <f>IF(OR(N41="",N42=""),"",N42/N41-1)</f>
        <v/>
      </c>
      <c r="P42">
        <f>IFERROR(XLOOKUP(C42,WEO_Data!$B$8:$B$51,WEO_Data!$D$8:$D$51,0,0)/100,"")</f>
        <v/>
      </c>
    </row>
    <row r="43">
      <c r="C43" t="n">
        <v>2009</v>
      </c>
      <c r="D43">
        <f>IF(OR(E43="",F43=""),"",E43/F43)</f>
        <v/>
      </c>
      <c r="E43" s="19">
        <f>XLOOKUP(C43,PWT!$A$2:$A$35,PWT!$C$2:$C$35,"",0)</f>
        <v/>
      </c>
      <c r="F43">
        <f>XLOOKUP(C43,WEO_Data!$B$8:$B$51,WEO_Data!$C$8:$C$51,"",0)</f>
        <v/>
      </c>
      <c r="G43">
        <f>XLOOKUP(C43,$C$6:$C$27,$L$6:$L$27,"",0)</f>
        <v/>
      </c>
      <c r="H43">
        <f>IF(OR(E43="",G43=""),"",EXP(G43)*(E43^$B$2))</f>
        <v/>
      </c>
      <c r="I43">
        <f>IFERROR(XLOOKUP(C43,Investment!$B$2:$B$9,Investment!$C$2:$C$9,0,0),0)</f>
        <v/>
      </c>
      <c r="J43" t="n">
        <v>0</v>
      </c>
      <c r="K43" s="19">
        <f>IF(E43="","",E43+J43)</f>
        <v/>
      </c>
      <c r="L43">
        <f>IF(OR(K43="",G43=""),"",EXP(G43)*(K43^$B$2))</f>
        <v/>
      </c>
      <c r="M43">
        <f>IF(OR(L43="",H43=""),"",L43/H43-1)</f>
        <v/>
      </c>
      <c r="N43">
        <f>IF(OR(F43="",M43=""),"",F43*(1+M43))</f>
        <v/>
      </c>
      <c r="O43">
        <f>IF(OR(N42="",N43=""),"",N43/N42-1)</f>
        <v/>
      </c>
      <c r="P43">
        <f>IFERROR(XLOOKUP(C43,WEO_Data!$B$8:$B$51,WEO_Data!$D$8:$D$51,0,0)/100,"")</f>
        <v/>
      </c>
    </row>
    <row r="44">
      <c r="C44" t="n">
        <v>2010</v>
      </c>
      <c r="D44">
        <f>IF(OR(E44="",F44=""),"",E44/F44)</f>
        <v/>
      </c>
      <c r="E44" s="19">
        <f>XLOOKUP(C44,PWT!$A$2:$A$35,PWT!$C$2:$C$35,"",0)</f>
        <v/>
      </c>
      <c r="F44">
        <f>XLOOKUP(C44,WEO_Data!$B$8:$B$51,WEO_Data!$C$8:$C$51,"",0)</f>
        <v/>
      </c>
      <c r="G44">
        <f>XLOOKUP(C44,$C$6:$C$27,$L$6:$L$27,"",0)</f>
        <v/>
      </c>
      <c r="H44">
        <f>IF(OR(E44="",G44=""),"",EXP(G44)*(E44^$B$2))</f>
        <v/>
      </c>
      <c r="I44">
        <f>IFERROR(XLOOKUP(C44,Investment!$B$2:$B$9,Investment!$C$2:$C$9,0,0),0)</f>
        <v/>
      </c>
      <c r="J44" t="n">
        <v>0</v>
      </c>
      <c r="K44" s="19">
        <f>IF(E44="","",E44+J44)</f>
        <v/>
      </c>
      <c r="L44">
        <f>IF(OR(K44="",G44=""),"",EXP(G44)*(K44^$B$2))</f>
        <v/>
      </c>
      <c r="M44">
        <f>IF(OR(L44="",H44=""),"",L44/H44-1)</f>
        <v/>
      </c>
      <c r="N44">
        <f>IF(OR(F44="",M44=""),"",F44*(1+M44))</f>
        <v/>
      </c>
      <c r="O44">
        <f>IF(OR(N43="",N44=""),"",N44/N43-1)</f>
        <v/>
      </c>
      <c r="P44">
        <f>IFERROR(XLOOKUP(C44,WEO_Data!$B$8:$B$51,WEO_Data!$D$8:$D$51,0,0)/100,"")</f>
        <v/>
      </c>
    </row>
    <row r="45">
      <c r="C45" t="n">
        <v>2011</v>
      </c>
      <c r="D45">
        <f>IF(OR(E45="",F45=""),"",E45/F45)</f>
        <v/>
      </c>
      <c r="E45" s="19">
        <f>XLOOKUP(C45,PWT!$A$2:$A$35,PWT!$C$2:$C$35,"",0)</f>
        <v/>
      </c>
      <c r="F45">
        <f>XLOOKUP(C45,WEO_Data!$B$8:$B$51,WEO_Data!$C$8:$C$51,"",0)</f>
        <v/>
      </c>
      <c r="G45">
        <f>XLOOKUP(C45,$C$6:$C$27,$L$6:$L$27,"",0)</f>
        <v/>
      </c>
      <c r="H45">
        <f>IF(OR(E45="",G45=""),"",EXP(G45)*(E45^$B$2))</f>
        <v/>
      </c>
      <c r="I45">
        <f>IFERROR(XLOOKUP(C45,Investment!$B$2:$B$9,Investment!$C$2:$C$9,0,0),0)</f>
        <v/>
      </c>
      <c r="J45" t="n">
        <v>0</v>
      </c>
      <c r="K45" s="19">
        <f>IF(E45="","",E45+J45)</f>
        <v/>
      </c>
      <c r="L45">
        <f>IF(OR(K45="",G45=""),"",EXP(G45)*(K45^$B$2))</f>
        <v/>
      </c>
      <c r="M45">
        <f>IF(OR(L45="",H45=""),"",L45/H45-1)</f>
        <v/>
      </c>
      <c r="N45">
        <f>IF(OR(F45="",M45=""),"",F45*(1+M45))</f>
        <v/>
      </c>
      <c r="O45">
        <f>IF(OR(N44="",N45=""),"",N45/N44-1)</f>
        <v/>
      </c>
      <c r="P45">
        <f>IFERROR(XLOOKUP(C45,WEO_Data!$B$8:$B$51,WEO_Data!$D$8:$D$51,0,0)/100,"")</f>
        <v/>
      </c>
    </row>
    <row r="46">
      <c r="C46" t="n">
        <v>2012</v>
      </c>
      <c r="D46">
        <f>IF(OR(E46="",F46=""),"",E46/F46)</f>
        <v/>
      </c>
      <c r="E46" s="19">
        <f>XLOOKUP(C46,PWT!$A$2:$A$35,PWT!$C$2:$C$35,"",0)</f>
        <v/>
      </c>
      <c r="F46">
        <f>XLOOKUP(C46,WEO_Data!$B$8:$B$51,WEO_Data!$C$8:$C$51,"",0)</f>
        <v/>
      </c>
      <c r="G46">
        <f>XLOOKUP(C46,$C$6:$C$27,$L$6:$L$27,"",0)</f>
        <v/>
      </c>
      <c r="H46">
        <f>IF(OR(E46="",G46=""),"",EXP(G46)*(E46^$B$2))</f>
        <v/>
      </c>
      <c r="I46">
        <f>IFERROR(XLOOKUP(C46,Investment!$B$2:$B$9,Investment!$C$2:$C$9,0,0),0)</f>
        <v/>
      </c>
      <c r="J46" t="n">
        <v>0</v>
      </c>
      <c r="K46" s="19">
        <f>IF(E46="","",E46+J46)</f>
        <v/>
      </c>
      <c r="L46">
        <f>IF(OR(K46="",G46=""),"",EXP(G46)*(K46^$B$2))</f>
        <v/>
      </c>
      <c r="M46">
        <f>IF(OR(L46="",H46=""),"",L46/H46-1)</f>
        <v/>
      </c>
      <c r="N46">
        <f>IF(OR(F46="",M46=""),"",F46*(1+M46))</f>
        <v/>
      </c>
      <c r="O46">
        <f>IF(OR(N45="",N46=""),"",N46/N45-1)</f>
        <v/>
      </c>
      <c r="P46">
        <f>IFERROR(XLOOKUP(C46,WEO_Data!$B$8:$B$51,WEO_Data!$D$8:$D$51,0,0)/100,"")</f>
        <v/>
      </c>
    </row>
    <row r="47">
      <c r="C47" t="n">
        <v>2013</v>
      </c>
      <c r="D47">
        <f>IF(OR(E47="",F47=""),"",E47/F47)</f>
        <v/>
      </c>
      <c r="E47" s="19">
        <f>XLOOKUP(C47,PWT!$A$2:$A$35,PWT!$C$2:$C$35,"",0)</f>
        <v/>
      </c>
      <c r="F47">
        <f>XLOOKUP(C47,WEO_Data!$B$8:$B$51,WEO_Data!$C$8:$C$51,"",0)</f>
        <v/>
      </c>
      <c r="G47">
        <f>XLOOKUP(C47,$C$6:$C$27,$L$6:$L$27,"",0)</f>
        <v/>
      </c>
      <c r="H47">
        <f>IF(OR(E47="",G47=""),"",EXP(G47)*(E47^$B$2))</f>
        <v/>
      </c>
      <c r="I47">
        <f>IFERROR(XLOOKUP(C47,Investment!$B$2:$B$9,Investment!$C$2:$C$9,0,0),0)</f>
        <v/>
      </c>
      <c r="J47" t="n">
        <v>0</v>
      </c>
      <c r="K47" s="19">
        <f>IF(E47="","",E47+J47)</f>
        <v/>
      </c>
      <c r="L47">
        <f>IF(OR(K47="",G47=""),"",EXP(G47)*(K47^$B$2))</f>
        <v/>
      </c>
      <c r="M47">
        <f>IF(OR(L47="",H47=""),"",L47/H47-1)</f>
        <v/>
      </c>
      <c r="N47">
        <f>IF(OR(F47="",M47=""),"",F47*(1+M47))</f>
        <v/>
      </c>
      <c r="O47">
        <f>IF(OR(N46="",N47=""),"",N47/N46-1)</f>
        <v/>
      </c>
      <c r="P47">
        <f>IFERROR(XLOOKUP(C47,WEO_Data!$B$8:$B$51,WEO_Data!$D$8:$D$51,0,0)/100,"")</f>
        <v/>
      </c>
    </row>
    <row r="48">
      <c r="C48" t="n">
        <v>2014</v>
      </c>
      <c r="D48">
        <f>IF(OR(E48="",F48=""),"",E48/F48)</f>
        <v/>
      </c>
      <c r="E48" s="19">
        <f>XLOOKUP(C48,PWT!$A$2:$A$35,PWT!$C$2:$C$35,"",0)</f>
        <v/>
      </c>
      <c r="F48">
        <f>XLOOKUP(C48,WEO_Data!$B$8:$B$51,WEO_Data!$C$8:$C$51,"",0)</f>
        <v/>
      </c>
      <c r="G48">
        <f>XLOOKUP(C48,$C$6:$C$27,$L$6:$L$27,"",0)</f>
        <v/>
      </c>
      <c r="H48">
        <f>IF(OR(E48="",G48=""),"",EXP(G48)*(E48^$B$2))</f>
        <v/>
      </c>
      <c r="I48">
        <f>IFERROR(XLOOKUP(C48,Investment!$B$2:$B$9,Investment!$C$2:$C$9,0,0),0)</f>
        <v/>
      </c>
      <c r="J48" t="n">
        <v>0</v>
      </c>
      <c r="K48" s="19">
        <f>IF(E48="","",E48+J48)</f>
        <v/>
      </c>
      <c r="L48">
        <f>IF(OR(K48="",G48=""),"",EXP(G48)*(K48^$B$2))</f>
        <v/>
      </c>
      <c r="M48">
        <f>IF(OR(L48="",H48=""),"",L48/H48-1)</f>
        <v/>
      </c>
      <c r="N48">
        <f>IF(OR(F48="",M48=""),"",F48*(1+M48))</f>
        <v/>
      </c>
      <c r="O48">
        <f>IF(OR(N47="",N48=""),"",N48/N47-1)</f>
        <v/>
      </c>
      <c r="P48">
        <f>IFERROR(XLOOKUP(C48,WEO_Data!$B$8:$B$51,WEO_Data!$D$8:$D$51,0,0)/100,"")</f>
        <v/>
      </c>
    </row>
    <row r="49">
      <c r="C49" t="n">
        <v>2015</v>
      </c>
      <c r="D49">
        <f>IF(OR(E49="",F49=""),"",E49/F49)</f>
        <v/>
      </c>
      <c r="E49" s="19">
        <f>XLOOKUP(C49,PWT!$A$2:$A$35,PWT!$C$2:$C$35,"",0)</f>
        <v/>
      </c>
      <c r="F49">
        <f>XLOOKUP(C49,WEO_Data!$B$8:$B$51,WEO_Data!$C$8:$C$51,"",0)</f>
        <v/>
      </c>
      <c r="G49">
        <f>XLOOKUP(C49,$C$6:$C$27,$L$6:$L$27,"",0)</f>
        <v/>
      </c>
      <c r="H49">
        <f>IF(OR(E49="",G49=""),"",EXP(G49)*(E49^$B$2))</f>
        <v/>
      </c>
      <c r="I49">
        <f>IFERROR(XLOOKUP(C49,Investment!$B$2:$B$9,Investment!$C$2:$C$9,0,0),0)</f>
        <v/>
      </c>
      <c r="J49" t="n">
        <v>0</v>
      </c>
      <c r="K49" s="19">
        <f>IF(E49="","",E49+J49)</f>
        <v/>
      </c>
      <c r="L49">
        <f>IF(OR(K49="",G49=""),"",EXP(G49)*(K49^$B$2))</f>
        <v/>
      </c>
      <c r="M49">
        <f>IF(OR(L49="",H49=""),"",L49/H49-1)</f>
        <v/>
      </c>
      <c r="N49">
        <f>IF(OR(F49="",M49=""),"",F49*(1+M49))</f>
        <v/>
      </c>
      <c r="O49">
        <f>IF(OR(N48="",N49=""),"",N49/N48-1)</f>
        <v/>
      </c>
      <c r="P49">
        <f>IFERROR(XLOOKUP(C49,WEO_Data!$B$8:$B$51,WEO_Data!$D$8:$D$51,0,0)/100,"")</f>
        <v/>
      </c>
    </row>
    <row r="50">
      <c r="C50" t="n">
        <v>2016</v>
      </c>
      <c r="D50">
        <f>IF(OR(E50="",F50=""),"",E50/F50)</f>
        <v/>
      </c>
      <c r="E50" s="19">
        <f>XLOOKUP(C50,PWT!$A$2:$A$35,PWT!$C$2:$C$35,"",0)</f>
        <v/>
      </c>
      <c r="F50">
        <f>XLOOKUP(C50,WEO_Data!$B$8:$B$51,WEO_Data!$C$8:$C$51,"",0)</f>
        <v/>
      </c>
      <c r="G50">
        <f>XLOOKUP(C50,$C$6:$C$27,$L$6:$L$27,"",0)</f>
        <v/>
      </c>
      <c r="H50">
        <f>IF(OR(E50="",G50=""),"",EXP(G50)*(E50^$B$2))</f>
        <v/>
      </c>
      <c r="I50">
        <f>IFERROR(XLOOKUP(C50,Investment!$B$2:$B$9,Investment!$C$2:$C$9,0,0),0)</f>
        <v/>
      </c>
      <c r="J50" t="n">
        <v>0</v>
      </c>
      <c r="K50" s="19">
        <f>IF(E50="","",E50+J50)</f>
        <v/>
      </c>
      <c r="L50">
        <f>IF(OR(K50="",G50=""),"",EXP(G50)*(K50^$B$2))</f>
        <v/>
      </c>
      <c r="M50">
        <f>IF(OR(L50="",H50=""),"",L50/H50-1)</f>
        <v/>
      </c>
      <c r="N50">
        <f>IF(OR(F50="",M50=""),"",F50*(1+M50))</f>
        <v/>
      </c>
      <c r="O50">
        <f>IF(OR(N49="",N50=""),"",N50/N49-1)</f>
        <v/>
      </c>
      <c r="P50">
        <f>IFERROR(XLOOKUP(C50,WEO_Data!$B$8:$B$51,WEO_Data!$D$8:$D$51,0,0)/100,"")</f>
        <v/>
      </c>
    </row>
    <row r="51">
      <c r="C51" t="n">
        <v>2017</v>
      </c>
      <c r="D51">
        <f>IF(OR(E51="",F51=""),"",E51/F51)</f>
        <v/>
      </c>
      <c r="E51" s="19">
        <f>XLOOKUP(C51,PWT!$A$2:$A$35,PWT!$C$2:$C$35,"",0)</f>
        <v/>
      </c>
      <c r="F51">
        <f>XLOOKUP(C51,WEO_Data!$B$8:$B$51,WEO_Data!$C$8:$C$51,"",0)</f>
        <v/>
      </c>
      <c r="G51">
        <f>XLOOKUP(C51,$C$6:$C$27,$L$6:$L$27,"",0)</f>
        <v/>
      </c>
      <c r="H51">
        <f>IF(OR(E51="",G51=""),"",EXP(G51)*(E51^$B$2))</f>
        <v/>
      </c>
      <c r="I51">
        <f>IFERROR(XLOOKUP(C51,Investment!$B$2:$B$9,Investment!$C$2:$C$9,0,0),0)</f>
        <v/>
      </c>
      <c r="J51" t="n">
        <v>0</v>
      </c>
      <c r="K51" s="19">
        <f>IF(E51="","",E51+J51)</f>
        <v/>
      </c>
      <c r="L51">
        <f>IF(OR(K51="",G51=""),"",EXP(G51)*(K51^$B$2))</f>
        <v/>
      </c>
      <c r="M51">
        <f>IF(OR(L51="",H51=""),"",L51/H51-1)</f>
        <v/>
      </c>
      <c r="N51">
        <f>IF(OR(F51="",M51=""),"",F51*(1+M51))</f>
        <v/>
      </c>
      <c r="O51">
        <f>IF(OR(N50="",N51=""),"",N51/N50-1)</f>
        <v/>
      </c>
      <c r="P51">
        <f>IFERROR(XLOOKUP(C51,WEO_Data!$B$8:$B$51,WEO_Data!$D$8:$D$51,0,0)/100,"")</f>
        <v/>
      </c>
    </row>
    <row r="52">
      <c r="C52" t="n">
        <v>2018</v>
      </c>
      <c r="D52">
        <f>IF(OR(E52="",F52=""),"",E52/F52)</f>
        <v/>
      </c>
      <c r="E52" s="19">
        <f>XLOOKUP(C52,PWT!$A$2:$A$35,PWT!$C$2:$C$35,"",0)</f>
        <v/>
      </c>
      <c r="F52">
        <f>XLOOKUP(C52,WEO_Data!$B$8:$B$51,WEO_Data!$C$8:$C$51,"",0)</f>
        <v/>
      </c>
      <c r="G52">
        <f>XLOOKUP(C52,$C$6:$C$27,$L$6:$L$27,"",0)</f>
        <v/>
      </c>
      <c r="H52">
        <f>IF(OR(E52="",G52=""),"",EXP(G52)*(E52^$B$2))</f>
        <v/>
      </c>
      <c r="I52">
        <f>IFERROR(XLOOKUP(C52,Investment!$B$2:$B$9,Investment!$C$2:$C$9,0,0),0)</f>
        <v/>
      </c>
      <c r="J52" t="n">
        <v>0</v>
      </c>
      <c r="K52" s="19">
        <f>IF(E52="","",E52+J52)</f>
        <v/>
      </c>
      <c r="L52">
        <f>IF(OR(K52="",G52=""),"",EXP(G52)*(K52^$B$2))</f>
        <v/>
      </c>
      <c r="M52">
        <f>IF(OR(L52="",H52=""),"",L52/H52-1)</f>
        <v/>
      </c>
      <c r="N52">
        <f>IF(OR(F52="",M52=""),"",F52*(1+M52))</f>
        <v/>
      </c>
      <c r="O52">
        <f>IF(OR(N51="",N52=""),"",N52/N51-1)</f>
        <v/>
      </c>
      <c r="P52">
        <f>IFERROR(XLOOKUP(C52,WEO_Data!$B$8:$B$51,WEO_Data!$D$8:$D$51,0,0)/100,"")</f>
        <v/>
      </c>
    </row>
    <row r="53">
      <c r="C53" t="n">
        <v>2019</v>
      </c>
      <c r="D53">
        <f>IF(OR(E53="",F53=""),"",E53/F53)</f>
        <v/>
      </c>
      <c r="E53" s="19">
        <f>XLOOKUP(C53,PWT!$A$2:$A$35,PWT!$C$2:$C$35,"",0)</f>
        <v/>
      </c>
      <c r="F53">
        <f>XLOOKUP(C53,WEO_Data!$B$8:$B$51,WEO_Data!$C$8:$C$51,"",0)</f>
        <v/>
      </c>
      <c r="G53">
        <f>XLOOKUP(C53,$C$6:$C$27,$L$6:$L$27,"",0)</f>
        <v/>
      </c>
      <c r="H53">
        <f>IF(OR(E53="",G53=""),"",EXP(G53)*(E53^$B$2))</f>
        <v/>
      </c>
      <c r="I53">
        <f>IFERROR(XLOOKUP(C53,Investment!$B$2:$B$9,Investment!$C$2:$C$9,0,0),0)</f>
        <v/>
      </c>
      <c r="J53" t="n">
        <v>0</v>
      </c>
      <c r="K53" s="19">
        <f>IF(E53="","",E53+J53)</f>
        <v/>
      </c>
      <c r="L53">
        <f>IF(OR(K53="",G53=""),"",EXP(G53)*(K53^$B$2))</f>
        <v/>
      </c>
      <c r="M53">
        <f>IF(OR(L53="",H53=""),"",L53/H53-1)</f>
        <v/>
      </c>
      <c r="N53">
        <f>IF(OR(F53="",M53=""),"",F53*(1+M53))</f>
        <v/>
      </c>
      <c r="O53">
        <f>IF(OR(N52="",N53=""),"",N53/N52-1)</f>
        <v/>
      </c>
      <c r="P53">
        <f>IFERROR(XLOOKUP(C53,WEO_Data!$B$8:$B$51,WEO_Data!$D$8:$D$51,0,0)/100,"")</f>
        <v/>
      </c>
    </row>
    <row r="54">
      <c r="C54" t="n">
        <v>2020</v>
      </c>
      <c r="D54">
        <f>$D$34</f>
        <v/>
      </c>
      <c r="E54" s="19">
        <f>$D$34*F54</f>
        <v/>
      </c>
      <c r="F54">
        <f>XLOOKUP(C54,WEO_Data!$B$8:$B$51,WEO_Data!$C$8:$C$51,"",0)</f>
        <v/>
      </c>
      <c r="G54">
        <f>XLOOKUP(C54,$C$6:$C$27,$L$6:$L$27,"",0)</f>
        <v/>
      </c>
      <c r="H54">
        <f>IF(OR(E54="",G54=""),"",EXP(G54)*(E54^$B$2))</f>
        <v/>
      </c>
      <c r="I54">
        <f>IFERROR(XLOOKUP(C54,Investment!$B$2:$B$9,Investment!$C$2:$C$9,0,0),0)</f>
        <v/>
      </c>
      <c r="J54" t="n">
        <v>0</v>
      </c>
      <c r="K54" s="19">
        <f>IF(E54="","",E54+J54)</f>
        <v/>
      </c>
      <c r="L54">
        <f>IF(OR(K54="",G54=""),"",EXP(G54)*(K54^$B$2))</f>
        <v/>
      </c>
      <c r="M54">
        <f>IF(OR(L54="",H54=""),"",L54/H54-1)</f>
        <v/>
      </c>
      <c r="N54">
        <f>IF(OR(F54="",M54=""),"",F54*(1+M54))</f>
        <v/>
      </c>
      <c r="O54">
        <f>IF(OR(N53="",N54=""),"",N54/N53-1)</f>
        <v/>
      </c>
      <c r="P54">
        <f>IFERROR(XLOOKUP(C54,WEO_Data!$B$8:$B$51,WEO_Data!$D$8:$D$51,0,0)/100,"")</f>
        <v/>
      </c>
    </row>
    <row r="55">
      <c r="C55" t="n">
        <v>2021</v>
      </c>
      <c r="D55">
        <f>$D$34</f>
        <v/>
      </c>
      <c r="E55" s="19">
        <f>$D$34*F55</f>
        <v/>
      </c>
      <c r="F55">
        <f>XLOOKUP(C55,WEO_Data!$B$8:$B$51,WEO_Data!$C$8:$C$51,"",0)</f>
        <v/>
      </c>
      <c r="G55">
        <f>XLOOKUP(C55,$C$6:$C$27,$L$6:$L$27,"",0)</f>
        <v/>
      </c>
      <c r="H55">
        <f>IF(OR(E55="",G55=""),"",EXP(G55)*(E55^$B$2))</f>
        <v/>
      </c>
      <c r="I55">
        <f>IFERROR(XLOOKUP(C55,Investment!$B$2:$B$9,Investment!$C$2:$C$9,0,0),0)</f>
        <v/>
      </c>
      <c r="J55" t="n">
        <v>0</v>
      </c>
      <c r="K55" s="19">
        <f>IF(E55="","",E55+J55)</f>
        <v/>
      </c>
      <c r="L55">
        <f>IF(OR(K55="",G55=""),"",EXP(G55)*(K55^$B$2))</f>
        <v/>
      </c>
      <c r="M55">
        <f>IF(OR(L55="",H55=""),"",L55/H55-1)</f>
        <v/>
      </c>
      <c r="N55">
        <f>IF(OR(F55="",M55=""),"",F55*(1+M55))</f>
        <v/>
      </c>
      <c r="O55">
        <f>IF(OR(N54="",N55=""),"",N55/N54-1)</f>
        <v/>
      </c>
      <c r="P55">
        <f>IFERROR(XLOOKUP(C55,WEO_Data!$B$8:$B$51,WEO_Data!$D$8:$D$51,0,0)/100,"")</f>
        <v/>
      </c>
    </row>
    <row r="56">
      <c r="C56" t="n">
        <v>2022</v>
      </c>
      <c r="D56">
        <f>$D$34</f>
        <v/>
      </c>
      <c r="E56" s="19">
        <f>$D$34*F56</f>
        <v/>
      </c>
      <c r="F56">
        <f>XLOOKUP(C56,WEO_Data!$B$8:$B$51,WEO_Data!$C$8:$C$51,"",0)</f>
        <v/>
      </c>
      <c r="G56">
        <f>XLOOKUP(C56,$C$6:$C$27,$L$6:$L$27,"",0)</f>
        <v/>
      </c>
      <c r="H56">
        <f>IF(OR(E56="",G56=""),"",EXP(G56)*(E56^$B$2))</f>
        <v/>
      </c>
      <c r="I56">
        <f>IFERROR(XLOOKUP(C56,Investment!$B$2:$B$9,Investment!$C$2:$C$9,0,0),0)</f>
        <v/>
      </c>
      <c r="J56" t="n">
        <v>0</v>
      </c>
      <c r="K56" s="19">
        <f>IF(E56="","",E56+J56)</f>
        <v/>
      </c>
      <c r="L56">
        <f>IF(OR(K56="",G56=""),"",EXP(G56)*(K56^$B$2))</f>
        <v/>
      </c>
      <c r="M56">
        <f>IF(OR(L56="",H56=""),"",L56/H56-1)</f>
        <v/>
      </c>
      <c r="N56">
        <f>IF(OR(F56="",M56=""),"",F56*(1+M56))</f>
        <v/>
      </c>
      <c r="O56">
        <f>IF(OR(N55="",N56=""),"",N56/N55-1)</f>
        <v/>
      </c>
      <c r="P56">
        <f>IFERROR(XLOOKUP(C56,WEO_Data!$B$8:$B$51,WEO_Data!$D$8:$D$51,0,0)/100,"")</f>
        <v/>
      </c>
    </row>
    <row r="57">
      <c r="C57" t="n">
        <v>2023</v>
      </c>
      <c r="D57">
        <f>$D$34</f>
        <v/>
      </c>
      <c r="E57" s="19">
        <f>$D$34*F57</f>
        <v/>
      </c>
      <c r="F57">
        <f>XLOOKUP(C57,WEO_Data!$B$8:$B$51,WEO_Data!$C$8:$C$51,"",0)</f>
        <v/>
      </c>
      <c r="G57">
        <f>XLOOKUP(C57,$C$6:$C$27,$L$6:$L$27,"",0)</f>
        <v/>
      </c>
      <c r="H57">
        <f>IF(OR(E57="",G57=""),"",EXP(G57)*(E57^$B$2))</f>
        <v/>
      </c>
      <c r="I57">
        <f>IFERROR(XLOOKUP(C57,Investment!$B$2:$B$9,Investment!$C$2:$C$9,0,0),0)</f>
        <v/>
      </c>
      <c r="J57" t="n">
        <v>0</v>
      </c>
      <c r="K57" s="19">
        <f>IF(E57="","",E57+J57)</f>
        <v/>
      </c>
      <c r="L57">
        <f>IF(OR(K57="",G57=""),"",EXP(G57)*(K57^$B$2))</f>
        <v/>
      </c>
      <c r="M57">
        <f>IF(OR(L57="",H57=""),"",L57/H57-1)</f>
        <v/>
      </c>
      <c r="N57">
        <f>IF(OR(F57="",M57=""),"",F57*(1+M57))</f>
        <v/>
      </c>
      <c r="O57">
        <f>IF(OR(N56="",N57=""),"",N57/N56-1)</f>
        <v/>
      </c>
      <c r="P57">
        <f>IFERROR(XLOOKUP(C57,WEO_Data!$B$8:$B$51,WEO_Data!$D$8:$D$51,0,0)/100,"")</f>
        <v/>
      </c>
    </row>
    <row r="58">
      <c r="C58" t="n">
        <v>2024</v>
      </c>
      <c r="D58">
        <f>$D$34</f>
        <v/>
      </c>
      <c r="E58" s="21">
        <f>$D$34*F58</f>
        <v/>
      </c>
      <c r="F58">
        <f>XLOOKUP(C58,WEO_Data!$B$8:$B$51,WEO_Data!$C$8:$C$51,"",0)</f>
        <v/>
      </c>
      <c r="G58" s="20">
        <f>TREND($G$36:$G$57,$C$36:$C$57,C58)</f>
        <v/>
      </c>
      <c r="H58">
        <f>IF(OR(E58="",G58=""),"",EXP(G58)*(E58^$B$2))</f>
        <v/>
      </c>
      <c r="I58">
        <f>IFERROR(XLOOKUP(C58,Investment!$B$2:$B$9,Investment!$C$2:$C$9,0,0),0)</f>
        <v/>
      </c>
      <c r="J58" t="n">
        <v>0</v>
      </c>
      <c r="K58" s="19">
        <f>IF(E58="","",E58+J58)</f>
        <v/>
      </c>
      <c r="L58">
        <f>IF(OR(K58="",G58=""),"",EXP(G58)*(K58^$B$2))</f>
        <v/>
      </c>
      <c r="M58">
        <f>IF(OR(L58="",H58=""),"",L58/H58-1)</f>
        <v/>
      </c>
      <c r="N58">
        <f>IF(OR(F58="",M58=""),"",F58*(1+M58))</f>
        <v/>
      </c>
      <c r="O58">
        <f>IF(OR(N57="",N58=""),"",N58/N57-1)</f>
        <v/>
      </c>
      <c r="P58">
        <f>IFERROR(XLOOKUP(C58,WEO_Data!$B$8:$B$51,WEO_Data!$D$8:$D$51,0,0)/100,"")</f>
        <v/>
      </c>
    </row>
    <row r="59">
      <c r="C59" t="n">
        <v>2025</v>
      </c>
      <c r="D59">
        <f>$D$34</f>
        <v/>
      </c>
      <c r="E59" s="21">
        <f>$D$34*F59</f>
        <v/>
      </c>
      <c r="F59">
        <f>XLOOKUP(C59,WEO_Data!$B$8:$B$51,WEO_Data!$C$8:$C$51,"",0)</f>
        <v/>
      </c>
      <c r="G59" s="20">
        <f>TREND($G$36:$G$57,$C$36:$C$57,C59)</f>
        <v/>
      </c>
      <c r="H59">
        <f>IF(OR(E59="",G59=""),"",EXP(G59)*(E59^$B$2))</f>
        <v/>
      </c>
      <c r="I59">
        <f>IFERROR(XLOOKUP(C59,Investment!$B$2:$B$9,Investment!$C$2:$C$9,0,0),0)</f>
        <v/>
      </c>
      <c r="J59" t="n">
        <v>0</v>
      </c>
      <c r="K59" s="19">
        <f>IF(E59="","",E59+J59)</f>
        <v/>
      </c>
      <c r="L59">
        <f>IF(OR(K59="",G59=""),"",EXP(G59)*(K59^$B$2))</f>
        <v/>
      </c>
      <c r="M59">
        <f>IF(OR(L59="",H59=""),"",L59/H59-1)</f>
        <v/>
      </c>
      <c r="N59">
        <f>IF(OR(F59="",M59=""),"",F59*(1+M59))</f>
        <v/>
      </c>
      <c r="O59">
        <f>IF(OR(N58="",N59=""),"",N59/N58-1)</f>
        <v/>
      </c>
      <c r="P59">
        <f>IFERROR(XLOOKUP(C59,WEO_Data!$B$8:$B$51,WEO_Data!$D$8:$D$51,0,0)/100,"")</f>
        <v/>
      </c>
    </row>
    <row r="60">
      <c r="C60" t="n">
        <v>2026</v>
      </c>
      <c r="D60">
        <f>$D$34</f>
        <v/>
      </c>
      <c r="E60" s="21">
        <f>$D$34*F60</f>
        <v/>
      </c>
      <c r="F60" s="20">
        <f>XLOOKUP(C60,WEO_Data!$B$8:$B$51,WEO_Data!$C$8:$C$51,"",0)</f>
        <v/>
      </c>
      <c r="G60" s="20">
        <f>TREND($G$36:$G$57,$C$36:$C$57,C60)</f>
        <v/>
      </c>
      <c r="H60">
        <f>IF(OR(E60="",G60=""),"",EXP(G60)*(E60^$B$2))</f>
        <v/>
      </c>
      <c r="I60" s="17">
        <f>IFERROR(XLOOKUP(C60,Investment!$B$2:$B$9,Investment!$C$2:$C$9,0,0),0)</f>
        <v/>
      </c>
      <c r="J60">
        <f>(1-$B$3)*J59+I60</f>
        <v/>
      </c>
      <c r="K60" s="19">
        <f>IF(E60="","",E60+J60)</f>
        <v/>
      </c>
      <c r="L60">
        <f>IF(OR(K60="",G60=""),"",EXP(G60)*(K60^$B$2))</f>
        <v/>
      </c>
      <c r="M60">
        <f>IF(OR(L60="",H60=""),"",L60/H60-1)</f>
        <v/>
      </c>
      <c r="N60">
        <f>IF(OR(F60="",M60=""),"",F60*(1+M60))</f>
        <v/>
      </c>
      <c r="O60">
        <f>IF(OR(N59="",N60=""),"",N60/N59-1)</f>
        <v/>
      </c>
      <c r="P60">
        <f>IFERROR(XLOOKUP(C60,WEO_Data!$B$8:$B$51,WEO_Data!$D$8:$D$51,0,0)/100,"")</f>
        <v/>
      </c>
    </row>
    <row r="61">
      <c r="C61" t="n">
        <v>2027</v>
      </c>
      <c r="D61">
        <f>$D$34</f>
        <v/>
      </c>
      <c r="E61" s="21">
        <f>$D$34*F61</f>
        <v/>
      </c>
      <c r="F61" s="20">
        <f>XLOOKUP(C61,WEO_Data!$B$8:$B$51,WEO_Data!$C$8:$C$51,"",0)</f>
        <v/>
      </c>
      <c r="G61" s="20">
        <f>TREND($G$36:$G$57,$C$36:$C$57,C61)</f>
        <v/>
      </c>
      <c r="H61">
        <f>IF(OR(E61="",G61=""),"",EXP(G61)*(E61^$B$2))</f>
        <v/>
      </c>
      <c r="I61" s="17">
        <f>IFERROR(XLOOKUP(C61,Investment!$B$2:$B$9,Investment!$C$2:$C$9,0,0),0)</f>
        <v/>
      </c>
      <c r="J61">
        <f>(1-$B$3)*J60+I61</f>
        <v/>
      </c>
      <c r="K61" s="19">
        <f>IF(E61="","",E61+J61)</f>
        <v/>
      </c>
      <c r="L61">
        <f>IF(OR(K61="",G61=""),"",EXP(G61)*(K61^$B$2))</f>
        <v/>
      </c>
      <c r="M61">
        <f>IF(OR(L61="",H61=""),"",L61/H61-1)</f>
        <v/>
      </c>
      <c r="N61">
        <f>IF(OR(F61="",M61=""),"",F61*(1+M61))</f>
        <v/>
      </c>
      <c r="O61">
        <f>IF(OR(N60="",N61=""),"",N61/N60-1)</f>
        <v/>
      </c>
      <c r="P61">
        <f>IFERROR(XLOOKUP(C61,WEO_Data!$B$8:$B$51,WEO_Data!$D$8:$D$51,0,0)/100,"")</f>
        <v/>
      </c>
    </row>
    <row r="62">
      <c r="C62" t="n">
        <v>2028</v>
      </c>
      <c r="D62">
        <f>$D$34</f>
        <v/>
      </c>
      <c r="E62" s="21">
        <f>$D$34*F62</f>
        <v/>
      </c>
      <c r="F62" s="20">
        <f>XLOOKUP(C62,WEO_Data!$B$8:$B$51,WEO_Data!$C$8:$C$51,"",0)</f>
        <v/>
      </c>
      <c r="G62" s="20">
        <f>TREND($G$36:$G$57,$C$36:$C$57,C62)</f>
        <v/>
      </c>
      <c r="H62">
        <f>IF(OR(E62="",G62=""),"",EXP(G62)*(E62^$B$2))</f>
        <v/>
      </c>
      <c r="I62" s="17">
        <f>IFERROR(XLOOKUP(C62,Investment!$B$2:$B$9,Investment!$C$2:$C$9,0,0),0)</f>
        <v/>
      </c>
      <c r="J62">
        <f>(1-$B$3)*J61+I62</f>
        <v/>
      </c>
      <c r="K62" s="19">
        <f>IF(E62="","",E62+J62)</f>
        <v/>
      </c>
      <c r="L62">
        <f>IF(OR(K62="",G62=""),"",EXP(G62)*(K62^$B$2))</f>
        <v/>
      </c>
      <c r="M62">
        <f>IF(OR(L62="",H62=""),"",L62/H62-1)</f>
        <v/>
      </c>
      <c r="N62">
        <f>IF(OR(F62="",M62=""),"",F62*(1+M62))</f>
        <v/>
      </c>
      <c r="O62">
        <f>IF(OR(N61="",N62=""),"",N62/N61-1)</f>
        <v/>
      </c>
      <c r="P62">
        <f>IFERROR(XLOOKUP(C62,WEO_Data!$B$8:$B$51,WEO_Data!$D$8:$D$51,0,0)/100,"")</f>
        <v/>
      </c>
    </row>
    <row r="63">
      <c r="C63" t="n">
        <v>2029</v>
      </c>
      <c r="D63">
        <f>$D$34</f>
        <v/>
      </c>
      <c r="E63" s="21">
        <f>$D$34*F63</f>
        <v/>
      </c>
      <c r="F63" s="20">
        <f>XLOOKUP(C63,WEO_Data!$B$8:$B$51,WEO_Data!$C$8:$C$51,"",0)</f>
        <v/>
      </c>
      <c r="G63" s="20">
        <f>TREND($G$36:$G$57,$C$36:$C$57,C63)</f>
        <v/>
      </c>
      <c r="H63">
        <f>IF(OR(E63="",G63=""),"",EXP(G63)*(E63^$B$2))</f>
        <v/>
      </c>
      <c r="I63" s="17">
        <f>IFERROR(XLOOKUP(C63,Investment!$B$2:$B$9,Investment!$C$2:$C$9,0,0),0)</f>
        <v/>
      </c>
      <c r="J63">
        <f>(1-$B$3)*J62+I63</f>
        <v/>
      </c>
      <c r="K63" s="19">
        <f>IF(E63="","",E63+J63)</f>
        <v/>
      </c>
      <c r="L63">
        <f>IF(OR(K63="",G63=""),"",EXP(G63)*(K63^$B$2))</f>
        <v/>
      </c>
      <c r="M63">
        <f>IF(OR(L63="",H63=""),"",L63/H63-1)</f>
        <v/>
      </c>
      <c r="N63">
        <f>IF(OR(F63="",M63=""),"",F63*(1+M63))</f>
        <v/>
      </c>
      <c r="O63">
        <f>IF(OR(N62="",N63=""),"",N63/N62-1)</f>
        <v/>
      </c>
      <c r="P63">
        <f>IFERROR(XLOOKUP(C63,WEO_Data!$B$8:$B$51,WEO_Data!$D$8:$D$51,0,0)/100,"")</f>
        <v/>
      </c>
    </row>
    <row r="64">
      <c r="C64" t="n">
        <v>2030</v>
      </c>
      <c r="D64">
        <f>$D$34</f>
        <v/>
      </c>
      <c r="E64" s="21">
        <f>$D$34*F64</f>
        <v/>
      </c>
      <c r="F64" s="20">
        <f>XLOOKUP(C64,WEO_Data!$B$8:$B$51,WEO_Data!$C$8:$C$51,"",0)</f>
        <v/>
      </c>
      <c r="G64" s="20">
        <f>TREND($G$36:$G$57,$C$36:$C$57,C64)</f>
        <v/>
      </c>
      <c r="H64">
        <f>IF(OR(E64="",G64=""),"",EXP(G64)*(E64^$B$2))</f>
        <v/>
      </c>
      <c r="I64" s="17">
        <f>IFERROR(XLOOKUP(C64,Investment!$B$2:$B$9,Investment!$C$2:$C$9,0,0),0)</f>
        <v/>
      </c>
      <c r="J64">
        <f>(1-$B$3)*J63+I64</f>
        <v/>
      </c>
      <c r="K64" s="19">
        <f>IF(E64="","",E64+J64)</f>
        <v/>
      </c>
      <c r="L64">
        <f>IF(OR(K64="",G64=""),"",EXP(G64)*(K64^$B$2))</f>
        <v/>
      </c>
      <c r="M64">
        <f>IF(OR(L64="",H64=""),"",L64/H64-1)</f>
        <v/>
      </c>
      <c r="N64">
        <f>IF(OR(F64="",M64=""),"",F64*(1+M64))</f>
        <v/>
      </c>
      <c r="O64">
        <f>IF(OR(N63="",N64=""),"",N64/N63-1)</f>
        <v/>
      </c>
      <c r="P64">
        <f>IFERROR(XLOOKUP(C64,WEO_Data!$B$8:$B$51,WEO_Data!$D$8:$D$51,0,0)/100,"")</f>
        <v/>
      </c>
    </row>
    <row r="65">
      <c r="C65" t="n">
        <v>2031</v>
      </c>
      <c r="D65">
        <f>$D$34</f>
        <v/>
      </c>
      <c r="E65" s="21">
        <f>$D$34*F65</f>
        <v/>
      </c>
      <c r="F65" s="20">
        <f>XLOOKUP(C65,WEO_Data!$B$8:$B$51,WEO_Data!$C$8:$C$51,"",0)</f>
        <v/>
      </c>
      <c r="G65" s="20">
        <f>TREND($G$36:$G$57,$C$36:$C$57,C65)</f>
        <v/>
      </c>
      <c r="H65">
        <f>IF(OR(E65="",G65=""),"",EXP(G65)*(E65^$B$2))</f>
        <v/>
      </c>
      <c r="I65" s="17">
        <f>IFERROR(XLOOKUP(C65,Investment!$B$2:$B$9,Investment!$C$2:$C$9,0,0),0)</f>
        <v/>
      </c>
      <c r="J65">
        <f>(1-$B$3)*J64+I65</f>
        <v/>
      </c>
      <c r="K65" s="19">
        <f>IF(E65="","",E65+J65)</f>
        <v/>
      </c>
      <c r="L65">
        <f>IF(OR(K65="",G65=""),"",EXP(G65)*(K65^$B$2))</f>
        <v/>
      </c>
      <c r="M65">
        <f>IF(OR(L65="",H65=""),"",L65/H65-1)</f>
        <v/>
      </c>
      <c r="N65">
        <f>IF(OR(F65="",M65=""),"",F65*(1+M65))</f>
        <v/>
      </c>
      <c r="O65">
        <f>IF(OR(N64="",N65=""),"",N65/N64-1)</f>
        <v/>
      </c>
      <c r="P65">
        <f>IFERROR(XLOOKUP(C65,WEO_Data!$B$8:$B$51,WEO_Data!$D$8:$D$51,0,0)/100,"")</f>
        <v/>
      </c>
    </row>
    <row r="66">
      <c r="C66" t="n">
        <v>2032</v>
      </c>
      <c r="D66">
        <f>$D$34</f>
        <v/>
      </c>
      <c r="E66" s="21">
        <f>$D$34*F66</f>
        <v/>
      </c>
      <c r="F66" s="20">
        <f>XLOOKUP(C66,WEO_Data!$B$8:$B$51,WEO_Data!$C$8:$C$51,"",0)</f>
        <v/>
      </c>
      <c r="G66" s="20">
        <f>TREND($G$36:$G$57,$C$36:$C$57,C66)</f>
        <v/>
      </c>
      <c r="H66">
        <f>IF(OR(E66="",G66=""),"",EXP(G66)*(E66^$B$2))</f>
        <v/>
      </c>
      <c r="I66" s="17">
        <f>IFERROR(XLOOKUP(C66,Investment!$B$2:$B$9,Investment!$C$2:$C$9,0,0),0)</f>
        <v/>
      </c>
      <c r="J66">
        <f>(1-$B$3)*J65+I66</f>
        <v/>
      </c>
      <c r="K66" s="19">
        <f>IF(E66="","",E66+J66)</f>
        <v/>
      </c>
      <c r="L66">
        <f>IF(OR(K66="",G66=""),"",EXP(G66)*(K66^$B$2))</f>
        <v/>
      </c>
      <c r="M66">
        <f>IF(OR(L66="",H66=""),"",L66/H66-1)</f>
        <v/>
      </c>
      <c r="N66">
        <f>IF(OR(F66="",M66=""),"",F66*(1+M66))</f>
        <v/>
      </c>
      <c r="O66">
        <f>IF(OR(N65="",N66=""),"",N66/N65-1)</f>
        <v/>
      </c>
      <c r="P66">
        <f>IFERROR(XLOOKUP(C66,WEO_Data!$B$8:$B$51,WEO_Data!$D$8:$D$51,0,0)/100,"")</f>
        <v/>
      </c>
    </row>
    <row r="67">
      <c r="C67" t="n">
        <v>2033</v>
      </c>
      <c r="D67">
        <f>$D$34</f>
        <v/>
      </c>
      <c r="E67" s="21">
        <f>$D$34*F67</f>
        <v/>
      </c>
      <c r="F67" s="20">
        <f>XLOOKUP(C67,WEO_Data!$B$8:$B$51,WEO_Data!$C$8:$C$51,"",0)</f>
        <v/>
      </c>
      <c r="G67" s="20">
        <f>TREND($G$36:$G$57,$C$36:$C$57,C67)</f>
        <v/>
      </c>
      <c r="H67">
        <f>IF(OR(E67="",G67=""),"",EXP(G67)*(E67^$B$2))</f>
        <v/>
      </c>
      <c r="I67" s="17">
        <f>IFERROR(XLOOKUP(C67,Investment!$B$2:$B$9,Investment!$C$2:$C$9,0,0),0)</f>
        <v/>
      </c>
      <c r="J67">
        <f>(1-$B$3)*J66+I67</f>
        <v/>
      </c>
      <c r="K67" s="19">
        <f>IF(E67="","",E67+J67)</f>
        <v/>
      </c>
      <c r="L67">
        <f>IF(OR(K67="",G67=""),"",EXP(G67)*(K67^$B$2))</f>
        <v/>
      </c>
      <c r="M67">
        <f>IF(OR(L67="",H67=""),"",L67/H67-1)</f>
        <v/>
      </c>
      <c r="N67">
        <f>IF(OR(F67="",M67=""),"",F67*(1+M67))</f>
        <v/>
      </c>
      <c r="O67">
        <f>IF(OR(N66="",N67=""),"",N67/N66-1)</f>
        <v/>
      </c>
      <c r="P67">
        <f>IFERROR(XLOOKUP(C67,WEO_Data!$B$8:$B$51,WEO_Data!$D$8:$D$51,0,0)/100,"")</f>
        <v/>
      </c>
    </row>
    <row r="68">
      <c r="C68" t="n">
        <v>2034</v>
      </c>
      <c r="D68">
        <f>$D$34</f>
        <v/>
      </c>
      <c r="E68" s="21">
        <f>$D$34*F68</f>
        <v/>
      </c>
      <c r="F68" s="20">
        <f>XLOOKUP(C68,WEO_Data!$B$8:$B$51,WEO_Data!$C$8:$C$51,"",0)</f>
        <v/>
      </c>
      <c r="G68" s="20">
        <f>TREND($G$36:$G$57,$C$36:$C$57,C68)</f>
        <v/>
      </c>
      <c r="H68">
        <f>IF(OR(E68="",G68=""),"",EXP(G68)*(E68^$B$2))</f>
        <v/>
      </c>
      <c r="I68">
        <f>IFERROR(XLOOKUP(C68,Investment!$B$2:$B$9,Investment!$C$2:$C$9,0,0),0)</f>
        <v/>
      </c>
      <c r="J68">
        <f>(1-$B$3)*J67+I68</f>
        <v/>
      </c>
      <c r="K68" s="19">
        <f>IF(E68="","",E68+J68)</f>
        <v/>
      </c>
      <c r="L68">
        <f>IF(OR(K68="",G68=""),"",EXP(G68)*(K68^$B$2))</f>
        <v/>
      </c>
      <c r="M68">
        <f>IF(OR(L68="",H68=""),"",L68/H68-1)</f>
        <v/>
      </c>
      <c r="N68">
        <f>IF(OR(F68="",M68=""),"",F68*(1+M68))</f>
        <v/>
      </c>
      <c r="O68">
        <f>IF(OR(N67="",N68=""),"",N68/N67-1)</f>
        <v/>
      </c>
      <c r="P68">
        <f>IFERROR(XLOOKUP(C68,WEO_Data!$B$8:$B$51,WEO_Data!$D$8:$D$51,0,0)/100,"")</f>
        <v/>
      </c>
    </row>
    <row r="69">
      <c r="C69" t="n">
        <v>2035</v>
      </c>
      <c r="D69">
        <f>$D$34</f>
        <v/>
      </c>
      <c r="E69" s="21">
        <f>$D$34*F69</f>
        <v/>
      </c>
      <c r="F69" s="20">
        <f>XLOOKUP(C69,WEO_Data!$B$8:$B$51,WEO_Data!$C$8:$C$51,"",0)</f>
        <v/>
      </c>
      <c r="G69" s="20">
        <f>TREND($G$36:$G$57,$C$36:$C$57,C69)</f>
        <v/>
      </c>
      <c r="H69">
        <f>IF(OR(E69="",G69=""),"",EXP(G69)*(E69^$B$2))</f>
        <v/>
      </c>
      <c r="I69">
        <f>IFERROR(XLOOKUP(C69,Investment!$B$2:$B$9,Investment!$C$2:$C$9,0,0),0)</f>
        <v/>
      </c>
      <c r="J69">
        <f>(1-$B$3)*J68+I69</f>
        <v/>
      </c>
      <c r="K69" s="19">
        <f>IF(E69="","",E69+J69)</f>
        <v/>
      </c>
      <c r="L69">
        <f>IF(OR(K69="",G69=""),"",EXP(G69)*(K69^$B$2))</f>
        <v/>
      </c>
      <c r="M69">
        <f>IF(OR(L69="",H69=""),"",L69/H69-1)</f>
        <v/>
      </c>
      <c r="N69">
        <f>IF(OR(F69="",M69=""),"",F69*(1+M69))</f>
        <v/>
      </c>
      <c r="O69">
        <f>IF(OR(N68="",N69=""),"",N69/N68-1)</f>
        <v/>
      </c>
      <c r="P69">
        <f>IFERROR(XLOOKUP(C69,WEO_Data!$B$8:$B$51,WEO_Data!$D$8:$D$51,0,0)/100,"")</f>
        <v/>
      </c>
    </row>
    <row r="70">
      <c r="C70" t="n">
        <v>2036</v>
      </c>
      <c r="D70">
        <f>$D$34</f>
        <v/>
      </c>
      <c r="E70" s="21">
        <f>$D$34*F70</f>
        <v/>
      </c>
      <c r="F70" s="20">
        <f>XLOOKUP(C70,WEO_Data!$B$8:$B$51,WEO_Data!$C$8:$C$51,"",0)</f>
        <v/>
      </c>
      <c r="G70" s="20">
        <f>TREND($G$36:$G$57,$C$36:$C$57,C70)</f>
        <v/>
      </c>
      <c r="H70">
        <f>IF(OR(E70="",G70=""),"",EXP(G70)*(E70^$B$2))</f>
        <v/>
      </c>
      <c r="I70">
        <f>IFERROR(XLOOKUP(C70,Investment!$B$2:$B$9,Investment!$C$2:$C$9,0,0),0)</f>
        <v/>
      </c>
      <c r="J70">
        <f>(1-$B$3)*J69+I70</f>
        <v/>
      </c>
      <c r="K70" s="19">
        <f>IF(E70="","",E70+J70)</f>
        <v/>
      </c>
      <c r="L70">
        <f>IF(OR(K70="",G70=""),"",EXP(G70)*(K70^$B$2))</f>
        <v/>
      </c>
      <c r="M70">
        <f>IF(OR(L70="",H70=""),"",L70/H70-1)</f>
        <v/>
      </c>
      <c r="N70">
        <f>IF(OR(F70="",M70=""),"",F70*(1+M70))</f>
        <v/>
      </c>
      <c r="O70">
        <f>IF(OR(N69="",N70=""),"",N70/N69-1)</f>
        <v/>
      </c>
      <c r="P70">
        <f>IFERROR(XLOOKUP(C70,WEO_Data!$B$8:$B$51,WEO_Data!$D$8:$D$51,0,0)/100,"")</f>
        <v/>
      </c>
    </row>
    <row r="71">
      <c r="C71" t="n">
        <v>2037</v>
      </c>
      <c r="D71">
        <f>$D$34</f>
        <v/>
      </c>
      <c r="E71" s="21">
        <f>$D$34*F71</f>
        <v/>
      </c>
      <c r="F71" s="20">
        <f>XLOOKUP(C71,WEO_Data!$B$8:$B$51,WEO_Data!$C$8:$C$51,"",0)</f>
        <v/>
      </c>
      <c r="G71" s="20">
        <f>TREND($G$36:$G$57,$C$36:$C$57,C71)</f>
        <v/>
      </c>
      <c r="H71">
        <f>IF(OR(E71="",G71=""),"",EXP(G71)*(E71^$B$2))</f>
        <v/>
      </c>
      <c r="I71">
        <f>IFERROR(XLOOKUP(C71,Investment!$B$2:$B$9,Investment!$C$2:$C$9,0,0),0)</f>
        <v/>
      </c>
      <c r="J71">
        <f>(1-$B$3)*J70+I71</f>
        <v/>
      </c>
      <c r="K71" s="19">
        <f>IF(E71="","",E71+J71)</f>
        <v/>
      </c>
      <c r="L71">
        <f>IF(OR(K71="",G71=""),"",EXP(G71)*(K71^$B$2))</f>
        <v/>
      </c>
      <c r="M71">
        <f>IF(OR(L71="",H71=""),"",L71/H71-1)</f>
        <v/>
      </c>
      <c r="N71">
        <f>IF(OR(F71="",M71=""),"",F71*(1+M71))</f>
        <v/>
      </c>
      <c r="O71">
        <f>IF(OR(N70="",N71=""),"",N71/N70-1)</f>
        <v/>
      </c>
      <c r="P71">
        <f>IFERROR(XLOOKUP(C71,WEO_Data!$B$8:$B$51,WEO_Data!$D$8:$D$51,0,0)/100,"")</f>
        <v/>
      </c>
    </row>
    <row r="72">
      <c r="C72" t="n">
        <v>2038</v>
      </c>
      <c r="D72">
        <f>$D$34</f>
        <v/>
      </c>
      <c r="E72" s="21">
        <f>$D$34*F72</f>
        <v/>
      </c>
      <c r="F72" s="20">
        <f>XLOOKUP(C72,WEO_Data!$B$8:$B$51,WEO_Data!$C$8:$C$51,"",0)</f>
        <v/>
      </c>
      <c r="G72" s="20">
        <f>TREND($G$36:$G$57,$C$36:$C$57,C72)</f>
        <v/>
      </c>
      <c r="H72">
        <f>IF(OR(E72="",G72=""),"",EXP(G72)*(E72^$B$2))</f>
        <v/>
      </c>
      <c r="I72">
        <f>IFERROR(XLOOKUP(C72,Investment!$B$2:$B$9,Investment!$C$2:$C$9,0,0),0)</f>
        <v/>
      </c>
      <c r="J72">
        <f>(1-$B$3)*J71+I72</f>
        <v/>
      </c>
      <c r="K72" s="19">
        <f>IF(E72="","",E72+J72)</f>
        <v/>
      </c>
      <c r="L72">
        <f>IF(OR(K72="",G72=""),"",EXP(G72)*(K72^$B$2))</f>
        <v/>
      </c>
      <c r="M72">
        <f>IF(OR(L72="",H72=""),"",L72/H72-1)</f>
        <v/>
      </c>
      <c r="N72">
        <f>IF(OR(F72="",M72=""),"",F72*(1+M72))</f>
        <v/>
      </c>
      <c r="O72">
        <f>IF(OR(N71="",N72=""),"",N72/N71-1)</f>
        <v/>
      </c>
      <c r="P72">
        <f>IFERROR(XLOOKUP(C72,WEO_Data!$B$8:$B$51,WEO_Data!$D$8:$D$51,0,0)/100,"")</f>
        <v/>
      </c>
    </row>
    <row r="73">
      <c r="C73" t="n">
        <v>2039</v>
      </c>
      <c r="D73">
        <f>$D$34</f>
        <v/>
      </c>
      <c r="E73" s="21">
        <f>$D$34*F73</f>
        <v/>
      </c>
      <c r="F73" s="20">
        <f>XLOOKUP(C73,WEO_Data!$B$8:$B$51,WEO_Data!$C$8:$C$51,"",0)</f>
        <v/>
      </c>
      <c r="G73" s="20">
        <f>TREND($G$36:$G$57,$C$36:$C$57,C73)</f>
        <v/>
      </c>
      <c r="H73">
        <f>IF(OR(E73="",G73=""),"",EXP(G73)*(E73^$B$2))</f>
        <v/>
      </c>
      <c r="I73">
        <f>IFERROR(XLOOKUP(C73,Investment!$B$2:$B$9,Investment!$C$2:$C$9,0,0),0)</f>
        <v/>
      </c>
      <c r="J73">
        <f>(1-$B$3)*J72+I73</f>
        <v/>
      </c>
      <c r="K73" s="19">
        <f>IF(E73="","",E73+J73)</f>
        <v/>
      </c>
      <c r="L73">
        <f>IF(OR(K73="",G73=""),"",EXP(G73)*(K73^$B$2))</f>
        <v/>
      </c>
      <c r="M73">
        <f>IF(OR(L73="",H73=""),"",L73/H73-1)</f>
        <v/>
      </c>
      <c r="N73">
        <f>IF(OR(F73="",M73=""),"",F73*(1+M73))</f>
        <v/>
      </c>
      <c r="O73">
        <f>IF(OR(N72="",N73=""),"",N73/N72-1)</f>
        <v/>
      </c>
      <c r="P73">
        <f>IFERROR(XLOOKUP(C73,WEO_Data!$B$8:$B$51,WEO_Data!$D$8:$D$51,0,0)/100,"")</f>
        <v/>
      </c>
    </row>
    <row r="74">
      <c r="C74" t="n">
        <v>2040</v>
      </c>
      <c r="D74">
        <f>$D$34</f>
        <v/>
      </c>
      <c r="E74" s="21">
        <f>$D$34*F74</f>
        <v/>
      </c>
      <c r="F74" s="20">
        <f>XLOOKUP(C74,WEO_Data!$B$8:$B$51,WEO_Data!$C$8:$C$51,"",0)</f>
        <v/>
      </c>
      <c r="G74" s="20">
        <f>TREND($G$36:$G$57,$C$36:$C$57,C74)</f>
        <v/>
      </c>
      <c r="H74">
        <f>IF(OR(E74="",G74=""),"",EXP(G74)*(E74^$B$2))</f>
        <v/>
      </c>
      <c r="I74">
        <f>IFERROR(XLOOKUP(C74,Investment!$B$2:$B$9,Investment!$C$2:$C$9,0,0),0)</f>
        <v/>
      </c>
      <c r="J74">
        <f>(1-$B$3)*J73+I74</f>
        <v/>
      </c>
      <c r="K74" s="19">
        <f>IF(E74="","",E74+J74)</f>
        <v/>
      </c>
      <c r="L74">
        <f>IF(OR(K74="",G74=""),"",EXP(G74)*(K74^$B$2))</f>
        <v/>
      </c>
      <c r="M74">
        <f>IF(OR(L74="",H74=""),"",L74/H74-1)</f>
        <v/>
      </c>
      <c r="N74">
        <f>IF(OR(F74="",M74=""),"",F74*(1+M74))</f>
        <v/>
      </c>
      <c r="O74">
        <f>IF(OR(N73="",N74=""),"",N74/N73-1)</f>
        <v/>
      </c>
      <c r="P74">
        <f>IFERROR(XLOOKUP(C74,WEO_Data!$B$8:$B$51,WEO_Data!$D$8:$D$51,0,0)/100,"")</f>
        <v/>
      </c>
    </row>
    <row r="75">
      <c r="C75" t="n">
        <v>2041</v>
      </c>
      <c r="D75">
        <f>$D$34</f>
        <v/>
      </c>
      <c r="E75" s="21">
        <f>$D$34*F75</f>
        <v/>
      </c>
      <c r="F75" s="20">
        <f>XLOOKUP(C75,WEO_Data!$B$8:$B$51,WEO_Data!$C$8:$C$51,"",0)</f>
        <v/>
      </c>
      <c r="G75" s="20">
        <f>TREND($G$36:$G$57,$C$36:$C$57,C75)</f>
        <v/>
      </c>
      <c r="H75">
        <f>IF(OR(E75="",G75=""),"",EXP(G75)*(E75^$B$2))</f>
        <v/>
      </c>
      <c r="I75">
        <f>IFERROR(XLOOKUP(C75,Investment!$B$2:$B$9,Investment!$C$2:$C$9,0,0),0)</f>
        <v/>
      </c>
      <c r="J75">
        <f>(1-$B$3)*J74+I75</f>
        <v/>
      </c>
      <c r="K75" s="19">
        <f>IF(E75="","",E75+J75)</f>
        <v/>
      </c>
      <c r="L75">
        <f>IF(OR(K75="",G75=""),"",EXP(G75)*(K75^$B$2))</f>
        <v/>
      </c>
      <c r="M75">
        <f>IF(OR(L75="",H75=""),"",L75/H75-1)</f>
        <v/>
      </c>
      <c r="N75">
        <f>IF(OR(F75="",M75=""),"",F75*(1+M75))</f>
        <v/>
      </c>
      <c r="O75">
        <f>IF(OR(N74="",N75=""),"",N75/N74-1)</f>
        <v/>
      </c>
      <c r="P75">
        <f>IFERROR(XLOOKUP(C75,WEO_Data!$B$8:$B$51,WEO_Data!$D$8:$D$51,0,0)/100,"")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>
        <f>6500/8</f>
        <v/>
      </c>
    </row>
    <row r="3">
      <c r="B3" s="16" t="n">
        <v>2027</v>
      </c>
      <c r="C3">
        <f>6500/8</f>
        <v/>
      </c>
    </row>
    <row r="4">
      <c r="B4" s="16" t="n">
        <v>2028</v>
      </c>
      <c r="C4">
        <f>6500/8</f>
        <v/>
      </c>
    </row>
    <row r="5">
      <c r="B5" s="16" t="n">
        <v>2029</v>
      </c>
      <c r="C5">
        <f>6500/8</f>
        <v/>
      </c>
    </row>
    <row r="6">
      <c r="B6" s="16" t="n">
        <v>2030</v>
      </c>
      <c r="C6">
        <f>6500/8</f>
        <v/>
      </c>
    </row>
    <row r="7">
      <c r="B7" s="16" t="n">
        <v>2031</v>
      </c>
      <c r="C7">
        <f>6500/8</f>
        <v/>
      </c>
    </row>
    <row r="8">
      <c r="B8" s="16" t="n">
        <v>2032</v>
      </c>
      <c r="C8">
        <f>6500/8</f>
        <v/>
      </c>
    </row>
    <row r="9">
      <c r="B9" s="16" t="n">
        <v>2033</v>
      </c>
      <c r="C9">
        <f>6500/8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XLOOKUP(B2,PWT!$A$2:$A$35,PWT!$C$2:$C$35,"",0)</f>
        <v/>
      </c>
      <c r="E2">
        <f>IF(OR(C2="",D2=""),"",C2/D2)</f>
        <v/>
      </c>
    </row>
    <row r="3">
      <c r="A3" s="18" t="n">
        <v>35795</v>
      </c>
      <c r="B3" t="n">
        <v>1997</v>
      </c>
      <c r="C3" t="n">
        <v>383641663.608596</v>
      </c>
      <c r="D3" s="19">
        <f>XLOOKUP(B3,PWT!$A$2:$A$35,PWT!$C$2:$C$35,"",0)</f>
        <v/>
      </c>
      <c r="E3">
        <f>IF(OR(C3="",D3=""),"",C3/D3)</f>
        <v/>
      </c>
    </row>
    <row r="4">
      <c r="A4" s="18" t="n">
        <v>36160</v>
      </c>
      <c r="B4" t="n">
        <v>1998</v>
      </c>
      <c r="C4" t="n">
        <v>516397121.222809</v>
      </c>
      <c r="D4" s="19">
        <f>XLOOKUP(B4,PWT!$A$2:$A$35,PWT!$C$2:$C$35,"",0)</f>
        <v/>
      </c>
      <c r="E4">
        <f>IF(OR(C4="",D4=""),"",C4/D4)</f>
        <v/>
      </c>
    </row>
    <row r="5">
      <c r="A5" s="18" t="n">
        <v>36525</v>
      </c>
      <c r="B5" t="n">
        <v>1999</v>
      </c>
      <c r="C5" t="n">
        <v>661603834.429231</v>
      </c>
      <c r="D5" s="19">
        <f>XLOOKUP(B5,PWT!$A$2:$A$35,PWT!$C$2:$C$35,"",0)</f>
        <v/>
      </c>
      <c r="E5">
        <f>IF(OR(C5="",D5=""),"",C5/D5)</f>
        <v/>
      </c>
    </row>
    <row r="6">
      <c r="A6" s="18" t="n">
        <v>36891</v>
      </c>
      <c r="B6" t="n">
        <v>2000</v>
      </c>
      <c r="C6" t="n">
        <v>631701000.88782</v>
      </c>
      <c r="D6" s="19">
        <f>XLOOKUP(B6,PWT!$A$2:$A$35,PWT!$C$2:$C$35,"",0)</f>
        <v/>
      </c>
      <c r="E6">
        <f>IF(OR(C6="",D6=""),"",C6/D6)</f>
        <v/>
      </c>
    </row>
    <row r="7">
      <c r="A7" s="18" t="n">
        <v>37256</v>
      </c>
      <c r="B7" t="n">
        <v>2001</v>
      </c>
      <c r="C7" t="n">
        <v>706983726.789065</v>
      </c>
      <c r="D7" s="19">
        <f>XLOOKUP(B7,PWT!$A$2:$A$35,PWT!$C$2:$C$35,"",0)</f>
        <v/>
      </c>
      <c r="E7">
        <f>IF(OR(C7="",D7=""),"",C7/D7)</f>
        <v/>
      </c>
    </row>
    <row r="8">
      <c r="A8" s="18" t="n">
        <v>37621</v>
      </c>
      <c r="B8" t="n">
        <v>2002</v>
      </c>
      <c r="C8" t="n">
        <v>790112565.198609</v>
      </c>
      <c r="D8" s="19">
        <f>XLOOKUP(B8,PWT!$A$2:$A$35,PWT!$C$2:$C$35,"",0)</f>
        <v/>
      </c>
      <c r="E8">
        <f>IF(OR(C8="",D8=""),"",C8/D8)</f>
        <v/>
      </c>
    </row>
    <row r="9">
      <c r="A9" s="18" t="n">
        <v>37986</v>
      </c>
      <c r="B9" t="n">
        <v>2003</v>
      </c>
      <c r="C9" t="n">
        <v>932916219.671159</v>
      </c>
      <c r="D9" s="19">
        <f>XLOOKUP(B9,PWT!$A$2:$A$35,PWT!$C$2:$C$35,"",0)</f>
        <v/>
      </c>
      <c r="E9">
        <f>IF(OR(C9="",D9=""),"",C9/D9)</f>
        <v/>
      </c>
    </row>
    <row r="10">
      <c r="A10" s="18" t="n">
        <v>38352</v>
      </c>
      <c r="B10" t="n">
        <v>2004</v>
      </c>
      <c r="C10" t="n">
        <v>976818537.799271</v>
      </c>
      <c r="D10" s="19">
        <f>XLOOKUP(B10,PWT!$A$2:$A$35,PWT!$C$2:$C$35,"",0)</f>
        <v/>
      </c>
      <c r="E10">
        <f>IF(OR(C10="",D10=""),"",C10/D10)</f>
        <v/>
      </c>
    </row>
    <row r="11">
      <c r="A11" s="18" t="n">
        <v>38717</v>
      </c>
      <c r="B11" t="n">
        <v>2005</v>
      </c>
      <c r="C11" t="n">
        <v>1113450058.59263</v>
      </c>
      <c r="D11" s="19">
        <f>XLOOKUP(B11,PWT!$A$2:$A$35,PWT!$C$2:$C$35,"",0)</f>
        <v/>
      </c>
      <c r="E11">
        <f>IF(OR(C11="",D11=""),"",C11/D11)</f>
        <v/>
      </c>
    </row>
    <row r="12">
      <c r="A12" s="18" t="n">
        <v>39082</v>
      </c>
      <c r="B12" t="n">
        <v>2006</v>
      </c>
      <c r="C12" t="n">
        <v>1306373084.13224</v>
      </c>
      <c r="D12" s="19">
        <f>XLOOKUP(B12,PWT!$A$2:$A$35,PWT!$C$2:$C$35,"",0)</f>
        <v/>
      </c>
      <c r="E12">
        <f>IF(OR(C12="",D12=""),"",C12/D12)</f>
        <v/>
      </c>
    </row>
    <row r="13">
      <c r="A13" s="18" t="n">
        <v>39447</v>
      </c>
      <c r="B13" t="n">
        <v>2007</v>
      </c>
      <c r="C13" t="n">
        <v>1617029966.25711</v>
      </c>
      <c r="D13" s="19">
        <f>XLOOKUP(B13,PWT!$A$2:$A$35,PWT!$C$2:$C$35,"",0)</f>
        <v/>
      </c>
      <c r="E13">
        <f>IF(OR(C13="",D13=""),"",C13/D13)</f>
        <v/>
      </c>
    </row>
    <row r="14">
      <c r="A14" s="18" t="n">
        <v>39813</v>
      </c>
      <c r="B14" t="n">
        <v>2008</v>
      </c>
      <c r="C14" t="n">
        <v>1758049267.6717</v>
      </c>
      <c r="D14" s="19">
        <f>XLOOKUP(B14,PWT!$A$2:$A$35,PWT!$C$2:$C$35,"",0)</f>
        <v/>
      </c>
      <c r="E14">
        <f>IF(OR(C14="",D14=""),"",C14/D14)</f>
        <v/>
      </c>
    </row>
    <row r="15">
      <c r="A15" s="18" t="n">
        <v>40178</v>
      </c>
      <c r="B15" t="n">
        <v>2009</v>
      </c>
      <c r="C15" t="n">
        <v>1751366684.88131</v>
      </c>
      <c r="D15" s="19">
        <f>XLOOKUP(B15,PWT!$A$2:$A$35,PWT!$C$2:$C$35,"",0)</f>
        <v/>
      </c>
      <c r="E15">
        <f>IF(OR(C15="",D15=""),"",C15/D15)</f>
        <v/>
      </c>
    </row>
    <row r="16">
      <c r="A16" s="18" t="n">
        <v>40543</v>
      </c>
      <c r="B16" t="n">
        <v>2010</v>
      </c>
      <c r="C16" t="n">
        <v>2046413234.66733</v>
      </c>
      <c r="D16" s="19">
        <f>XLOOKUP(B16,PWT!$A$2:$A$35,PWT!$C$2:$C$35,"",0)</f>
        <v/>
      </c>
      <c r="E16">
        <f>IF(OR(C16="",D16=""),"",C16/D16)</f>
        <v/>
      </c>
    </row>
    <row r="17">
      <c r="A17" s="18" t="n">
        <v>40908</v>
      </c>
      <c r="B17" t="n">
        <v>2011</v>
      </c>
      <c r="C17" t="n">
        <v>2350512405.90543</v>
      </c>
      <c r="D17" s="19">
        <f>XLOOKUP(B17,PWT!$A$2:$A$35,PWT!$C$2:$C$35,"",0)</f>
        <v/>
      </c>
      <c r="E17">
        <f>IF(OR(C17="",D17=""),"",C17/D17)</f>
        <v/>
      </c>
    </row>
    <row r="18">
      <c r="A18" s="18" t="n">
        <v>41274</v>
      </c>
      <c r="B18" t="n">
        <v>2012</v>
      </c>
      <c r="C18" t="n">
        <v>2643602887.96874</v>
      </c>
      <c r="D18" s="19">
        <f>XLOOKUP(B18,PWT!$A$2:$A$35,PWT!$C$2:$C$35,"",0)</f>
        <v/>
      </c>
      <c r="E18">
        <f>IF(OR(C18="",D18=""),"",C18/D18)</f>
        <v/>
      </c>
    </row>
    <row r="19">
      <c r="A19" s="18" t="n">
        <v>41639</v>
      </c>
      <c r="B19" t="n">
        <v>2013</v>
      </c>
      <c r="C19" t="n">
        <v>1555932152.31816</v>
      </c>
      <c r="D19" s="19">
        <f>XLOOKUP(B19,PWT!$A$2:$A$35,PWT!$C$2:$C$35,"",0)</f>
        <v/>
      </c>
      <c r="E19">
        <f>IF(OR(C19="",D19=""),"",C19/D19)</f>
        <v/>
      </c>
    </row>
    <row r="20">
      <c r="A20" s="18" t="n">
        <v>42004</v>
      </c>
      <c r="B20" t="n">
        <v>2014</v>
      </c>
      <c r="C20" t="n">
        <v>2984890468.6878</v>
      </c>
      <c r="D20" s="19">
        <f>XLOOKUP(B20,PWT!$A$2:$A$35,PWT!$C$2:$C$35,"",0)</f>
        <v/>
      </c>
      <c r="E20">
        <f>IF(OR(C20="",D20=""),"",C20/D20)</f>
        <v/>
      </c>
    </row>
    <row r="21">
      <c r="A21" s="18" t="n">
        <v>42369</v>
      </c>
      <c r="B21" t="n">
        <v>2015</v>
      </c>
      <c r="C21" t="n">
        <v>3657280672.54249</v>
      </c>
      <c r="D21" s="19">
        <f>XLOOKUP(B21,PWT!$A$2:$A$35,PWT!$C$2:$C$35,"",0)</f>
        <v/>
      </c>
      <c r="E21">
        <f>IF(OR(C21="",D21=""),"",C21/D21)</f>
        <v/>
      </c>
    </row>
    <row r="22">
      <c r="A22" s="18" t="n">
        <v>42735</v>
      </c>
      <c r="B22" t="n">
        <v>2016</v>
      </c>
      <c r="C22" t="n">
        <v>4004828719.85304</v>
      </c>
      <c r="D22" s="19">
        <f>XLOOKUP(B22,PWT!$A$2:$A$35,PWT!$C$2:$C$35,"",0)</f>
        <v/>
      </c>
      <c r="E22">
        <f>IF(OR(C22="",D22=""),"",C22/D22)</f>
        <v/>
      </c>
    </row>
    <row r="23">
      <c r="A23" s="18" t="n">
        <v>43100</v>
      </c>
      <c r="B23" t="n">
        <v>2017</v>
      </c>
      <c r="C23" t="n">
        <v>4492921334.90825</v>
      </c>
      <c r="D23" s="19">
        <f>XLOOKUP(B23,PWT!$A$2:$A$35,PWT!$C$2:$C$35,"",0)</f>
        <v/>
      </c>
      <c r="E23">
        <f>IF(OR(C23="",D23=""),"",C23/D23)</f>
        <v/>
      </c>
    </row>
    <row r="24">
      <c r="A24" s="18" t="n">
        <v>43465</v>
      </c>
      <c r="B24" t="n">
        <v>2018</v>
      </c>
      <c r="C24" t="n">
        <v>4843616440.28627</v>
      </c>
      <c r="D24" s="19">
        <f>XLOOKUP(B24,PWT!$A$2:$A$35,PWT!$C$2:$C$35,"",0)</f>
        <v/>
      </c>
      <c r="E24">
        <f>IF(OR(C24="",D24=""),"",C24/D24)</f>
        <v/>
      </c>
    </row>
    <row r="25">
      <c r="A25" s="18" t="n">
        <v>43830</v>
      </c>
      <c r="B25" t="n">
        <v>2019</v>
      </c>
      <c r="C25" t="n">
        <v>5452957379.35004</v>
      </c>
      <c r="D25" s="19">
        <f>XLOOKUP(B25,PWT!$A$2:$A$35,PWT!$C$2:$C$35,"",0)</f>
        <v/>
      </c>
      <c r="E25">
        <f>IF(OR(C25="",D25=""),"",C25/D25)</f>
        <v/>
      </c>
    </row>
    <row r="26">
      <c r="A26" s="18" t="n">
        <v>44196</v>
      </c>
      <c r="B26" t="n">
        <v>2020</v>
      </c>
      <c r="C26" t="n">
        <v>6152769261.61805</v>
      </c>
      <c r="D26" s="19">
        <f>XLOOKUP(B26,PWT!$A$2:$A$35,PWT!$C$2:$C$35,"",0)</f>
        <v/>
      </c>
      <c r="E26">
        <f>IF(OR(C26="",D26=""),"",C26/D26)</f>
        <v/>
      </c>
    </row>
    <row r="27">
      <c r="A27" s="18" t="n">
        <v>44561</v>
      </c>
      <c r="B27" t="n">
        <v>2021</v>
      </c>
      <c r="C27" t="n">
        <v>7072625348.89823</v>
      </c>
      <c r="D27" s="19">
        <f>XLOOKUP(B27,PWT!$A$2:$A$35,PWT!$C$2:$C$35,"",0)</f>
        <v/>
      </c>
      <c r="E27">
        <f>IF(OR(C27="",D27=""),"",C27/D27)</f>
        <v/>
      </c>
    </row>
    <row r="28">
      <c r="A28" s="18" t="n">
        <v>44926</v>
      </c>
      <c r="B28" t="n">
        <v>2022</v>
      </c>
      <c r="C28" t="n">
        <v>7661448474.88107</v>
      </c>
      <c r="D28" s="19">
        <f>XLOOKUP(B28,PWT!$A$2:$A$35,PWT!$C$2:$C$35,"",0)</f>
        <v/>
      </c>
      <c r="E28">
        <f>IF(OR(C28="",D28=""),"",C28/D28)</f>
        <v/>
      </c>
    </row>
    <row r="29">
      <c r="A29" s="18" t="n">
        <v>45291</v>
      </c>
      <c r="B29" t="n">
        <v>2023</v>
      </c>
      <c r="C29" t="n">
        <v>9410657843.71035</v>
      </c>
      <c r="D29" s="19">
        <f>XLOOKUP(B29,PWT!$A$2:$A$35,PWT!$C$2:$C$35,"",0)</f>
        <v/>
      </c>
      <c r="E29">
        <f>IF(OR(C29="",D29=""),"",C29/D29)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rnna_extended</t>
        </is>
      </c>
      <c r="D1" t="inlineStr">
        <is>
          <t>avg_growth_2015_2019</t>
        </is>
      </c>
    </row>
    <row r="2">
      <c r="A2" s="19" t="n">
        <v>1990</v>
      </c>
      <c r="B2" s="19" t="n">
        <v>269494.40625</v>
      </c>
      <c r="C2">
        <f>B2</f>
        <v/>
      </c>
      <c r="D2">
        <f>AVERAGE((B28/B27)-1,(B29/B28)-1,(B30/B29)-1,(B31/B30)-1)</f>
        <v/>
      </c>
    </row>
    <row r="3">
      <c r="A3" s="19" t="n">
        <v>1991</v>
      </c>
      <c r="B3" s="19" t="n">
        <v>271117.4375</v>
      </c>
      <c r="C3">
        <f>IF(ISNUMBER(B3),B3,C2*(1+$D$2))</f>
        <v/>
      </c>
    </row>
    <row r="4">
      <c r="A4" s="19" t="n">
        <v>1992</v>
      </c>
      <c r="B4" s="19" t="n">
        <v>266614.8125</v>
      </c>
      <c r="C4">
        <f>IF(ISNUMBER(B4),B4,C3*(1+$D$2))</f>
        <v/>
      </c>
    </row>
    <row r="5">
      <c r="A5" s="19" t="n">
        <v>1993</v>
      </c>
      <c r="B5" s="19" t="n">
        <v>256535.46875</v>
      </c>
      <c r="C5">
        <f>IF(ISNUMBER(B5),B5,C4*(1+$D$2))</f>
        <v/>
      </c>
    </row>
    <row r="6">
      <c r="A6" s="19" t="n">
        <v>1994</v>
      </c>
      <c r="B6" s="19" t="n">
        <v>249672.46875</v>
      </c>
      <c r="C6">
        <f>IF(ISNUMBER(B6),B6,C5*(1+$D$2))</f>
        <v/>
      </c>
    </row>
    <row r="7">
      <c r="A7" s="19" t="n">
        <v>1995</v>
      </c>
      <c r="B7" s="19" t="n">
        <v>245497.8125</v>
      </c>
      <c r="C7">
        <f>IF(ISNUMBER(B7),B7,C6*(1+$D$2))</f>
        <v/>
      </c>
    </row>
    <row r="8">
      <c r="A8" s="19" t="n">
        <v>1996</v>
      </c>
      <c r="B8" s="19" t="n">
        <v>242089.6875</v>
      </c>
      <c r="C8">
        <f>IF(ISNUMBER(B8),B8,C7*(1+$D$2))</f>
        <v/>
      </c>
    </row>
    <row r="9">
      <c r="A9" s="19" t="n">
        <v>1997</v>
      </c>
      <c r="B9" s="19" t="n">
        <v>239425.359375</v>
      </c>
      <c r="C9">
        <f>IF(ISNUMBER(B9),B9,C8*(1+$D$2))</f>
        <v/>
      </c>
    </row>
    <row r="10">
      <c r="A10" s="19" t="n">
        <v>1998</v>
      </c>
      <c r="B10" s="19" t="n">
        <v>239121.890625</v>
      </c>
      <c r="C10">
        <f>IF(ISNUMBER(B10),B10,C9*(1+$D$2))</f>
        <v/>
      </c>
    </row>
    <row r="11">
      <c r="A11" s="19" t="n">
        <v>1999</v>
      </c>
      <c r="B11" s="19" t="n">
        <v>239199.265625</v>
      </c>
      <c r="C11">
        <f>IF(ISNUMBER(B11),B11,C10*(1+$D$2))</f>
        <v/>
      </c>
    </row>
    <row r="12">
      <c r="A12" s="19" t="n">
        <v>2000</v>
      </c>
      <c r="B12" s="19" t="n">
        <v>239171.609375</v>
      </c>
      <c r="C12">
        <f>IF(ISNUMBER(B12),B12,C11*(1+$D$2))</f>
        <v/>
      </c>
    </row>
    <row r="13">
      <c r="A13" s="19" t="n">
        <v>2001</v>
      </c>
      <c r="B13" s="19" t="n">
        <v>240066.265625</v>
      </c>
      <c r="C13">
        <f>IF(ISNUMBER(B13),B13,C12*(1+$D$2))</f>
        <v/>
      </c>
    </row>
    <row r="14">
      <c r="A14" s="19" t="n">
        <v>2002</v>
      </c>
      <c r="B14" s="19" t="n">
        <v>240523.046875</v>
      </c>
      <c r="C14">
        <f>IF(ISNUMBER(B14),B14,C13*(1+$D$2))</f>
        <v/>
      </c>
    </row>
    <row r="15">
      <c r="A15" s="19" t="n">
        <v>2003</v>
      </c>
      <c r="B15" s="19" t="n">
        <v>242715.265625</v>
      </c>
      <c r="C15">
        <f>IF(ISNUMBER(B15),B15,C14*(1+$D$2))</f>
        <v/>
      </c>
    </row>
    <row r="16">
      <c r="A16" s="19" t="n">
        <v>2004</v>
      </c>
      <c r="B16" s="19" t="n">
        <v>245580.140625</v>
      </c>
      <c r="C16">
        <f>IF(ISNUMBER(B16),B16,C15*(1+$D$2))</f>
        <v/>
      </c>
    </row>
    <row r="17">
      <c r="A17" s="19" t="n">
        <v>2005</v>
      </c>
      <c r="B17" s="19" t="n">
        <v>249248.984375</v>
      </c>
      <c r="C17">
        <f>IF(ISNUMBER(B17),B17,C16*(1+$D$2))</f>
        <v/>
      </c>
    </row>
    <row r="18">
      <c r="A18" s="19" t="n">
        <v>2006</v>
      </c>
      <c r="B18" s="19" t="n">
        <v>252297.078125</v>
      </c>
      <c r="C18">
        <f>IF(ISNUMBER(B18),B18,C17*(1+$D$2))</f>
        <v/>
      </c>
    </row>
    <row r="19">
      <c r="A19" s="19" t="n">
        <v>2007</v>
      </c>
      <c r="B19" s="19" t="n">
        <v>256234.109375</v>
      </c>
      <c r="C19">
        <f>IF(ISNUMBER(B19),B19,C18*(1+$D$2))</f>
        <v/>
      </c>
    </row>
    <row r="20">
      <c r="A20" s="19" t="n">
        <v>2008</v>
      </c>
      <c r="B20" s="19" t="n">
        <v>257715.4375</v>
      </c>
      <c r="C20">
        <f>IF(ISNUMBER(B20),B20,C19*(1+$D$2))</f>
        <v/>
      </c>
    </row>
    <row r="21">
      <c r="A21" s="19" t="n">
        <v>2009</v>
      </c>
      <c r="B21" s="19" t="n">
        <v>255596.078125</v>
      </c>
      <c r="C21">
        <f>IF(ISNUMBER(B21),B21,C20*(1+$D$2))</f>
        <v/>
      </c>
    </row>
    <row r="22">
      <c r="A22" s="19" t="n">
        <v>2010</v>
      </c>
      <c r="B22" s="19" t="n">
        <v>256185.140625</v>
      </c>
      <c r="C22">
        <f>IF(ISNUMBER(B22),B22,C21*(1+$D$2))</f>
        <v/>
      </c>
    </row>
    <row r="23">
      <c r="A23" s="19" t="n">
        <v>2011</v>
      </c>
      <c r="B23" s="19" t="n">
        <v>258197.40625</v>
      </c>
      <c r="C23">
        <f>IF(ISNUMBER(B23),B23,C22*(1+$D$2))</f>
        <v/>
      </c>
    </row>
    <row r="24">
      <c r="A24" s="19" t="n">
        <v>2012</v>
      </c>
      <c r="B24" s="19" t="n">
        <v>260772.96875</v>
      </c>
      <c r="C24">
        <f>IF(ISNUMBER(B24),B24,C23*(1+$D$2))</f>
        <v/>
      </c>
    </row>
    <row r="25">
      <c r="A25" s="19" t="n">
        <v>2013</v>
      </c>
      <c r="B25" s="19" t="n">
        <v>261943.109375</v>
      </c>
      <c r="C25">
        <f>IF(ISNUMBER(B25),B25,C24*(1+$D$2))</f>
        <v/>
      </c>
    </row>
    <row r="26">
      <c r="A26" s="19" t="n">
        <v>2014</v>
      </c>
      <c r="B26" s="19" t="n">
        <v>265818.40625</v>
      </c>
      <c r="C26">
        <f>IF(ISNUMBER(B26),B26,C25*(1+$D$2))</f>
        <v/>
      </c>
    </row>
    <row r="27">
      <c r="A27" s="19" t="n">
        <v>2015</v>
      </c>
      <c r="B27" s="19" t="n">
        <v>271425.46875</v>
      </c>
      <c r="C27">
        <f>IF(ISNUMBER(B27),B27,C26*(1+$D$2))</f>
        <v/>
      </c>
    </row>
    <row r="28">
      <c r="A28" s="19" t="n">
        <v>2016</v>
      </c>
      <c r="B28" s="19" t="n">
        <v>277588.15625</v>
      </c>
      <c r="C28">
        <f>IF(ISNUMBER(B28),B28,C27*(1+$D$2))</f>
        <v/>
      </c>
    </row>
    <row r="29">
      <c r="A29" s="19" t="n">
        <v>2017</v>
      </c>
      <c r="B29" s="19" t="n">
        <v>283682.15625</v>
      </c>
      <c r="C29">
        <f>IF(ISNUMBER(B29),B29,C28*(1+$D$2))</f>
        <v/>
      </c>
    </row>
    <row r="30">
      <c r="A30" s="19" t="n">
        <v>2018</v>
      </c>
      <c r="B30" s="19" t="n">
        <v>289560.90625</v>
      </c>
      <c r="C30">
        <f>IF(ISNUMBER(B30),B30,C29*(1+$D$2))</f>
        <v/>
      </c>
    </row>
    <row r="31">
      <c r="A31" s="19" t="n">
        <v>2019</v>
      </c>
      <c r="B31" s="19" t="n">
        <v>298215.0625</v>
      </c>
      <c r="C31">
        <f>IF(ISNUMBER(B31),B31,C30*(1+$D$2))</f>
        <v/>
      </c>
    </row>
    <row r="32">
      <c r="A32" s="19" t="n">
        <v>2020</v>
      </c>
      <c r="B32" s="19" t="n"/>
      <c r="C32">
        <f>IF(ISNUMBER(B32),B32,C31*(1+$D$2))</f>
        <v/>
      </c>
    </row>
    <row r="33">
      <c r="A33" s="19" t="n">
        <v>2021</v>
      </c>
      <c r="B33" s="19" t="n"/>
      <c r="C33">
        <f>IF(ISNUMBER(B33),B33,C32*(1+$D$2))</f>
        <v/>
      </c>
    </row>
    <row r="34">
      <c r="A34" s="19" t="n">
        <v>2022</v>
      </c>
      <c r="B34" s="19" t="n"/>
      <c r="C34">
        <f>IF(ISNUMBER(B34),B34,C33*(1+$D$2))</f>
        <v/>
      </c>
    </row>
    <row r="35">
      <c r="A35" s="19" t="n">
        <v>2023</v>
      </c>
      <c r="B35" s="19" t="n"/>
      <c r="C35">
        <f>IF(ISNUMBER(B35),B35,C34*(1+$D$2))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6365211520.66238</v>
      </c>
    </row>
    <row r="9">
      <c r="B9" t="n">
        <v>2001</v>
      </c>
      <c r="C9" t="n">
        <v>6671206249.59299</v>
      </c>
      <c r="D9">
        <f>IF(OR(C8="",C9=""),"",(C9/C8-1)*100)</f>
        <v/>
      </c>
    </row>
    <row r="10">
      <c r="B10" t="n">
        <v>2002</v>
      </c>
      <c r="C10" t="n">
        <v>7036389739.95908</v>
      </c>
      <c r="D10">
        <f>IF(OR(C9="",C10=""),"",(C10/C9-1)*100)</f>
        <v/>
      </c>
    </row>
    <row r="11">
      <c r="B11" t="n">
        <v>2003</v>
      </c>
      <c r="C11" t="n">
        <v>7814405534.92863</v>
      </c>
      <c r="D11">
        <f>IF(OR(C10="",C11=""),"",(C11/C10-1)*100)</f>
        <v/>
      </c>
    </row>
    <row r="12">
      <c r="B12" t="n">
        <v>2004</v>
      </c>
      <c r="C12" t="n">
        <v>8267069270.18365</v>
      </c>
      <c r="D12">
        <f>IF(OR(C11="",C12=""),"",(C12/C11-1)*100)</f>
        <v/>
      </c>
    </row>
    <row r="13">
      <c r="B13" t="n">
        <v>2005</v>
      </c>
      <c r="C13" t="n">
        <v>9059975319.602381</v>
      </c>
      <c r="D13">
        <f>IF(OR(C12="",C13=""),"",(C13/C12-1)*100)</f>
        <v/>
      </c>
    </row>
    <row r="14">
      <c r="B14" t="n">
        <v>2006</v>
      </c>
      <c r="C14" t="n">
        <v>9913559155.90151</v>
      </c>
      <c r="D14">
        <f>IF(OR(C13="",C14=""),"",(C14/C13-1)*100)</f>
        <v/>
      </c>
    </row>
    <row r="15">
      <c r="B15" t="n">
        <v>2007</v>
      </c>
      <c r="C15" t="n">
        <v>11160245709.6589</v>
      </c>
      <c r="D15">
        <f>IF(OR(C14="",C15=""),"",(C15/C14-1)*100)</f>
        <v/>
      </c>
    </row>
    <row r="16">
      <c r="B16" t="n">
        <v>2008</v>
      </c>
      <c r="C16" t="n">
        <v>11430503827.9115</v>
      </c>
      <c r="D16">
        <f>IF(OR(C15="",C16=""),"",(C16/C15-1)*100)</f>
        <v/>
      </c>
    </row>
    <row r="17">
      <c r="B17" t="n">
        <v>2009</v>
      </c>
      <c r="C17" t="n">
        <v>11013204446.9733</v>
      </c>
      <c r="D17">
        <f>IF(OR(C16="",C17=""),"",(C17/C16-1)*100)</f>
        <v/>
      </c>
    </row>
    <row r="18">
      <c r="B18" t="n">
        <v>2010</v>
      </c>
      <c r="C18" t="n">
        <v>11701134202.5253</v>
      </c>
      <c r="D18">
        <f>IF(OR(C17="",C18=""),"",(C18/C17-1)*100)</f>
        <v/>
      </c>
    </row>
    <row r="19">
      <c r="B19" t="n">
        <v>2011</v>
      </c>
      <c r="C19" t="n">
        <v>12629541567.4316</v>
      </c>
      <c r="D19">
        <f>IF(OR(C18="",C19=""),"",(C19/C18-1)*100)</f>
        <v/>
      </c>
    </row>
    <row r="20">
      <c r="B20" t="n">
        <v>2012</v>
      </c>
      <c r="C20" t="n">
        <v>13460417765.6957</v>
      </c>
      <c r="D20">
        <f>IF(OR(C19="",C20=""),"",(C20/C19-1)*100)</f>
        <v/>
      </c>
    </row>
    <row r="21">
      <c r="B21" t="n">
        <v>2013</v>
      </c>
      <c r="C21" t="n">
        <v>14151325572.1376</v>
      </c>
      <c r="D21">
        <f>IF(OR(C20="",C21=""),"",(C21/C20-1)*100)</f>
        <v/>
      </c>
    </row>
    <row r="22">
      <c r="B22" t="n">
        <v>2014</v>
      </c>
      <c r="C22" t="n">
        <v>14730184213.8494</v>
      </c>
      <c r="D22">
        <f>IF(OR(C21="",C22=""),"",(C22/C21-1)*100)</f>
        <v/>
      </c>
    </row>
    <row r="23">
      <c r="B23" t="n">
        <v>2015</v>
      </c>
      <c r="C23" t="n">
        <v>15223796148.8396</v>
      </c>
      <c r="D23">
        <f>IF(OR(C22="",C23=""),"",(C23/C22-1)*100)</f>
        <v/>
      </c>
    </row>
    <row r="24">
      <c r="B24" t="n">
        <v>2016</v>
      </c>
      <c r="C24" t="n">
        <v>15749049874.5344</v>
      </c>
      <c r="D24">
        <f>IF(OR(C23="",C24=""),"",(C24/C23-1)*100)</f>
        <v/>
      </c>
    </row>
    <row r="25">
      <c r="B25" t="n">
        <v>2017</v>
      </c>
      <c r="C25" t="n">
        <v>16561685511.0983</v>
      </c>
      <c r="D25">
        <f>IF(OR(C24="",C25=""),"",(C25/C24-1)*100)</f>
        <v/>
      </c>
    </row>
    <row r="26">
      <c r="B26" t="n">
        <v>2018</v>
      </c>
      <c r="C26" t="n">
        <v>17565660917.3341</v>
      </c>
      <c r="D26">
        <f>IF(OR(C25="",C26=""),"",(C26/C25-1)*100)</f>
        <v/>
      </c>
    </row>
    <row r="27">
      <c r="B27" t="n">
        <v>2019</v>
      </c>
      <c r="C27" t="n">
        <v>18510819818.4957</v>
      </c>
      <c r="D27">
        <f>IF(OR(C26="",C27=""),"",(C27/C26-1)*100)</f>
        <v/>
      </c>
    </row>
    <row r="28">
      <c r="B28" t="n">
        <v>2020</v>
      </c>
      <c r="C28" t="n">
        <v>17346401920.57</v>
      </c>
      <c r="D28">
        <f>IF(OR(C27="",C28=""),"",(C28/C27-1)*100)</f>
        <v/>
      </c>
    </row>
    <row r="29">
      <c r="B29" t="n">
        <v>2021</v>
      </c>
      <c r="C29" t="n">
        <v>19192793472.268</v>
      </c>
      <c r="D29">
        <f>IF(OR(C28="",C29=""),"",(C29/C28-1)*100)</f>
        <v/>
      </c>
    </row>
    <row r="30">
      <c r="B30" t="n">
        <v>2022</v>
      </c>
      <c r="C30" t="n">
        <v>21296041913.2144</v>
      </c>
      <c r="D30">
        <f>IF(OR(C29="",C30=""),"",(C30/C29-1)*100)</f>
        <v/>
      </c>
    </row>
    <row r="31">
      <c r="B31" t="n">
        <v>2023</v>
      </c>
      <c r="C31" t="n">
        <v>22963990777.4548</v>
      </c>
      <c r="D31">
        <f>IF(OR(C30="",C31=""),"",(C31/C30-1)*100)</f>
        <v/>
      </c>
    </row>
    <row r="32">
      <c r="B32" t="n">
        <v>2024</v>
      </c>
      <c r="C32" t="n">
        <v>25186857732.3036</v>
      </c>
      <c r="D32">
        <f>IF(OR(C31="",C32=""),"",(C32/C31-1)*100)</f>
        <v/>
      </c>
    </row>
    <row r="33">
      <c r="B33" t="n">
        <v>2025</v>
      </c>
      <c r="C33" t="n">
        <v>27066204097.3435</v>
      </c>
      <c r="D33">
        <f>IF(OR(C32="",C33=""),"",(C33/C32-1)*100)</f>
        <v/>
      </c>
    </row>
    <row r="34">
      <c r="B34" t="n">
        <v>2026</v>
      </c>
      <c r="C34">
        <f>C33*(1+D34/100)</f>
        <v/>
      </c>
      <c r="D34">
        <f>$D$33</f>
        <v/>
      </c>
    </row>
    <row r="35">
      <c r="B35" t="n">
        <v>2027</v>
      </c>
      <c r="C35">
        <f>C34*(1+D35/100)</f>
        <v/>
      </c>
      <c r="D35">
        <f>$D$33</f>
        <v/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2026-09-22T03:48:56Z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