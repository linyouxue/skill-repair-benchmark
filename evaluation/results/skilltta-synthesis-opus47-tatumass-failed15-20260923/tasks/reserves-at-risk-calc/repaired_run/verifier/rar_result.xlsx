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<sst xmlns="http://schemas.openxmlformats.org/spreadsheetml/2006/main" count="871" uniqueCount="627">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</sst>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v>1.645</v>
      </c>
    </row>
    <row r="4" customFormat="false" ht="12.75" hidden="false" customHeight="false" outlineLevel="0" collapsed="false">
      <c r="B4" s="0" t="s">
        <v>2</v>
      </c>
      <c r="C4" s="0" t="n">
        <f aca="false">'Gold price'!D430</f>
        <v>4.81332296229341</v>
      </c>
    </row>
    <row r="5" customFormat="false" ht="12.75" hidden="false" customHeight="false" outlineLevel="0" collapsed="false">
      <c r="B5" s="0" t="s">
        <v>3</v>
      </c>
      <c r="C5" s="0" t="n">
        <f aca="false">'Gold price'!D430*SQRT(12)</f>
        <v>16.6738398478602</v>
      </c>
    </row>
    <row r="6" customFormat="false" ht="12.75" hidden="false" customHeight="false" outlineLevel="0" collapsed="false">
      <c r="B6" s="0" t="s">
        <v>4</v>
      </c>
      <c r="C6" s="0" t="n">
        <f aca="false">'Gold price'!E430</f>
        <v>3.25907254969863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f aca="false">Volume!H18*AVERAGE('Gold price'!B422:B430)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C12*$C$3*$C$5/100</f>
        <v>2049.18073593033</v>
      </c>
      <c r="D13" s="0" t="n">
        <f aca="false">D12*$C$3*$C$5/100</f>
        <v>274.833234828295</v>
      </c>
      <c r="E13" s="0" t="n">
        <f aca="false">E12*$C$3*$C$5/100</f>
        <v>2.93758876747609</v>
      </c>
      <c r="F13" s="0" t="n">
        <f aca="false">F12*$C$3*$C$5/100</f>
        <v>1063.57719031895</v>
      </c>
      <c r="G13" s="0" t="n">
        <f aca="false">G12*$C$3*$C$5/100</f>
        <v>15111.0059911368</v>
      </c>
      <c r="H13" s="0" t="n">
        <f aca="false">H12*$C$3*$C$5/100</f>
        <v>2776.27921285047</v>
      </c>
      <c r="I13" s="0" t="n">
        <f aca="false">I12*$C$3*$C$5/100</f>
        <v>252.692976629353</v>
      </c>
      <c r="J13" s="0" t="n">
        <f aca="false">J12*$C$3*$C$5/100</f>
        <v>221.375153522871</v>
      </c>
      <c r="K13" s="0" t="n">
        <f aca="false">K12*$C$3*$C$5/100</f>
        <v>895.176624670352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tr">
        <f aca="false">C11</f>
        <v>Belarus</v>
      </c>
      <c r="D20" s="0" t="str">
        <f aca="false">D11</f>
        <v>Georgia</v>
      </c>
      <c r="E20" s="0" t="str">
        <f aca="false">E11</f>
        <v>Moldova</v>
      </c>
      <c r="F20" s="0" t="str">
        <f aca="false">G11</f>
        <v>Uzbekistan</v>
      </c>
      <c r="G20" s="0" t="str">
        <f aca="false">H11</f>
        <v>Czechia</v>
      </c>
      <c r="H20" s="0" t="str">
        <f aca="false">I11</f>
        <v>Latvia</v>
      </c>
      <c r="I20" s="0" t="str">
        <f aca="false">J11</f>
        <v>Lithuania</v>
      </c>
    </row>
    <row r="21" customFormat="false" ht="23.85" hidden="false" customHeight="false" outlineLevel="0" collapsed="false">
      <c r="B21" s="1" t="s">
        <v>16</v>
      </c>
      <c r="C21" s="2" t="n">
        <f aca="false">C12</f>
        <v>7471</v>
      </c>
      <c r="D21" s="3" t="n">
        <f aca="false">D12</f>
        <v>1002</v>
      </c>
      <c r="E21" s="4" t="n">
        <f aca="false">E12</f>
        <v>10.71</v>
      </c>
      <c r="F21" s="4" t="n">
        <f aca="false">G12</f>
        <v>55092.42</v>
      </c>
      <c r="G21" s="4" t="n">
        <f aca="false">H12</f>
        <v>10121.89</v>
      </c>
      <c r="H21" s="2" t="n">
        <f aca="false">I12</f>
        <v>921.28</v>
      </c>
      <c r="I21" s="2" t="n">
        <f aca="false">J12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C13</f>
        <v>2049.18073593033</v>
      </c>
      <c r="D22" s="0" t="n">
        <f aca="false">D13</f>
        <v>274.833234828295</v>
      </c>
      <c r="E22" s="0" t="n">
        <f aca="false">E13</f>
        <v>2.93758876747609</v>
      </c>
      <c r="F22" s="0" t="n">
        <f aca="false">G13</f>
        <v>15111.0059911368</v>
      </c>
      <c r="G22" s="0" t="n">
        <f aca="false">H13</f>
        <v>2776.27921285047</v>
      </c>
      <c r="H22" s="0" t="n">
        <f aca="false">I13</f>
        <v>252.692976629353</v>
      </c>
      <c r="I22" s="0" t="n">
        <f aca="false">J13</f>
        <v>221.375153522871</v>
      </c>
    </row>
    <row r="23" customFormat="false" ht="12.75" hidden="false" customHeight="false" outlineLevel="0" collapsed="false">
      <c r="B23" s="0" t="s">
        <v>19</v>
      </c>
      <c r="C23" s="2" t="n">
        <f aca="false">INDEX('Total Reserves'!$C$18:$P$18,MATCH("*"&amp;C20&amp;"*",'Total Reserves'!$C$1:$P$1,0))</f>
        <v>14425.9</v>
      </c>
      <c r="D23" s="4" t="n">
        <f aca="false">INDEX('Total Reserves'!$C$18:$P$18,MATCH("*"&amp;D20&amp;"*",'Total Reserves'!$C$1:$P$1,0))</f>
        <v>6158.7</v>
      </c>
      <c r="E23" s="4" t="n">
        <f aca="false">INDEX('Total Reserves'!$C$18:$P$18,MATCH("*"&amp;E20&amp;"*",'Total Reserves'!$C$1:$P$1,0))</f>
        <v>5999.34</v>
      </c>
      <c r="F23" s="4" t="n">
        <f aca="false">INDEX('Total Reserves'!$C$18:$P$18,MATCH("*"&amp;F20&amp;"*",'Total Reserves'!$C$1:$P$1,0))</f>
        <v>66311.75</v>
      </c>
      <c r="G23" s="4" t="n">
        <f aca="false">INDEX('Total Reserves'!$C$18:$P$18,MATCH("*"&amp;G20&amp;"*",'Total Reserves'!$C$1:$P$1,0))</f>
        <v>175830.49</v>
      </c>
      <c r="H23" s="4" t="n">
        <f aca="false">INDEX('Total Reserves'!$C$18:$P$18,MATCH("*"&amp;H20&amp;"*",'Total Reserves'!$C$1:$P$1,0))</f>
        <v>6076.9</v>
      </c>
      <c r="I23" s="2" t="n">
        <f aca="false">INDEX('Total Reserves'!$C$18:$P$18,MATCH("*"&amp;I20&amp;"*",'Total Reserves'!$C$1:$P$1,0))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C22/C23*100</f>
        <v>14.2048727353602</v>
      </c>
      <c r="D24" s="0" t="n">
        <f aca="false">D22/D23*100</f>
        <v>4.46252025311016</v>
      </c>
      <c r="E24" s="0" t="n">
        <f aca="false">E22/E23*100</f>
        <v>0.0489651989631541</v>
      </c>
      <c r="F24" s="0" t="n">
        <f aca="false">F22/F23*100</f>
        <v>22.7878256736352</v>
      </c>
      <c r="G24" s="0" t="n">
        <f aca="false">G22/G23*100</f>
        <v>1.57895209917829</v>
      </c>
      <c r="H24" s="0" t="n">
        <f aca="false">H22/H23*100</f>
        <v>4.1582546467665</v>
      </c>
      <c r="I24" s="0" t="n">
        <f aca="false">I22/I23*100</f>
        <v>3.12557574827215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LN(B3/B2)*100</f>
        <v>1.78045777637422</v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LN(B4/B3)*100</f>
        <v>-6.04658628397791</v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LN(B5/B4)*100</f>
        <v>-4.80179165459846</v>
      </c>
      <c r="D5" s="5" t="n">
        <f aca="false">STDEV(C3:C5)</f>
        <v>4.20591131550911</v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LN(B6/B5)*100</f>
        <v>-1.37044584198046</v>
      </c>
      <c r="D6" s="5" t="n">
        <f aca="false">STDEV(C4:C6)</f>
        <v>2.42177404631354</v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LN(B7/B6)*100</f>
        <v>-4.62031190186234</v>
      </c>
      <c r="D7" s="5" t="n">
        <f aca="false">STDEV(C5:C7)</f>
        <v>1.93083308417189</v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LN(B8/B7)*100</f>
        <v>2.78915482477398</v>
      </c>
      <c r="D8" s="5" t="n">
        <f aca="false">STDEV(C6:C8)</f>
        <v>3.71402980348765</v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LN(B9/B8)*100</f>
        <v>8.49326744877091</v>
      </c>
      <c r="D9" s="5" t="n">
        <f aca="false">STDEV(C7:C9)</f>
        <v>6.57524475318507</v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LN(B10/B9)*100</f>
        <v>-1.24348428928857</v>
      </c>
      <c r="D10" s="5" t="n">
        <f aca="false">STDEV(C8:C10)</f>
        <v>4.8922287603251</v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LN(B11/B10)*100</f>
        <v>-2.27315495571925</v>
      </c>
      <c r="D11" s="5" t="n">
        <f aca="false">STDEV(C9:C11)</f>
        <v>5.94110550152943</v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LN(B12/B11)*100</f>
        <v>0.209465299343003</v>
      </c>
      <c r="D12" s="5" t="n">
        <f aca="false">STDEV(C10:C12)</f>
        <v>1.2473096059959</v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LN(B13/B12)*100</f>
        <v>-1.34792130493926</v>
      </c>
      <c r="D13" s="5" t="n">
        <f aca="false">STDEV(C11:C13)</f>
        <v>1.25465225425075</v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LN(B14/B13)*100</f>
        <v>1.84646751324177</v>
      </c>
      <c r="D14" s="5" t="n">
        <f aca="false">STDEV(C12:C14)</f>
        <v>1.59735975937521</v>
      </c>
      <c r="E14" s="5" t="n">
        <f aca="false">STDEV(C3:C14)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LN(B15/B14)*100</f>
        <v>-5.16376293239246</v>
      </c>
      <c r="D15" s="5" t="n">
        <f aca="false">STDEV(C13:C15)</f>
        <v>3.50970317235949</v>
      </c>
      <c r="E15" s="5" t="n">
        <f aca="false">STDEV(C4:C15)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LN(B16/B15)*100</f>
        <v>-0.448561253977092</v>
      </c>
      <c r="D16" s="5" t="n">
        <f aca="false">STDEV(C14:C16)</f>
        <v>3.57406432537222</v>
      </c>
      <c r="E16" s="5" t="n">
        <f aca="false">STDEV(C5:C16)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LN(B17/B16)*100</f>
        <v>-1.23079271123674</v>
      </c>
      <c r="D17" s="5" t="n">
        <f aca="false">STDEV(C15:C17)</f>
        <v>2.52696351646778</v>
      </c>
      <c r="E17" s="5" t="n">
        <f aca="false">STDEV(C6:C17)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LN(B18/B17)*100</f>
        <v>-0.379998447749823</v>
      </c>
      <c r="D18" s="5" t="n">
        <f aca="false">STDEV(C16:C18)</f>
        <v>0.472658754618764</v>
      </c>
      <c r="E18" s="5" t="n">
        <f aca="false">STDEV(C7:C18)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LN(B19/B18)*100</f>
        <v>2.7480835168127</v>
      </c>
      <c r="D19" s="5" t="n">
        <f aca="false">STDEV(C17:C19)</f>
        <v>2.0952407854445</v>
      </c>
      <c r="E19" s="5" t="n">
        <f aca="false">STDEV(C8:C19)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LN(B20/B19)*100</f>
        <v>0.240169016237603</v>
      </c>
      <c r="D20" s="5" t="n">
        <f aca="false">STDEV(C18:C20)</f>
        <v>1.65625781017554</v>
      </c>
      <c r="E20" s="5" t="n">
        <f aca="false">STDEV(C9:C20)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LN(B21/B20)*100</f>
        <v>-3.07086333309545</v>
      </c>
      <c r="D21" s="5" t="n">
        <f aca="false">STDEV(C19:C21)</f>
        <v>2.91869585039223</v>
      </c>
      <c r="E21" s="5" t="n">
        <f aca="false">STDEV(C10:C21)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LN(B22/B21)*100</f>
        <v>-2.24747965696714</v>
      </c>
      <c r="D22" s="5" t="n">
        <f aca="false">STDEV(C20:C22)</f>
        <v>1.72381804036572</v>
      </c>
      <c r="E22" s="5" t="n">
        <f aca="false">STDEV(C11:C22)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LN(B23/B22)*100</f>
        <v>2.84702994467017</v>
      </c>
      <c r="D23" s="5" t="n">
        <f aca="false">STDEV(C21:C23)</f>
        <v>3.20555376407657</v>
      </c>
      <c r="E23" s="5" t="n">
        <f aca="false">STDEV(C12:C23)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LN(B24/B23)*100</f>
        <v>0.215932728821503</v>
      </c>
      <c r="D24" s="5" t="n">
        <f aca="false">STDEV(C22:C24)</f>
        <v>2.54771470220137</v>
      </c>
      <c r="E24" s="5" t="n">
        <f aca="false">STDEV(C13:C24)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LN(B25/B24)*100</f>
        <v>0.538611017672481</v>
      </c>
      <c r="D25" s="5" t="n">
        <f aca="false">STDEV(C23:C25)</f>
        <v>1.43501404057379</v>
      </c>
      <c r="E25" s="5" t="n">
        <f aca="false">STDEV(C14:C25)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LN(B26/B25)*100</f>
        <v>-1.9075530166859</v>
      </c>
      <c r="D26" s="5" t="n">
        <f aca="false">STDEV(C24:C26)</f>
        <v>1.32897400729895</v>
      </c>
      <c r="E26" s="5" t="n">
        <f aca="false">STDEV(C15:C26)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LN(B27/B26)*100</f>
        <v>-0.259981579532838</v>
      </c>
      <c r="D27" s="5" t="n">
        <f aca="false">STDEV(C25:C27)</f>
        <v>1.24739463548511</v>
      </c>
      <c r="E27" s="5" t="n">
        <f aca="false">STDEV(C16:C27)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LN(B28/B27)*100</f>
        <v>-2.75008277979762</v>
      </c>
      <c r="D28" s="5" t="n">
        <f aca="false">STDEV(C26:C28)</f>
        <v>1.26655385658696</v>
      </c>
      <c r="E28" s="5" t="n">
        <f aca="false">STDEV(C17:C28)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LN(B29/B28)*100</f>
        <v>-1.60844923877242</v>
      </c>
      <c r="D29" s="5" t="n">
        <f aca="false">STDEV(C27:C29)</f>
        <v>1.24648145845074</v>
      </c>
      <c r="E29" s="5" t="n">
        <f aca="false">STDEV(C18:C29)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LN(B30/B29)*100</f>
        <v>-0.471345557938947</v>
      </c>
      <c r="D30" s="5" t="n">
        <f aca="false">STDEV(C28:C30)</f>
        <v>1.1393693613313</v>
      </c>
      <c r="E30" s="5" t="n">
        <f aca="false">STDEV(C19:C30)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LN(B31/B30)*100</f>
        <v>1.15702603726684</v>
      </c>
      <c r="D31" s="5" t="n">
        <f aca="false">STDEV(C29:C31)</f>
        <v>1.38999114717939</v>
      </c>
      <c r="E31" s="5" t="n">
        <f aca="false">STDEV(C20:C31)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LN(B32/B31)*100</f>
        <v>3.24071540368765</v>
      </c>
      <c r="D32" s="5" t="n">
        <f aca="false">STDEV(C30:C32)</f>
        <v>1.86067872968622</v>
      </c>
      <c r="E32" s="5" t="n">
        <f aca="false">STDEV(C21:C32)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LN(B33/B32)*100</f>
        <v>-2.69358704012723</v>
      </c>
      <c r="D33" s="5" t="n">
        <f aca="false">STDEV(C31:C33)</f>
        <v>3.01067345572937</v>
      </c>
      <c r="E33" s="5" t="n">
        <f aca="false">STDEV(C22:C33)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LN(B34/B33)*100</f>
        <v>0.614524233314385</v>
      </c>
      <c r="D34" s="5" t="n">
        <f aca="false">STDEV(C32:C34)</f>
        <v>2.97367409544392</v>
      </c>
      <c r="E34" s="5" t="n">
        <f aca="false">STDEV(C23:C34)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LN(B35/B34)*100</f>
        <v>-0.0330788254435048</v>
      </c>
      <c r="D35" s="5" t="n">
        <f aca="false">STDEV(C33:C35)</f>
        <v>1.75315400918761</v>
      </c>
      <c r="E35" s="5" t="n">
        <f aca="false">STDEV(C24:C35)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LN(B36/B35)*100</f>
        <v>-2.89510923965977</v>
      </c>
      <c r="D36" s="5" t="n">
        <f aca="false">STDEV(C34:C36)</f>
        <v>1.86762482528978</v>
      </c>
      <c r="E36" s="5" t="n">
        <f aca="false">STDEV(C25:C36)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LN(B37/B36)*100</f>
        <v>-0.0726746072149938</v>
      </c>
      <c r="D37" s="5" t="n">
        <f aca="false">STDEV(C35:C37)</f>
        <v>1.64108313684676</v>
      </c>
      <c r="E37" s="5" t="n">
        <f aca="false">STDEV(C26:C37)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LN(B38/B37)*100</f>
        <v>-1.74040336083754</v>
      </c>
      <c r="D38" s="5" t="n">
        <f aca="false">STDEV(C36:C38)</f>
        <v>1.41896688454839</v>
      </c>
      <c r="E38" s="5" t="n">
        <f aca="false">STDEV(C27:C38)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LN(B39/B38)*100</f>
        <v>0.0818554503010278</v>
      </c>
      <c r="D39" s="5" t="n">
        <f aca="false">STDEV(C37:C39)</f>
        <v>1.01043108862072</v>
      </c>
      <c r="E39" s="5" t="n">
        <f aca="false">STDEV(C28:C39)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LN(B40/B39)*100</f>
        <v>0.241726004435254</v>
      </c>
      <c r="D40" s="5" t="n">
        <f aca="false">STDEV(C38:C40)</f>
        <v>1.10113748683865</v>
      </c>
      <c r="E40" s="5" t="n">
        <f aca="false">STDEV(C29:C40)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LN(B41/B40)*100</f>
        <v>3.55913543408704</v>
      </c>
      <c r="D41" s="5" t="n">
        <f aca="false">STDEV(C39:C41)</f>
        <v>1.96308600608246</v>
      </c>
      <c r="E41" s="5" t="n">
        <f aca="false">STDEV(C30:C41)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LN(B42/B41)*100</f>
        <v>6.94790377799645</v>
      </c>
      <c r="D42" s="5" t="n">
        <f aca="false">STDEV(C40:C42)</f>
        <v>3.35315216234991</v>
      </c>
      <c r="E42" s="5" t="n">
        <f aca="false">STDEV(C31:C42)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LN(B43/B42)*100</f>
        <v>1.39261600622473</v>
      </c>
      <c r="D43" s="5" t="n">
        <f aca="false">STDEV(C41:C43)</f>
        <v>2.79996367676392</v>
      </c>
      <c r="E43" s="5" t="n">
        <f aca="false">STDEV(C32:C43)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LN(B44/B43)*100</f>
        <v>5.38987475967688</v>
      </c>
      <c r="D44" s="5" t="n">
        <f aca="false">STDEV(C42:C44)</f>
        <v>2.86550618539355</v>
      </c>
      <c r="E44" s="5" t="n">
        <f aca="false">STDEV(C33:C44)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LN(B45/B44)*100</f>
        <v>-3.55373449950969</v>
      </c>
      <c r="D45" s="5" t="n">
        <f aca="false">STDEV(C43:C45)</f>
        <v>4.480189866673</v>
      </c>
      <c r="E45" s="5" t="n">
        <f aca="false">STDEV(C34:C45)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LN(B46/B45)*100</f>
        <v>-6.63181656329737</v>
      </c>
      <c r="D46" s="5" t="n">
        <f aca="false">STDEV(C44:C46)</f>
        <v>6.24478179545789</v>
      </c>
      <c r="E46" s="5" t="n">
        <f aca="false">STDEV(C35:C46)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LN(B47/B46)*100</f>
        <v>2.22671969734358</v>
      </c>
      <c r="D47" s="5" t="n">
        <f aca="false">STDEV(C45:C47)</f>
        <v>4.49744195060594</v>
      </c>
      <c r="E47" s="5" t="n">
        <f aca="false">STDEV(C36:C47)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LN(B48/B47)*100</f>
        <v>3.2010188997119</v>
      </c>
      <c r="D48" s="5" t="n">
        <f aca="false">STDEV(C46:C48)</f>
        <v>5.4176805747392</v>
      </c>
      <c r="E48" s="5" t="n">
        <f aca="false">STDEV(C37:C48)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LN(B49/B48)*100</f>
        <v>2.41196078340818</v>
      </c>
      <c r="D49" s="5" t="n">
        <f aca="false">STDEV(C47:C49)</f>
        <v>0.51739506288823</v>
      </c>
      <c r="E49" s="5" t="n">
        <f aca="false">STDEV(C38:C49)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LN(B50/B49)*100</f>
        <v>0.980177390890843</v>
      </c>
      <c r="D50" s="5" t="n">
        <f aca="false">STDEV(C48:C50)</f>
        <v>1.1258147717169</v>
      </c>
      <c r="E50" s="5" t="n">
        <f aca="false">STDEV(C39:C50)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LN(B51/B50)*100</f>
        <v>-1.24062690295922</v>
      </c>
      <c r="D51" s="5" t="n">
        <f aca="false">STDEV(C49:C51)</f>
        <v>1.84044252836441</v>
      </c>
      <c r="E51" s="5" t="n">
        <f aca="false">STDEV(C40:C51)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LN(B52/B51)*100</f>
        <v>0.410479744350224</v>
      </c>
      <c r="D52" s="5" t="n">
        <f aca="false">STDEV(C50:C52)</f>
        <v>1.15344991806076</v>
      </c>
      <c r="E52" s="5" t="n">
        <f aca="false">STDEV(C41:C52)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LN(B53/B52)*100</f>
        <v>-1.72270945330121</v>
      </c>
      <c r="D53" s="5" t="n">
        <f aca="false">STDEV(C51:C53)</f>
        <v>1.11870854851405</v>
      </c>
      <c r="E53" s="5" t="n">
        <f aca="false">STDEV(C42:C53)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LN(B54/B53)*100</f>
        <v>1.12503210797978</v>
      </c>
      <c r="D54" s="5" t="n">
        <f aca="false">STDEV(C52:C54)</f>
        <v>1.48159335588371</v>
      </c>
      <c r="E54" s="5" t="n">
        <f aca="false">STDEV(C43:C54)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LN(B55/B54)*100</f>
        <v>1.08251248568354</v>
      </c>
      <c r="D55" s="5" t="n">
        <f aca="false">STDEV(C53:C55)</f>
        <v>1.63200847858749</v>
      </c>
      <c r="E55" s="5" t="n">
        <f aca="false">STDEV(C44:C55)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LN(B56/B55)*100</f>
        <v>-0.0890108896459827</v>
      </c>
      <c r="D56" s="5" t="n">
        <f aca="false">STDEV(C54:C56)</f>
        <v>0.688981777372457</v>
      </c>
      <c r="E56" s="5" t="n">
        <f aca="false">STDEV(C45:C56)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LN(B57/B56)*100</f>
        <v>-1.210893255773</v>
      </c>
      <c r="D57" s="5" t="n">
        <f aca="false">STDEV(C55:C57)</f>
        <v>1.14679240763939</v>
      </c>
      <c r="E57" s="5" t="n">
        <f aca="false">STDEV(C46:C57)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LN(B58/B57)*100</f>
        <v>2.89055985092225</v>
      </c>
      <c r="D58" s="5" t="n">
        <f aca="false">STDEV(C56:C58)</f>
        <v>2.11968470249301</v>
      </c>
      <c r="E58" s="5" t="n">
        <f aca="false">STDEV(C47:C58)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LN(B59/B58)*100</f>
        <v>-0.597207491999134</v>
      </c>
      <c r="D59" s="5" t="n">
        <f aca="false">STDEV(C57:C59)</f>
        <v>2.21220285542969</v>
      </c>
      <c r="E59" s="5" t="n">
        <f aca="false">STDEV(C48:C59)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LN(B60/B59)*100</f>
        <v>-1.33153402166627</v>
      </c>
      <c r="D60" s="5" t="n">
        <f aca="false">STDEV(C58:C60)</f>
        <v>2.25572727220703</v>
      </c>
      <c r="E60" s="5" t="n">
        <f aca="false">STDEV(C49:C60)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LN(B61/B60)*100</f>
        <v>-1.31999495446413</v>
      </c>
      <c r="D61" s="5" t="n">
        <f aca="false">STDEV(C59:C61)</f>
        <v>0.420672144339956</v>
      </c>
      <c r="E61" s="5" t="n">
        <f aca="false">STDEV(C50:C61)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LN(B62/B61)*100</f>
        <v>-0.224290911112622</v>
      </c>
      <c r="D62" s="5" t="n">
        <f aca="false">STDEV(C60:C62)</f>
        <v>0.635962237683608</v>
      </c>
      <c r="E62" s="5" t="n">
        <f aca="false">STDEV(C51:C62)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LN(B63/B62)*100</f>
        <v>-0.541614353042014</v>
      </c>
      <c r="D63" s="5" t="n">
        <f aca="false">STDEV(C61:C63)</f>
        <v>0.563787471494506</v>
      </c>
      <c r="E63" s="5" t="n">
        <f aca="false">STDEV(C52:C63)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LN(B64/B63)*100</f>
        <v>1.36031382567964</v>
      </c>
      <c r="D64" s="5" t="n">
        <f aca="false">STDEV(C62:C64)</f>
        <v>1.0189044063501</v>
      </c>
      <c r="E64" s="5" t="n">
        <f aca="false">STDEV(C53:C64)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LN(B65/B64)*100</f>
        <v>2.42860674045802</v>
      </c>
      <c r="D65" s="5" t="n">
        <f aca="false">STDEV(C63:C65)</f>
        <v>1.50448185394251</v>
      </c>
      <c r="E65" s="5" t="n">
        <f aca="false">STDEV(C54:C65)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LN(B66/B65)*100</f>
        <v>-1.50090474677351</v>
      </c>
      <c r="D66" s="5" t="n">
        <f aca="false">STDEV(C64:C66)</f>
        <v>2.03178419127135</v>
      </c>
      <c r="E66" s="5" t="n">
        <f aca="false">STDEV(C55:C66)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LN(B67/B66)*100</f>
        <v>0.587912995321146</v>
      </c>
      <c r="D67" s="5" t="n">
        <f aca="false">STDEV(C65:C67)</f>
        <v>1.96606093290451</v>
      </c>
      <c r="E67" s="5" t="n">
        <f aca="false">STDEV(C56:C67)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LN(B68/B67)*100</f>
        <v>-0.323110010305594</v>
      </c>
      <c r="D68" s="5" t="n">
        <f aca="false">STDEV(C66:C68)</f>
        <v>1.04724423430593</v>
      </c>
      <c r="E68" s="5" t="n">
        <f aca="false">STDEV(C57:C68)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LN(B69/B68)*100</f>
        <v>-0.660535149773923</v>
      </c>
      <c r="D69" s="5" t="n">
        <f aca="false">STDEV(C67:C69)</f>
        <v>0.645812332456537</v>
      </c>
      <c r="E69" s="5" t="n">
        <f aca="false">STDEV(C58:C69)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LN(B70/B69)*100</f>
        <v>-0.125211539113834</v>
      </c>
      <c r="D70" s="5" t="n">
        <f aca="false">STDEV(C68:C70)</f>
        <v>0.270675358370937</v>
      </c>
      <c r="E70" s="5" t="n">
        <f aca="false">STDEV(C59:C70)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LN(B71/B70)*100</f>
        <v>-0.0387500011320083</v>
      </c>
      <c r="D71" s="5" t="n">
        <f aca="false">STDEV(C69:C71)</f>
        <v>0.3368144238677</v>
      </c>
      <c r="E71" s="5" t="n">
        <f aca="false">STDEV(C60:C71)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LN(B72/B71)*100</f>
        <v>0.678320681692849</v>
      </c>
      <c r="D72" s="5" t="n">
        <f aca="false">STDEV(C70:C72)</f>
        <v>0.441083890658684</v>
      </c>
      <c r="E72" s="5" t="n">
        <f aca="false">STDEV(C61:C72)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LN(B73/B72)*100</f>
        <v>0.486626801038158</v>
      </c>
      <c r="D73" s="5" t="n">
        <f aca="false">STDEV(C71:C73)</f>
        <v>0.371249622290697</v>
      </c>
      <c r="E73" s="5" t="n">
        <f aca="false">STDEV(C62:C73)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LN(B74/B73)*100</f>
        <v>3.17763146918707</v>
      </c>
      <c r="D74" s="5" t="n">
        <f aca="false">STDEV(C72:C74)</f>
        <v>1.50137753859385</v>
      </c>
      <c r="E74" s="5" t="n">
        <f aca="false">STDEV(C63:C74)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LN(B75/B74)*100</f>
        <v>1.09717311413044</v>
      </c>
      <c r="D75" s="5" t="n">
        <f aca="false">STDEV(C73:C75)</f>
        <v>1.41082599278784</v>
      </c>
      <c r="E75" s="5" t="n">
        <f aca="false">STDEV(C64:C75)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LN(B76/B75)*100</f>
        <v>-2.03748069918874</v>
      </c>
      <c r="D76" s="5" t="n">
        <f aca="false">STDEV(C74:C76)</f>
        <v>2.62525415992506</v>
      </c>
      <c r="E76" s="5" t="n">
        <f aca="false">STDEV(C65:C76)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LN(B77/B76)*100</f>
        <v>-0.805945096454015</v>
      </c>
      <c r="D77" s="5" t="n">
        <f aca="false">STDEV(C75:C77)</f>
        <v>1.57927163557645</v>
      </c>
      <c r="E77" s="5" t="n">
        <f aca="false">STDEV(C66:C77)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LN(B78/B77)*100</f>
        <v>-0.306238045568545</v>
      </c>
      <c r="D78" s="5" t="n">
        <f aca="false">STDEV(C76:C78)</f>
        <v>0.891028263975739</v>
      </c>
      <c r="E78" s="5" t="n">
        <f aca="false">STDEV(C67:C78)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LN(B79/B78)*100</f>
        <v>-1.7165238214155</v>
      </c>
      <c r="D79" s="5" t="n">
        <f aca="false">STDEV(C77:C79)</f>
        <v>0.715048567186571</v>
      </c>
      <c r="E79" s="5" t="n">
        <f aca="false">STDEV(C68:C79)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LN(B80/B79)*100</f>
        <v>-0.43860570726479</v>
      </c>
      <c r="D80" s="5" t="n">
        <f aca="false">STDEV(C78:C80)</f>
        <v>0.77883479997298</v>
      </c>
      <c r="E80" s="5" t="n">
        <f aca="false">STDEV(C69:C80)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LN(B81/B80)*100</f>
        <v>1.0077334481346</v>
      </c>
      <c r="D81" s="5" t="n">
        <f aca="false">STDEV(C79:C81)</f>
        <v>1.36299604606986</v>
      </c>
      <c r="E81" s="5" t="n">
        <f aca="false">STDEV(C70:C81)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LN(B82/B81)*100</f>
        <v>-1.1698539728232</v>
      </c>
      <c r="D82" s="5" t="n">
        <f aca="false">STDEV(C80:C82)</f>
        <v>1.10818981182807</v>
      </c>
      <c r="E82" s="5" t="n">
        <f aca="false">STDEV(C71:C82)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LN(B83/B82)*100</f>
        <v>-0.495335968210093</v>
      </c>
      <c r="D83" s="5" t="n">
        <f aca="false">STDEV(C81:C83)</f>
        <v>1.11475551765186</v>
      </c>
      <c r="E83" s="5" t="n">
        <f aca="false">STDEV(C72:C83)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LN(B84/B83)*100</f>
        <v>-0.673013732465595</v>
      </c>
      <c r="D84" s="5" t="n">
        <f aca="false">STDEV(C82:C84)</f>
        <v>0.349617445907353</v>
      </c>
      <c r="E84" s="5" t="n">
        <f aca="false">STDEV(C73:C84)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LN(B85/B84)*100</f>
        <v>-2.55239913511018</v>
      </c>
      <c r="D85" s="5" t="n">
        <f aca="false">STDEV(C83:C85)</f>
        <v>1.13982219024149</v>
      </c>
      <c r="E85" s="5" t="n">
        <f aca="false">STDEV(C74:C85)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LN(B86/B85)*100</f>
        <v>-3.805505778785</v>
      </c>
      <c r="D86" s="5" t="n">
        <f aca="false">STDEV(C84:C86)</f>
        <v>1.5766458158778</v>
      </c>
      <c r="E86" s="5" t="n">
        <f aca="false">STDEV(C75:C86)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LN(B87/B86)*100</f>
        <v>-2.4183132367766</v>
      </c>
      <c r="D87" s="5" t="n">
        <f aca="false">STDEV(C85:C87)</f>
        <v>0.765131626710682</v>
      </c>
      <c r="E87" s="5" t="n">
        <f aca="false">STDEV(C76:C87)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LN(B88/B87)*100</f>
        <v>1.45798915985968</v>
      </c>
      <c r="D88" s="5" t="n">
        <f aca="false">STDEV(C86:C88)</f>
        <v>2.72807631821124</v>
      </c>
      <c r="E88" s="5" t="n">
        <f aca="false">STDEV(C77:C88)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LN(B89/B88)*100</f>
        <v>-2.07418175244604</v>
      </c>
      <c r="D89" s="5" t="n">
        <f aca="false">STDEV(C87:C89)</f>
        <v>2.14555269112702</v>
      </c>
      <c r="E89" s="5" t="n">
        <f aca="false">STDEV(C78:C89)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LN(B90/B89)*100</f>
        <v>-0.255868784113634</v>
      </c>
      <c r="D90" s="5" t="n">
        <f aca="false">STDEV(C88:C90)</f>
        <v>1.76634285350008</v>
      </c>
      <c r="E90" s="5" t="n">
        <f aca="false">STDEV(C79:C90)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LN(B91/B90)*100</f>
        <v>-0.943172578436849</v>
      </c>
      <c r="D91" s="5" t="n">
        <f aca="false">STDEV(C89:C91)</f>
        <v>0.918134912761543</v>
      </c>
      <c r="E91" s="5" t="n">
        <f aca="false">STDEV(C80:C91)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LN(B92/B91)*100</f>
        <v>-4.93285672526802</v>
      </c>
      <c r="D92" s="5" t="n">
        <f aca="false">STDEV(C90:C92)</f>
        <v>2.52534427682216</v>
      </c>
      <c r="E92" s="5" t="n">
        <f aca="false">STDEV(C81:C92)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LN(B93/B92)*100</f>
        <v>-0.0119219109325181</v>
      </c>
      <c r="D93" s="5" t="n">
        <f aca="false">STDEV(C91:C93)</f>
        <v>2.61407749324507</v>
      </c>
      <c r="E93" s="5" t="n">
        <f aca="false">STDEV(C82:C93)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LN(B94/B93)*100</f>
        <v>0.131439120860782</v>
      </c>
      <c r="D94" s="5" t="n">
        <f aca="false">STDEV(C92:C94)</f>
        <v>2.88337892785223</v>
      </c>
      <c r="E94" s="5" t="n">
        <f aca="false">STDEV(C83:C94)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LN(B95/B94)*100</f>
        <v>-0.182881605112033</v>
      </c>
      <c r="D95" s="5" t="n">
        <f aca="false">STDEV(C93:C95)</f>
        <v>0.157362173158434</v>
      </c>
      <c r="E95" s="5" t="n">
        <f aca="false">STDEV(C84:C95)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LN(B96/B95)*100</f>
        <v>-5.8937275593325</v>
      </c>
      <c r="D96" s="5" t="n">
        <f aca="false">STDEV(C94:C96)</f>
        <v>3.39153830770355</v>
      </c>
      <c r="E96" s="5" t="n">
        <f aca="false">STDEV(C85:C96)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LN(B97/B96)*100</f>
        <v>-5.9805939286053</v>
      </c>
      <c r="D97" s="5" t="n">
        <f aca="false">STDEV(C95:C97)</f>
        <v>3.32251850922692</v>
      </c>
      <c r="E97" s="5" t="n">
        <f aca="false">STDEV(C86:C97)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LN(B98/B97)*100</f>
        <v>0.651514953142455</v>
      </c>
      <c r="D98" s="5" t="n">
        <f aca="false">STDEV(C96:C98)</f>
        <v>3.80422163594993</v>
      </c>
      <c r="E98" s="5" t="n">
        <f aca="false">STDEV(C87:C98)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LN(B99/B98)*100</f>
        <v>2.71085342454731</v>
      </c>
      <c r="D99" s="5" t="n">
        <f aca="false">STDEV(C97:C99)</f>
        <v>4.5417874647872</v>
      </c>
      <c r="E99" s="5" t="n">
        <f aca="false">STDEV(C88:C99)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LN(B100/B99)*100</f>
        <v>-0.505790450917729</v>
      </c>
      <c r="D100" s="5" t="n">
        <f aca="false">STDEV(C98:C100)</f>
        <v>1.62926509811642</v>
      </c>
      <c r="E100" s="5" t="n">
        <f aca="false">STDEV(C89:C100)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LN(B101/B100)*100</f>
        <v>4.08187649295606</v>
      </c>
      <c r="D101" s="5" t="n">
        <f aca="false">STDEV(C99:C101)</f>
        <v>2.35489525823648</v>
      </c>
      <c r="E101" s="5" t="n">
        <f aca="false">STDEV(C90:C101)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LN(B102/B101)*100</f>
        <v>-3.06515459484771</v>
      </c>
      <c r="D102" s="5" t="n">
        <f aca="false">STDEV(C100:C102)</f>
        <v>3.62116662092896</v>
      </c>
      <c r="E102" s="5" t="n">
        <f aca="false">STDEV(C91:C102)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LN(B103/B102)*100</f>
        <v>-2.17764014430102</v>
      </c>
      <c r="D103" s="5" t="n">
        <f aca="false">STDEV(C101:C103)</f>
        <v>3.89549491511372</v>
      </c>
      <c r="E103" s="5" t="n">
        <f aca="false">STDEV(C92:C103)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LN(B104/B103)*100</f>
        <v>0.072997225384285</v>
      </c>
      <c r="D104" s="5" t="n">
        <f aca="false">STDEV(C102:C104)</f>
        <v>1.61766536076834</v>
      </c>
      <c r="E104" s="5" t="n">
        <f aca="false">STDEV(C93:C104)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LN(B105/B104)*100</f>
        <v>-2.99652809859844</v>
      </c>
      <c r="D105" s="5" t="n">
        <f aca="false">STDEV(C103:C105)</f>
        <v>1.58944076989826</v>
      </c>
      <c r="E105" s="5" t="n">
        <f aca="false">STDEV(C94:C105)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LN(B106/B105)*100</f>
        <v>1.70023146715485</v>
      </c>
      <c r="D106" s="5" t="n">
        <f aca="false">STDEV(C104:C106)</f>
        <v>2.38500270477334</v>
      </c>
      <c r="E106" s="5" t="n">
        <f aca="false">STDEV(C95:C106)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LN(B107/B106)*100</f>
        <v>2.30323900493817</v>
      </c>
      <c r="D107" s="5" t="n">
        <f aca="false">STDEV(C105:C107)</f>
        <v>2.90145652678235</v>
      </c>
      <c r="E107" s="5" t="n">
        <f aca="false">STDEV(C96:C107)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LN(B108/B107)*100</f>
        <v>-0.678052872689304</v>
      </c>
      <c r="D108" s="5" t="n">
        <f aca="false">STDEV(C106:C108)</f>
        <v>1.57628020729073</v>
      </c>
      <c r="E108" s="5" t="n">
        <f aca="false">STDEV(C97:C108)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LN(B109/B108)*100</f>
        <v>-0.696188305089656</v>
      </c>
      <c r="D109" s="5" t="n">
        <f aca="false">STDEV(C107:C109)</f>
        <v>1.72650872869966</v>
      </c>
      <c r="E109" s="5" t="n">
        <f aca="false">STDEV(C98:C109)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LN(B110/B109)*100</f>
        <v>-1.63916463740936</v>
      </c>
      <c r="D110" s="5" t="n">
        <f aca="false">STDEV(C108:C110)</f>
        <v>0.549737677064672</v>
      </c>
      <c r="E110" s="5" t="n">
        <f aca="false">STDEV(C99:C110)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LN(B111/B110)*100</f>
        <v>0.249976326926377</v>
      </c>
      <c r="D111" s="5" t="n">
        <f aca="false">STDEV(C109:C111)</f>
        <v>0.944570930575052</v>
      </c>
      <c r="E111" s="5" t="n">
        <f aca="false">STDEV(C100:C111)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LN(B112/B111)*100</f>
        <v>-0.502333300517367</v>
      </c>
      <c r="D112" s="5" t="n">
        <f aca="false">STDEV(C110:C112)</f>
        <v>0.95107034853856</v>
      </c>
      <c r="E112" s="5" t="n">
        <f aca="false">STDEV(C101:C112)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LN(B113/B112)*100</f>
        <v>-1.26441190729532</v>
      </c>
      <c r="D113" s="5" t="n">
        <f aca="false">STDEV(C111:C113)</f>
        <v>0.757199368550789</v>
      </c>
      <c r="E113" s="5" t="n">
        <f aca="false">STDEV(C102:C113)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LN(B114/B113)*100</f>
        <v>-2.04018496700234</v>
      </c>
      <c r="D114" s="5" t="n">
        <f aca="false">STDEV(C112:C114)</f>
        <v>0.76893599551441</v>
      </c>
      <c r="E114" s="5" t="n">
        <f aca="false">STDEV(C103:C114)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LN(B115/B114)*100</f>
        <v>-5.79711857220378</v>
      </c>
      <c r="D115" s="5" t="n">
        <f aca="false">STDEV(C113:C115)</f>
        <v>2.42424571307464</v>
      </c>
      <c r="E115" s="5" t="n">
        <f aca="false">STDEV(C104:C115)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LN(B116/B115)*100</f>
        <v>-1.78398313651627</v>
      </c>
      <c r="D116" s="5" t="n">
        <f aca="false">STDEV(C114:C116)</f>
        <v>2.24668071893505</v>
      </c>
      <c r="E116" s="5" t="n">
        <f aca="false">STDEV(C105:C116)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LN(B117/B116)*100</f>
        <v>0.082586469690026</v>
      </c>
      <c r="D117" s="5" t="n">
        <f aca="false">STDEV(C115:C117)</f>
        <v>3.00444863215797</v>
      </c>
      <c r="E117" s="5" t="n">
        <f aca="false">STDEV(C106:C117)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LN(B118/B117)*100</f>
        <v>2.84185555026446</v>
      </c>
      <c r="D118" s="5" t="n">
        <f aca="false">STDEV(C116:C118)</f>
        <v>2.32723124155238</v>
      </c>
      <c r="E118" s="5" t="n">
        <f aca="false">STDEV(C107:C118)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LN(B119/B118)*100</f>
        <v>16.1964400030657</v>
      </c>
      <c r="D119" s="5" t="n">
        <f aca="false">STDEV(C117:C119)</f>
        <v>8.61795381225631</v>
      </c>
      <c r="E119" s="5" t="n">
        <f aca="false">STDEV(C108:C119)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LN(B120/B119)*100</f>
        <v>-5.82896384800064</v>
      </c>
      <c r="D120" s="5" t="n">
        <f aca="false">STDEV(C118:C120)</f>
        <v>11.0953928107338</v>
      </c>
      <c r="E120" s="5" t="n">
        <f aca="false">STDEV(C109:C120)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LN(B121/B120)*100</f>
        <v>-3.55212041800086</v>
      </c>
      <c r="D121" s="5" t="n">
        <f aca="false">STDEV(C119:C121)</f>
        <v>12.1127210644555</v>
      </c>
      <c r="E121" s="5" t="n">
        <f aca="false">STDEV(C110:C121)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LN(B122/B121)*100</f>
        <v>0.392578128297169</v>
      </c>
      <c r="D122" s="5" t="n">
        <f aca="false">STDEV(C120:C122)</f>
        <v>3.14781001091062</v>
      </c>
      <c r="E122" s="5" t="n">
        <f aca="false">STDEV(C111:C122)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LN(B123/B122)*100</f>
        <v>5.36267377088092</v>
      </c>
      <c r="D123" s="5" t="n">
        <f aca="false">STDEV(C121:C123)</f>
        <v>4.46721488080504</v>
      </c>
      <c r="E123" s="5" t="n">
        <f aca="false">STDEV(C112:C123)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LN(B124/B123)*100</f>
        <v>-4.36146507908793</v>
      </c>
      <c r="D124" s="5" t="n">
        <f aca="false">STDEV(C122:C124)</f>
        <v>4.8624694324247</v>
      </c>
      <c r="E124" s="5" t="n">
        <f aca="false">STDEV(C113:C124)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LN(B125/B124)*100</f>
        <v>-2.56691407716598</v>
      </c>
      <c r="D125" s="5" t="n">
        <f aca="false">STDEV(C123:C125)</f>
        <v>5.17457974319116</v>
      </c>
      <c r="E125" s="5" t="n">
        <f aca="false">STDEV(C114:C125)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LN(B126/B125)*100</f>
        <v>-1.04665092889411</v>
      </c>
      <c r="D126" s="5" t="n">
        <f aca="false">STDEV(C124:C126)</f>
        <v>1.659297350729</v>
      </c>
      <c r="E126" s="5" t="n">
        <f aca="false">STDEV(C115:C126)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LN(B127/B126)*100</f>
        <v>3.19719500353687</v>
      </c>
      <c r="D127" s="5" t="n">
        <f aca="false">STDEV(C125:C127)</f>
        <v>2.98737292149378</v>
      </c>
      <c r="E127" s="5" t="n">
        <f aca="false">STDEV(C116:C127)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LN(B128/B127)*100</f>
        <v>-1.46167797757907</v>
      </c>
      <c r="D128" s="5" t="n">
        <f aca="false">STDEV(C126:C128)</f>
        <v>2.57835778495807</v>
      </c>
      <c r="E128" s="5" t="n">
        <f aca="false">STDEV(C117:C128)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LN(B129/B128)*100</f>
        <v>-2.57588929549234</v>
      </c>
      <c r="D129" s="5" t="n">
        <f aca="false">STDEV(C127:C129)</f>
        <v>3.06254432998762</v>
      </c>
      <c r="E129" s="5" t="n">
        <f aca="false">STDEV(C118:C129)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LN(B130/B129)*100</f>
        <v>-0.326669451287245</v>
      </c>
      <c r="D130" s="5" t="n">
        <f aca="false">STDEV(C128:C130)</f>
        <v>1.12462594694763</v>
      </c>
      <c r="E130" s="5" t="n">
        <f aca="false">STDEV(C119:C130)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LN(B131/B130)*100</f>
        <v>-1.32539314321256</v>
      </c>
      <c r="D131" s="5" t="n">
        <f aca="false">STDEV(C129:C131)</f>
        <v>1.12695604374834</v>
      </c>
      <c r="E131" s="5" t="n">
        <f aca="false">STDEV(C120:C131)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LN(B132/B131)*100</f>
        <v>-1.35437629451948</v>
      </c>
      <c r="D132" s="5" t="n">
        <f aca="false">STDEV(C130:C132)</f>
        <v>0.585159578163508</v>
      </c>
      <c r="E132" s="5" t="n">
        <f aca="false">STDEV(C121:C132)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LN(B133/B132)*100</f>
        <v>1.91643496682725</v>
      </c>
      <c r="D133" s="5" t="n">
        <f aca="false">STDEV(C131:C133)</f>
        <v>1.88009289776935</v>
      </c>
      <c r="E133" s="5" t="n">
        <f aca="false">STDEV(C122:C133)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LN(B134/B133)*100</f>
        <v>-2.22144821937714</v>
      </c>
      <c r="D134" s="5" t="n">
        <f aca="false">STDEV(C132:C134)</f>
        <v>2.18220443943359</v>
      </c>
      <c r="E134" s="5" t="n">
        <f aca="false">STDEV(C123:C134)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LN(B135/B134)*100</f>
        <v>-1.28775300236011</v>
      </c>
      <c r="D135" s="5" t="n">
        <f aca="false">STDEV(C133:C135)</f>
        <v>2.17027972708737</v>
      </c>
      <c r="E135" s="5" t="n">
        <f aca="false">STDEV(C124:C135)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LN(B136/B135)*100</f>
        <v>0.357177714644906</v>
      </c>
      <c r="D136" s="5" t="n">
        <f aca="false">STDEV(C134:C136)</f>
        <v>1.30555834349639</v>
      </c>
      <c r="E136" s="5" t="n">
        <f aca="false">STDEV(C125:C136)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LN(B137/B136)*100</f>
        <v>-1.03055340762553</v>
      </c>
      <c r="D137" s="5" t="n">
        <f aca="false">STDEV(C135:C137)</f>
        <v>0.884848985514498</v>
      </c>
      <c r="E137" s="5" t="n">
        <f aca="false">STDEV(C126:C137)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LN(B138/B137)*100</f>
        <v>4.4192396571595</v>
      </c>
      <c r="D138" s="5" t="n">
        <f aca="false">STDEV(C136:C138)</f>
        <v>2.83214845837109</v>
      </c>
      <c r="E138" s="5" t="n">
        <f aca="false">STDEV(C127:C138)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LN(B139/B138)*100</f>
        <v>-0.697335029748531</v>
      </c>
      <c r="D139" s="5" t="n">
        <f aca="false">STDEV(C137:C139)</f>
        <v>3.05479446834649</v>
      </c>
      <c r="E139" s="5" t="n">
        <f aca="false">STDEV(C128:C139)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LN(B140/B139)*100</f>
        <v>-0.995376752383034</v>
      </c>
      <c r="D140" s="5" t="n">
        <f aca="false">STDEV(C138:C140)</f>
        <v>3.04374320690895</v>
      </c>
      <c r="E140" s="5" t="n">
        <f aca="false">STDEV(C129:C140)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LN(B141/B140)*100</f>
        <v>1.69231614482731</v>
      </c>
      <c r="D141" s="5" t="n">
        <f aca="false">STDEV(C139:C141)</f>
        <v>1.47325912601379</v>
      </c>
      <c r="E141" s="5" t="n">
        <f aca="false">STDEV(C130:C141)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LN(B142/B141)*100</f>
        <v>4.44954395855907</v>
      </c>
      <c r="D142" s="5" t="n">
        <f aca="false">STDEV(C140:C142)</f>
        <v>2.72253435469531</v>
      </c>
      <c r="E142" s="5" t="n">
        <f aca="false">STDEV(C131:C142)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LN(B143/B142)*100</f>
        <v>-0.778213322199913</v>
      </c>
      <c r="D143" s="5" t="n">
        <f aca="false">STDEV(C141:C143)</f>
        <v>2.61518856078596</v>
      </c>
      <c r="E143" s="5" t="n">
        <f aca="false">STDEV(C132:C143)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LN(B144/B143)*100</f>
        <v>-1.81710392832371</v>
      </c>
      <c r="D144" s="5" t="n">
        <f aca="false">STDEV(C142:C144)</f>
        <v>3.35856158735138</v>
      </c>
      <c r="E144" s="5" t="n">
        <f aca="false">STDEV(C133:C144)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LN(B145/B144)*100</f>
        <v>-0.487744803401117</v>
      </c>
      <c r="D145" s="5" t="n">
        <f aca="false">STDEV(C143:C145)</f>
        <v>0.69891121693202</v>
      </c>
      <c r="E145" s="5" t="n">
        <f aca="false">STDEV(C134:C145)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LN(B146/B145)*100</f>
        <v>1.85492188845688</v>
      </c>
      <c r="D146" s="5" t="n">
        <f aca="false">STDEV(C144:C146)</f>
        <v>1.85916901290419</v>
      </c>
      <c r="E146" s="5" t="n">
        <f aca="false">STDEV(C135:C146)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LN(B147/B146)*100</f>
        <v>4.95947886861316</v>
      </c>
      <c r="D147" s="5" t="n">
        <f aca="false">STDEV(C145:C147)</f>
        <v>2.73247772193208</v>
      </c>
      <c r="E147" s="5" t="n">
        <f aca="false">STDEV(C136:C147)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LN(B148/B147)*100</f>
        <v>-0.420813910550384</v>
      </c>
      <c r="D148" s="5" t="n">
        <f aca="false">STDEV(C146:C148)</f>
        <v>2.70076525758409</v>
      </c>
      <c r="E148" s="5" t="n">
        <f aca="false">STDEV(C137:C148)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LN(B149/B148)*100</f>
        <v>2.89458354718984</v>
      </c>
      <c r="D149" s="5" t="n">
        <f aca="false">STDEV(C147:C149)</f>
        <v>2.71425875027743</v>
      </c>
      <c r="E149" s="5" t="n">
        <f aca="false">STDEV(C138:C149)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LN(B150/B149)*100</f>
        <v>3.82752420279639</v>
      </c>
      <c r="D150" s="5" t="n">
        <f aca="false">STDEV(C148:C150)</f>
        <v>2.23273432122248</v>
      </c>
      <c r="E150" s="5" t="n">
        <f aca="false">STDEV(C139:C150)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LN(B151/B150)*100</f>
        <v>2.10323983334763</v>
      </c>
      <c r="D151" s="5" t="n">
        <f aca="false">STDEV(C149:C151)</f>
        <v>0.863110627039053</v>
      </c>
      <c r="E151" s="5" t="n">
        <f aca="false">STDEV(C140:C151)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LN(B152/B151)*100</f>
        <v>-2.48613523614704</v>
      </c>
      <c r="D152" s="5" t="n">
        <f aca="false">STDEV(C150:C152)</f>
        <v>3.26337799491529</v>
      </c>
      <c r="E152" s="5" t="n">
        <f aca="false">STDEV(C141:C152)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LN(B153/B152)*100</f>
        <v>-0.965525728265579</v>
      </c>
      <c r="D153" s="5" t="n">
        <f aca="false">STDEV(C151:C153)</f>
        <v>2.33780305971589</v>
      </c>
      <c r="E153" s="5" t="n">
        <f aca="false">STDEV(C142:C153)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LN(B154/B153)*100</f>
        <v>2.81382638858509</v>
      </c>
      <c r="D154" s="5" t="n">
        <f aca="false">STDEV(C152:C154)</f>
        <v>2.7290214645008</v>
      </c>
      <c r="E154" s="5" t="n">
        <f aca="false">STDEV(C143:C154)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LN(B155/B154)*100</f>
        <v>-0.811463977905334</v>
      </c>
      <c r="D155" s="5" t="n">
        <f aca="false">STDEV(C153:C155)</f>
        <v>2.13892370471054</v>
      </c>
      <c r="E155" s="5" t="n">
        <f aca="false">STDEV(C144:C155)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LN(B156/B155)*100</f>
        <v>1.21798676244252</v>
      </c>
      <c r="D156" s="5" t="n">
        <f aca="false">STDEV(C154:C156)</f>
        <v>1.8169619635183</v>
      </c>
      <c r="E156" s="5" t="n">
        <f aca="false">STDEV(C145:C156)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LN(B157/B156)*100</f>
        <v>3.55620545403232</v>
      </c>
      <c r="D157" s="5" t="n">
        <f aca="false">STDEV(C155:C157)</f>
        <v>2.18565296207948</v>
      </c>
      <c r="E157" s="5" t="n">
        <f aca="false">STDEV(C146:C157)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</v>
      </c>
      <c r="C158" s="5" t="n">
        <f aca="false">LN(B158/B157)*100</f>
        <v>7.20972691527601</v>
      </c>
      <c r="D158" s="5" t="n">
        <f aca="false">STDEV(C156:C158)</f>
        <v>3.01983541981306</v>
      </c>
      <c r="E158" s="5" t="n">
        <f aca="false">STDEV(C147:C158)</f>
        <v>2.80307869271783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LN(B159/B158)*100</f>
        <v>0.589781900898942</v>
      </c>
      <c r="D159" s="5" t="n">
        <f aca="false">STDEV(C157:C159)</f>
        <v>3.31591012538359</v>
      </c>
      <c r="E159" s="5" t="n">
        <f aca="false">STDEV(C148:C159)</f>
        <v>2.66278972398218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LN(B160/B159)*100</f>
        <v>-5.2676861849554</v>
      </c>
      <c r="D160" s="5" t="n">
        <f aca="false">STDEV(C158:C160)</f>
        <v>6.24258816576378</v>
      </c>
      <c r="E160" s="5" t="n">
        <f aca="false">STDEV(C149:C160)</f>
        <v>3.29440852204667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LN(B161/B160)*100</f>
        <v>-3.69997193403231</v>
      </c>
      <c r="D161" s="5" t="n">
        <f aca="false">STDEV(C159:C161)</f>
        <v>3.03231617507302</v>
      </c>
      <c r="E161" s="5" t="n">
        <f aca="false">STDEV(C150:C161)</f>
        <v>3.53178444444771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LN(B162/B161)*100</f>
        <v>8.04762406341038</v>
      </c>
      <c r="D162" s="5" t="n">
        <f aca="false">STDEV(C160:C162)</f>
        <v>7.27737620645785</v>
      </c>
      <c r="E162" s="5" t="n">
        <f aca="false">STDEV(C151:C162)</f>
        <v>4.04688852547126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LN(B163/B162)*100</f>
        <v>0.188159644404626</v>
      </c>
      <c r="D163" s="5" t="n">
        <f aca="false">STDEV(C161:C163)</f>
        <v>5.98462975524228</v>
      </c>
      <c r="E163" s="5" t="n">
        <f aca="false">STDEV(C152:C163)</f>
        <v>4.03828131176143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LN(B164/B163)*100</f>
        <v>-1.50781121526923</v>
      </c>
      <c r="D164" s="5" t="n">
        <f aca="false">STDEV(C162:C164)</f>
        <v>5.09826508849686</v>
      </c>
      <c r="E164" s="5" t="n">
        <f aca="false">STDEV(C153:C164)</f>
        <v>3.9738142725363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LN(B165/B164)*100</f>
        <v>2.46160262041768</v>
      </c>
      <c r="D165" s="5" t="n">
        <f aca="false">STDEV(C163:C165)</f>
        <v>1.99169552228701</v>
      </c>
      <c r="E165" s="5" t="n">
        <f aca="false">STDEV(C154:C165)</f>
        <v>3.94688350947306</v>
      </c>
    </row>
    <row r="166" customFormat="false" ht="15" hidden="false" customHeight="false" outlineLevel="0" collapsed="false">
      <c r="A166" s="5" t="s">
        <v>187</v>
      </c>
      <c r="B166" s="5" t="n">
        <v>378.945454545454</v>
      </c>
      <c r="C166" s="5" t="n">
        <f aca="false">LN(B166/B165)*100</f>
        <v>5.19342858432615</v>
      </c>
      <c r="D166" s="5" t="n">
        <f aca="false">STDEV(C164:C166)</f>
        <v>3.36961259266077</v>
      </c>
      <c r="E166" s="5" t="n">
        <f aca="false">STDEV(C155:C166)</f>
        <v>4.09067793135212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LN(B167/B166)*100</f>
        <v>-0.00683217390907657</v>
      </c>
      <c r="D167" s="5" t="n">
        <f aca="false">STDEV(C165:C167)</f>
        <v>2.60124186318025</v>
      </c>
      <c r="E167" s="5" t="n">
        <f aca="false">STDEV(C156:C167)</f>
        <v>4.05702668365757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LN(B168/B167)*100</f>
        <v>2.85919896807971</v>
      </c>
      <c r="D168" s="5" t="n">
        <f aca="false">STDEV(C166:C168)</f>
        <v>2.60465846647415</v>
      </c>
      <c r="E168" s="5" t="n">
        <f aca="false">STDEV(C157:C168)</f>
        <v>4.07433665753406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LN(B169/B168)*100</f>
        <v>4.27808510808952</v>
      </c>
      <c r="D169" s="5" t="n">
        <f aca="false">STDEV(C167:C169)</f>
        <v>2.18280738571271</v>
      </c>
      <c r="E169" s="5" t="n">
        <f aca="false">STDEV(C158:C169)</f>
        <v>4.11044613323694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LN(B170/B169)*100</f>
        <v>1.66572011933136</v>
      </c>
      <c r="D170" s="5" t="n">
        <f aca="false">STDEV(C168:C170)</f>
        <v>1.3078022579383</v>
      </c>
      <c r="E170" s="5" t="n">
        <f aca="false">STDEV(C159:C170)</f>
        <v>3.72809547603487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LN(B171/B170)*100</f>
        <v>-2.17694433180942</v>
      </c>
      <c r="D171" s="5" t="n">
        <f aca="false">STDEV(C169:C171)</f>
        <v>3.24699671461985</v>
      </c>
      <c r="E171" s="5" t="n">
        <f aca="false">STDEV(C160:C171)</f>
        <v>3.85491647545239</v>
      </c>
    </row>
    <row r="172" customFormat="false" ht="15" hidden="false" customHeight="false" outlineLevel="0" collapsed="false">
      <c r="A172" s="5" t="s">
        <v>193</v>
      </c>
      <c r="B172" s="5" t="n">
        <v>406.667391304347</v>
      </c>
      <c r="C172" s="5" t="n">
        <f aca="false">LN(B172/B171)*100</f>
        <v>0.441107873581887</v>
      </c>
      <c r="D172" s="5" t="n">
        <f aca="false">STDEV(C170:C172)</f>
        <v>1.96298847791893</v>
      </c>
      <c r="E172" s="5" t="n">
        <f aca="false">STDEV(C161:C172)</f>
        <v>3.32680443966623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LN(B173/B172)*100</f>
        <v>-0.841411574361075</v>
      </c>
      <c r="D173" s="5" t="n">
        <f aca="false">STDEV(C171:C173)</f>
        <v>1.30911555580627</v>
      </c>
      <c r="E173" s="5" t="n">
        <f aca="false">STDEV(C162:C173)</f>
        <v>3.00949595614327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LN(B174/B173)*100</f>
        <v>-4.95147862715606</v>
      </c>
      <c r="D174" s="5" t="n">
        <f aca="false">STDEV(C172:C174)</f>
        <v>2.8171349654322</v>
      </c>
      <c r="E174" s="5" t="n">
        <f aca="false">STDEV(C163:C174)</f>
        <v>2.85933323832943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LN(B175/B174)*100</f>
        <v>2.2145493974357</v>
      </c>
      <c r="D175" s="5" t="n">
        <f aca="false">STDEV(C173:C175)</f>
        <v>3.59591217655202</v>
      </c>
      <c r="E175" s="5" t="n">
        <f aca="false">STDEV(C164:C175)</f>
        <v>2.89030628812672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LN(B176/B175)*100</f>
        <v>1.44681710903018</v>
      </c>
      <c r="D176" s="5" t="n">
        <f aca="false">STDEV(C174:C176)</f>
        <v>3.93445377071993</v>
      </c>
      <c r="E176" s="5" t="n">
        <f aca="false">STDEV(C165:C176)</f>
        <v>2.80005003904944</v>
      </c>
    </row>
    <row r="177" customFormat="false" ht="15" hidden="false" customHeight="false" outlineLevel="0" collapsed="false">
      <c r="A177" s="5" t="s">
        <v>198</v>
      </c>
      <c r="B177" s="5" t="n">
        <v>400.509523809523</v>
      </c>
      <c r="C177" s="5" t="n">
        <f aca="false">LN(B177/B176)*100</f>
        <v>0.605715202170994</v>
      </c>
      <c r="D177" s="5" t="n">
        <f aca="false">STDEV(C175:C177)</f>
        <v>0.804695879637721</v>
      </c>
      <c r="E177" s="5" t="n">
        <f aca="false">STDEV(C166:C177)</f>
        <v>2.76595907046879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LN(B178/B177)*100</f>
        <v>1.18283030028992</v>
      </c>
      <c r="D178" s="5" t="n">
        <f aca="false">STDEV(C176:C178)</f>
        <v>0.430155648067812</v>
      </c>
      <c r="E178" s="5" t="n">
        <f aca="false">STDEV(C167:C178)</f>
        <v>2.41987460807979</v>
      </c>
    </row>
    <row r="179" customFormat="false" ht="15" hidden="false" customHeight="false" outlineLevel="0" collapsed="false">
      <c r="A179" s="5" t="s">
        <v>200</v>
      </c>
      <c r="B179" s="5" t="n">
        <v>420.464285714285</v>
      </c>
      <c r="C179" s="5" t="n">
        <f aca="false">LN(B179/B178)*100</f>
        <v>3.67936938753544</v>
      </c>
      <c r="D179" s="5" t="n">
        <f aca="false">STDEV(C177:C179)</f>
        <v>1.63366251624124</v>
      </c>
      <c r="E179" s="5" t="n">
        <f aca="false">STDEV(C168:C179)</f>
        <v>2.57067685375946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LN(B180/B179)*100</f>
        <v>4.39937196619383</v>
      </c>
      <c r="D180" s="5" t="n">
        <f aca="false">STDEV(C178:C180)</f>
        <v>1.68805861943611</v>
      </c>
      <c r="E180" s="5" t="n">
        <f aca="false">STDEV(C169:C180)</f>
        <v>2.7136591333403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LN(B181/B180)*100</f>
        <v>0.6135217518899</v>
      </c>
      <c r="D181" s="5" t="n">
        <f aca="false">STDEV(C179:C181)</f>
        <v>2.01040987874833</v>
      </c>
      <c r="E181" s="5" t="n">
        <f aca="false">STDEV(C170:C181)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LN(B182/B181)*100</f>
        <v>-4.16842726378865</v>
      </c>
      <c r="D182" s="5" t="n">
        <f aca="false">STDEV(C180:C182)</f>
        <v>4.29353936900126</v>
      </c>
      <c r="E182" s="5" t="n">
        <f aca="false">STDEV(C171:C182)</f>
        <v>2.84554698709954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LN(B183/B182)*100</f>
        <v>-0.160494735765566</v>
      </c>
      <c r="D183" s="5" t="n">
        <f aca="false">STDEV(C181:C183)</f>
        <v>2.56676388541736</v>
      </c>
      <c r="E183" s="5" t="n">
        <f aca="false">STDEV(C172:C183)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434.321428571428</v>
      </c>
      <c r="C184" s="5" t="n">
        <f aca="false">LN(B184/B183)*100</f>
        <v>2.55856187175081</v>
      </c>
      <c r="D184" s="5" t="n">
        <f aca="false">STDEV(C182:C184)</f>
        <v>3.38401080607341</v>
      </c>
      <c r="E184" s="5" t="n">
        <f aca="false">STDEV(C173:C184)</f>
        <v>2.82196211483912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LN(B185/B184)*100</f>
        <v>-1.17842071941666</v>
      </c>
      <c r="D185" s="5" t="n">
        <f aca="false">STDEV(C183:C185)</f>
        <v>1.9319455232899</v>
      </c>
      <c r="E185" s="5" t="n">
        <f aca="false">STDEV(C174:C185)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LN(B186/B185)*100</f>
        <v>-1.72975359283177</v>
      </c>
      <c r="D186" s="5" t="n">
        <f aca="false">STDEV(C184:C186)</f>
        <v>2.33304723297576</v>
      </c>
      <c r="E186" s="5" t="n">
        <f aca="false">STDEV(C175:C186)</f>
        <v>2.39121993426234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LN(B187/B186)*100</f>
        <v>2.06083917307763</v>
      </c>
      <c r="D187" s="5" t="n">
        <f aca="false">STDEV(C185:C187)</f>
        <v>2.04798136813607</v>
      </c>
      <c r="E187" s="5" t="n">
        <f aca="false">STDEV(C176:C187)</f>
        <v>2.38328580917228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LN(B188/B187)*100</f>
        <v>-1.44500024926008</v>
      </c>
      <c r="D188" s="5" t="n">
        <f aca="false">STDEV(C186:C188)</f>
        <v>2.11110508339657</v>
      </c>
      <c r="E188" s="5" t="n">
        <f aca="false">STDEV(C177:C188)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LN(B189/B188)*100</f>
        <v>3.11965173897777</v>
      </c>
      <c r="D189" s="5" t="n">
        <f aca="false">STDEV(C187:C189)</f>
        <v>2.3891435661707</v>
      </c>
      <c r="E189" s="5" t="n">
        <f aca="false">STDEV(C178:C189)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LN(B190/B189)*100</f>
        <v>4.05394267978862</v>
      </c>
      <c r="D190" s="5" t="n">
        <f aca="false">STDEV(C188:C190)</f>
        <v>2.94242872110608</v>
      </c>
      <c r="E190" s="5" t="n">
        <f aca="false">STDEV(C179:C190)</f>
        <v>2.73843613524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LN(B191/B190)*100</f>
        <v>2.99173700525829</v>
      </c>
      <c r="D191" s="5" t="n">
        <f aca="false">STDEV(C189:C191)</f>
        <v>0.579876802460111</v>
      </c>
      <c r="E191" s="5" t="n">
        <f aca="false">STDEV(C180:C191)</f>
        <v>2.68354228637885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LN(B192/B191)*100</f>
        <v>1.43010061030767</v>
      </c>
      <c r="D192" s="5" t="n">
        <f aca="false">STDEV(C190:C192)</f>
        <v>1.31981920040946</v>
      </c>
      <c r="E192" s="5" t="n">
        <f aca="false">STDEV(C181:C192)</f>
        <v>2.46193250426551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LN(B193/B192)*100</f>
        <v>6.77854940939066</v>
      </c>
      <c r="D193" s="5" t="n">
        <f aca="false">STDEV(C191:C193)</f>
        <v>2.75028971111946</v>
      </c>
      <c r="E193" s="5" t="n">
        <f aca="false">STDEV(C182:C193)</f>
        <v>3.02575214203378</v>
      </c>
    </row>
    <row r="194" customFormat="false" ht="15" hidden="false" customHeight="false" outlineLevel="0" collapsed="false">
      <c r="A194" s="5" t="s">
        <v>215</v>
      </c>
      <c r="B194" s="5" t="n">
        <v>549.864285714285</v>
      </c>
      <c r="C194" s="5" t="n">
        <f aca="false">LN(B194/B193)*100</f>
        <v>7.5070155172455</v>
      </c>
      <c r="D194" s="5" t="n">
        <f aca="false">STDEV(C192:C194)</f>
        <v>3.31826918269321</v>
      </c>
      <c r="E194" s="5" t="n">
        <f aca="false">STDEV(C183:C194)</f>
        <v>3.02231602029587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LN(B195/B194)*100</f>
        <v>0.92876101656735</v>
      </c>
      <c r="D195" s="5" t="n">
        <f aca="false">STDEV(C193:C195)</f>
        <v>3.60610869190036</v>
      </c>
      <c r="E195" s="5" t="n">
        <f aca="false">STDEV(C184:C195)</f>
        <v>2.96185755179051</v>
      </c>
    </row>
    <row r="196" customFormat="false" ht="15" hidden="false" customHeight="false" outlineLevel="0" collapsed="false">
      <c r="A196" s="5" t="s">
        <v>217</v>
      </c>
      <c r="B196" s="5" t="n">
        <v>557.093478260869</v>
      </c>
      <c r="C196" s="5" t="n">
        <f aca="false">LN(B196/B195)*100</f>
        <v>0.377394567527674</v>
      </c>
      <c r="D196" s="5" t="n">
        <f aca="false">STDEV(C194:C196)</f>
        <v>3.96671426001156</v>
      </c>
      <c r="E196" s="5" t="n">
        <f aca="false">STDEV(C185:C196)</f>
        <v>3.00818893428597</v>
      </c>
    </row>
    <row r="197" customFormat="false" ht="15" hidden="false" customHeight="false" outlineLevel="0" collapsed="false">
      <c r="A197" s="5" t="s">
        <v>218</v>
      </c>
      <c r="B197" s="5" t="n">
        <v>610.652777777777</v>
      </c>
      <c r="C197" s="5" t="n">
        <f aca="false">LN(B197/B196)*100</f>
        <v>9.17954621215167</v>
      </c>
      <c r="D197" s="5" t="n">
        <f aca="false">STDEV(C195:C197)</f>
        <v>4.93047216940658</v>
      </c>
      <c r="E197" s="5" t="n">
        <f aca="false">STDEV(C186:C197)</f>
        <v>3.44435456219764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LN(B198/B197)*100</f>
        <v>10.0766019658431</v>
      </c>
      <c r="D198" s="5" t="n">
        <f aca="false">STDEV(C196:C198)</f>
        <v>5.3596829314759</v>
      </c>
      <c r="E198" s="5" t="n">
        <f aca="false">STDEV(C187:C198)</f>
        <v>3.66880669654809</v>
      </c>
    </row>
    <row r="199" customFormat="false" ht="15" hidden="false" customHeight="false" outlineLevel="0" collapsed="false">
      <c r="A199" s="5" t="s">
        <v>220</v>
      </c>
      <c r="B199" s="5" t="n">
        <v>596.145454545454</v>
      </c>
      <c r="C199" s="5" t="n">
        <f aca="false">LN(B199/B198)*100</f>
        <v>-12.4809843611619</v>
      </c>
      <c r="D199" s="5" t="n">
        <f aca="false">STDEV(C197:C199)</f>
        <v>12.7725486535445</v>
      </c>
      <c r="E199" s="5" t="n">
        <f aca="false">STDEV(C188:C199)</f>
        <v>6.00016448484536</v>
      </c>
    </row>
    <row r="200" customFormat="false" ht="15" hidden="false" customHeight="false" outlineLevel="0" collapsed="false">
      <c r="A200" s="5" t="s">
        <v>221</v>
      </c>
      <c r="B200" s="5" t="n">
        <v>633.709523809523</v>
      </c>
      <c r="C200" s="5" t="n">
        <f aca="false">LN(B200/B199)*100</f>
        <v>6.11059965691348</v>
      </c>
      <c r="D200" s="5" t="n">
        <f aca="false">STDEV(C198:C200)</f>
        <v>12.0431230135423</v>
      </c>
      <c r="E200" s="5" t="n">
        <f aca="false">STDEV(C189:C200)</f>
        <v>5.9204413647442</v>
      </c>
    </row>
    <row r="201" customFormat="false" ht="15" hidden="false" customHeight="false" outlineLevel="0" collapsed="false">
      <c r="A201" s="5" t="s">
        <v>222</v>
      </c>
      <c r="B201" s="5" t="n">
        <v>632.593181818181</v>
      </c>
      <c r="C201" s="5" t="n">
        <f aca="false">LN(B201/B200)*100</f>
        <v>-0.176315232618395</v>
      </c>
      <c r="D201" s="5" t="n">
        <f aca="false">STDEV(C199:C201)</f>
        <v>9.45671875346049</v>
      </c>
      <c r="E201" s="5" t="n">
        <f aca="false">STDEV(C190:C201)</f>
        <v>6.00737902559161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LN(B202/B201)*100</f>
        <v>-5.59262680400243</v>
      </c>
      <c r="D202" s="5" t="n">
        <f aca="false">STDEV(C200:C202)</f>
        <v>5.85700776082248</v>
      </c>
      <c r="E202" s="5" t="n">
        <f aca="false">STDEV(C191:C202)</f>
        <v>6.489092438831</v>
      </c>
    </row>
    <row r="203" customFormat="false" ht="15" hidden="false" customHeight="false" outlineLevel="0" collapsed="false">
      <c r="A203" s="5" t="s">
        <v>224</v>
      </c>
      <c r="B203" s="5" t="n">
        <v>585.779545454545</v>
      </c>
      <c r="C203" s="5" t="n">
        <f aca="false">LN(B203/B202)*100</f>
        <v>-2.09577482441983</v>
      </c>
      <c r="D203" s="5" t="n">
        <f aca="false">STDEV(C201:C203)</f>
        <v>2.74617096851774</v>
      </c>
      <c r="E203" s="5" t="n">
        <f aca="false">STDEV(C192:C203)</f>
        <v>6.60220876075625</v>
      </c>
    </row>
    <row r="204" customFormat="false" ht="15" hidden="false" customHeight="false" outlineLevel="0" collapsed="false">
      <c r="A204" s="5" t="s">
        <v>225</v>
      </c>
      <c r="B204" s="5" t="n">
        <v>627.827272727272</v>
      </c>
      <c r="C204" s="5" t="n">
        <f aca="false">LN(B204/B203)*100</f>
        <v>6.93215687097294</v>
      </c>
      <c r="D204" s="5" t="n">
        <f aca="false">STDEV(C202:C204)</f>
        <v>6.46273588310603</v>
      </c>
      <c r="E204" s="5" t="n">
        <f aca="false">STDEV(C193:C204)</f>
        <v>6.76054154541862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LN(B205/B204)*100</f>
        <v>0.312321330999932</v>
      </c>
      <c r="D205" s="5" t="n">
        <f aca="false">STDEV(C203:C205)</f>
        <v>4.67483868468055</v>
      </c>
      <c r="E205" s="5" t="n">
        <f aca="false">STDEV(C194:C205)</f>
        <v>6.62710622258981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LN(B206/B205)*100</f>
        <v>0.218045987564851</v>
      </c>
      <c r="D206" s="5" t="n">
        <f aca="false">STDEV(C204:C206)</f>
        <v>3.84946739544075</v>
      </c>
      <c r="E206" s="5" t="n">
        <f aca="false">STDEV(C195:C206)</f>
        <v>6.38161948757426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LN(B207/B206)*100</f>
        <v>5.18347500756159</v>
      </c>
      <c r="D207" s="5" t="n">
        <f aca="false">STDEV(C205:C207)</f>
        <v>2.83996805538624</v>
      </c>
      <c r="E207" s="5" t="n">
        <f aca="false">STDEV(C196:C207)</f>
        <v>6.48560959514797</v>
      </c>
    </row>
    <row r="208" customFormat="false" ht="15" hidden="false" customHeight="false" outlineLevel="0" collapsed="false">
      <c r="A208" s="5" t="s">
        <v>229</v>
      </c>
      <c r="B208" s="5" t="n">
        <v>654.895454545454</v>
      </c>
      <c r="C208" s="5" t="n">
        <f aca="false">LN(B208/B207)*100</f>
        <v>-1.49278969551572</v>
      </c>
      <c r="D208" s="5" t="n">
        <f aca="false">STDEV(C206:C208)</f>
        <v>3.46782723696657</v>
      </c>
      <c r="E208" s="5" t="n">
        <f aca="false">STDEV(C197:C208)</f>
        <v>6.5373985889318</v>
      </c>
    </row>
    <row r="209" customFormat="false" ht="15" hidden="false" customHeight="false" outlineLevel="0" collapsed="false">
      <c r="A209" s="5" t="s">
        <v>230</v>
      </c>
      <c r="B209" s="5" t="n">
        <v>679.368421052631</v>
      </c>
      <c r="C209" s="5" t="n">
        <f aca="false">LN(B209/B208)*100</f>
        <v>3.66879624903975</v>
      </c>
      <c r="D209" s="5" t="n">
        <f aca="false">STDEV(C207:C209)</f>
        <v>3.50020788882855</v>
      </c>
      <c r="E209" s="5" t="n">
        <f aca="false">STDEV(C198:C209)</f>
        <v>6.1172933987482</v>
      </c>
    </row>
    <row r="210" customFormat="false" ht="15" hidden="false" customHeight="false" outlineLevel="0" collapsed="false">
      <c r="A210" s="5" t="s">
        <v>231</v>
      </c>
      <c r="B210" s="5" t="n">
        <v>666.859523809523</v>
      </c>
      <c r="C210" s="5" t="n">
        <f aca="false">LN(B210/B209)*100</f>
        <v>-1.85841592521982</v>
      </c>
      <c r="D210" s="5" t="n">
        <f aca="false">STDEV(C208:C210)</f>
        <v>3.09100108978098</v>
      </c>
      <c r="E210" s="5" t="n">
        <f aca="false">STDEV(C199:C210)</f>
        <v>5.41790802863388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LN(B211/B210)*100</f>
        <v>-1.71956407313207</v>
      </c>
      <c r="D211" s="5" t="n">
        <f aca="false">STDEV(C209:C211)</f>
        <v>3.15181908368451</v>
      </c>
      <c r="E211" s="5" t="n">
        <f aca="false">STDEV(C200:C211)</f>
        <v>3.84592814513753</v>
      </c>
    </row>
    <row r="212" customFormat="false" ht="15" hidden="false" customHeight="false" outlineLevel="0" collapsed="false">
      <c r="A212" s="5" t="s">
        <v>233</v>
      </c>
      <c r="B212" s="5" t="n">
        <v>665.295454545454</v>
      </c>
      <c r="C212" s="5" t="n">
        <f aca="false">LN(B212/B211)*100</f>
        <v>1.48474605148062</v>
      </c>
      <c r="D212" s="5" t="n">
        <f aca="false">STDEV(C210:C212)</f>
        <v>1.89136701946763</v>
      </c>
      <c r="E212" s="5" t="n">
        <f aca="false">STDEV(C201:C212)</f>
        <v>3.47852001911675</v>
      </c>
    </row>
    <row r="213" customFormat="false" ht="15" hidden="false" customHeight="false" outlineLevel="0" collapsed="false">
      <c r="A213" s="5" t="s">
        <v>234</v>
      </c>
      <c r="B213" s="5" t="n">
        <v>665.411363636363</v>
      </c>
      <c r="C213" s="5" t="n">
        <f aca="false">LN(B213/B212)*100</f>
        <v>0.0174206804411644</v>
      </c>
      <c r="D213" s="5" t="n">
        <f aca="false">STDEV(C211:C213)</f>
        <v>1.60404505097464</v>
      </c>
      <c r="E213" s="5" t="n">
        <f aca="false">STDEV(C202:C213)</f>
        <v>3.47602369950807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LN(B214/B213)*100</f>
        <v>6.85884829871733</v>
      </c>
      <c r="D214" s="5" t="n">
        <f aca="false">STDEV(C212:C214)</f>
        <v>3.60183172298861</v>
      </c>
      <c r="E214" s="5" t="n">
        <f aca="false">STDEV(C203:C214)</f>
        <v>3.37450842568973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LN(B215/B214)*100</f>
        <v>5.71996449479661</v>
      </c>
      <c r="D215" s="5" t="n">
        <f aca="false">STDEV(C213:C215)</f>
        <v>3.66563305423016</v>
      </c>
      <c r="E215" s="5" t="n">
        <f aca="false">STDEV(C204:C215)</f>
        <v>3.38025875574092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LN(B216/B215)*100</f>
        <v>6.61974799432195</v>
      </c>
      <c r="D216" s="5" t="n">
        <f aca="false">STDEV(C214:C216)</f>
        <v>0.600532488770446</v>
      </c>
      <c r="E216" s="5" t="n">
        <f aca="false">STDEV(C205:C216)</f>
        <v>3.34071847521985</v>
      </c>
    </row>
    <row r="217" customFormat="false" ht="15" hidden="false" customHeight="false" outlineLevel="0" collapsed="false">
      <c r="A217" s="5" t="s">
        <v>238</v>
      </c>
      <c r="B217" s="5" t="n">
        <v>803.20294117647</v>
      </c>
      <c r="C217" s="5" t="n">
        <f aca="false">LN(B217/B216)*100</f>
        <v>-0.378363846541457</v>
      </c>
      <c r="D217" s="5" t="n">
        <f aca="false">STDEV(C215:C217)</f>
        <v>3.80729099321328</v>
      </c>
      <c r="E217" s="5" t="n">
        <f aca="false">STDEV(C206:C217)</f>
        <v>3.37974669465662</v>
      </c>
    </row>
    <row r="218" customFormat="false" ht="15" hidden="false" customHeight="false" outlineLevel="0" collapsed="false">
      <c r="A218" s="5" t="s">
        <v>239</v>
      </c>
      <c r="B218" s="5" t="n">
        <v>889.595454545454</v>
      </c>
      <c r="C218" s="5" t="n">
        <f aca="false">LN(B218/B217)*100</f>
        <v>10.2159403180484</v>
      </c>
      <c r="D218" s="5" t="n">
        <f aca="false">STDEV(C216:C218)</f>
        <v>5.38741510835374</v>
      </c>
      <c r="E218" s="5" t="n">
        <f aca="false">STDEV(C207:C218)</f>
        <v>4.05764878337409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LN(B219/B218)*100</f>
        <v>3.61011547659284</v>
      </c>
      <c r="D219" s="5" t="n">
        <f aca="false">STDEV(C217:C219)</f>
        <v>5.35076583115147</v>
      </c>
      <c r="E219" s="5" t="n">
        <f aca="false">STDEV(C208:C219)</f>
        <v>4.00076638020538</v>
      </c>
    </row>
    <row r="220" customFormat="false" ht="15" hidden="false" customHeight="false" outlineLevel="0" collapsed="false">
      <c r="A220" s="5" t="s">
        <v>241</v>
      </c>
      <c r="B220" s="5" t="n">
        <v>968.434210526315</v>
      </c>
      <c r="C220" s="5" t="n">
        <f aca="false">LN(B220/B219)*100</f>
        <v>4.88125825943884</v>
      </c>
      <c r="D220" s="5" t="n">
        <f aca="false">STDEV(C218:C220)</f>
        <v>3.50503348716349</v>
      </c>
      <c r="E220" s="5" t="n">
        <f aca="false">STDEV(C209:C220)</f>
        <v>3.8077922364689</v>
      </c>
    </row>
    <row r="221" customFormat="false" ht="15" hidden="false" customHeight="false" outlineLevel="0" collapsed="false">
      <c r="A221" s="5" t="s">
        <v>242</v>
      </c>
      <c r="B221" s="5" t="n">
        <v>909.704545454545</v>
      </c>
      <c r="C221" s="5" t="n">
        <f aca="false">LN(B221/B220)*100</f>
        <v>-6.25606798270802</v>
      </c>
      <c r="D221" s="5" t="n">
        <f aca="false">STDEV(C219:C221)</f>
        <v>6.09641172946535</v>
      </c>
      <c r="E221" s="5" t="n">
        <f aca="false">STDEV(C210:C221)</f>
        <v>4.68724355870386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LN(B222/B221)*100</f>
        <v>-2.34023480803911</v>
      </c>
      <c r="D222" s="5" t="n">
        <f aca="false">STDEV(C220:C222)</f>
        <v>5.64983403000304</v>
      </c>
      <c r="E222" s="5" t="n">
        <f aca="false">STDEV(C211:C222)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LN(B223/B222)*100</f>
        <v>0.0928599973063643</v>
      </c>
      <c r="D223" s="5" t="n">
        <f aca="false">STDEV(C221:C223)</f>
        <v>3.20319076024324</v>
      </c>
      <c r="E223" s="5" t="n">
        <f aca="false">STDEV(C212:C223)</f>
        <v>4.61347138380822</v>
      </c>
    </row>
    <row r="224" customFormat="false" ht="15" hidden="false" customHeight="false" outlineLevel="0" collapsed="false">
      <c r="A224" s="5" t="s">
        <v>245</v>
      </c>
      <c r="B224" s="5" t="n">
        <v>939.771739130434</v>
      </c>
      <c r="C224" s="5" t="n">
        <f aca="false">LN(B224/B223)*100</f>
        <v>5.49908917031458</v>
      </c>
      <c r="D224" s="5" t="n">
        <f aca="false">STDEV(C222:C224)</f>
        <v>4.01252756253203</v>
      </c>
      <c r="E224" s="5" t="n">
        <f aca="false">STDEV(C213:C224)</f>
        <v>4.67482718934202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LN(B225/B224)*100</f>
        <v>-11.339651166249</v>
      </c>
      <c r="D225" s="5" t="n">
        <f aca="false">STDEV(C223:C225)</f>
        <v>8.59721661836083</v>
      </c>
      <c r="E225" s="5" t="n">
        <f aca="false">STDEV(C214:C225)</f>
        <v>6.20566359986774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LN(B226/B225)*100</f>
        <v>-1.08969527535848</v>
      </c>
      <c r="D226" s="5" t="n">
        <f aca="false">STDEV(C224:C226)</f>
        <v>8.48544687842032</v>
      </c>
      <c r="E226" s="5" t="n">
        <f aca="false">STDEV(C215:C226)</f>
        <v>6.05433035461474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LN(B227/B226)*100</f>
        <v>-2.84914120960471</v>
      </c>
      <c r="D227" s="5" t="n">
        <f aca="false">STDEV(C225:C227)</f>
        <v>5.48096714526146</v>
      </c>
      <c r="E227" s="5" t="n">
        <f aca="false">STDEV(C216:C227)</f>
        <v>5.98667377243317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LN(B228/B227)*100</f>
        <v>-5.83994803264145</v>
      </c>
      <c r="D228" s="5" t="n">
        <f aca="false">STDEV(C226:C228)</f>
        <v>2.40157853318511</v>
      </c>
      <c r="E228" s="5" t="n">
        <f aca="false">STDEV(C217:C228)</f>
        <v>5.91939987773294</v>
      </c>
    </row>
    <row r="229" customFormat="false" ht="15" hidden="false" customHeight="false" outlineLevel="0" collapsed="false">
      <c r="A229" s="5" t="s">
        <v>250</v>
      </c>
      <c r="B229" s="5" t="n">
        <v>816.092105263157</v>
      </c>
      <c r="C229" s="5" t="n">
        <f aca="false">LN(B229/B228)*100</f>
        <v>7.00745644662541</v>
      </c>
      <c r="D229" s="5" t="n">
        <f aca="false">STDEV(C227:C229)</f>
        <v>6.72251496420066</v>
      </c>
      <c r="E229" s="5" t="n">
        <f aca="false">STDEV(C218:C229)</f>
        <v>6.30281114268783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LN(B230/B229)*100</f>
        <v>5.08813039630929</v>
      </c>
      <c r="D230" s="5" t="n">
        <f aca="false">STDEV(C228:C230)</f>
        <v>6.93015767606345</v>
      </c>
      <c r="E230" s="5" t="n">
        <f aca="false">STDEV(C219:C230)</f>
        <v>5.70225398493798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LN(B231/B230)*100</f>
        <v>9.38300635086556</v>
      </c>
      <c r="D231" s="5" t="n">
        <f aca="false">STDEV(C229:C231)</f>
        <v>2.15147272428226</v>
      </c>
      <c r="E231" s="5" t="n">
        <f aca="false">STDEV(C220:C231)</f>
        <v>6.27625672433841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LN(B232/B231)*100</f>
        <v>-2.023140268627</v>
      </c>
      <c r="D232" s="5" t="n">
        <f aca="false">STDEV(C230:C232)</f>
        <v>5.76073361416713</v>
      </c>
      <c r="E232" s="5" t="n">
        <f aca="false">STDEV(C221:C232)</f>
        <v>6.12130035970628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LN(B233/B232)*100</f>
        <v>-3.75610308950363</v>
      </c>
      <c r="D233" s="5" t="n">
        <f aca="false">STDEV(C231:C233)</f>
        <v>7.13838844709715</v>
      </c>
      <c r="E233" s="5" t="n">
        <f aca="false">STDEV(C222:C233)</f>
        <v>5.94342494100886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LN(B234/B233)*100</f>
        <v>4.22800944989025</v>
      </c>
      <c r="D234" s="5" t="n">
        <f aca="false">STDEV(C232:C234)</f>
        <v>4.19972391917146</v>
      </c>
      <c r="E234" s="5" t="n">
        <f aca="false">STDEV(C223:C234)</f>
        <v>6.02829804197408</v>
      </c>
    </row>
    <row r="235" customFormat="false" ht="15" hidden="false" customHeight="false" outlineLevel="0" collapsed="false">
      <c r="A235" s="5" t="s">
        <v>256</v>
      </c>
      <c r="B235" s="5" t="n">
        <v>945.670454545454</v>
      </c>
      <c r="C235" s="5" t="n">
        <f aca="false">LN(B235/B234)*100</f>
        <v>1.81679005636465</v>
      </c>
      <c r="D235" s="5" t="n">
        <f aca="false">STDEV(C233:C235)</f>
        <v>4.09506145702125</v>
      </c>
      <c r="E235" s="5" t="n">
        <f aca="false">STDEV(C224:C235)</f>
        <v>6.0417044995732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LN(B236/B235)*100</f>
        <v>-1.21733526213521</v>
      </c>
      <c r="D236" s="5" t="n">
        <f aca="false">STDEV(C234:C236)</f>
        <v>2.72860386904058</v>
      </c>
      <c r="E236" s="5" t="n">
        <f aca="false">STDEV(C225:C236)</f>
        <v>5.84545652697404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LN(B237/B236)*100</f>
        <v>1.60830743270863</v>
      </c>
      <c r="D237" s="5" t="n">
        <f aca="false">STDEV(C235:C237)</f>
        <v>1.69477816108052</v>
      </c>
      <c r="E237" s="5" t="n">
        <f aca="false">STDEV(C226:C237)</f>
        <v>4.6433516402453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LN(B238/B237)*100</f>
        <v>4.85364905320306</v>
      </c>
      <c r="D238" s="5" t="n">
        <f aca="false">STDEV(C236:C238)</f>
        <v>3.03790907889295</v>
      </c>
      <c r="E238" s="5" t="n">
        <f aca="false">STDEV(C227:C238)</f>
        <v>4.71318324804132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LN(B239/B238)*100</f>
        <v>4.56686115186029</v>
      </c>
      <c r="D239" s="5" t="n">
        <f aca="false">STDEV(C237:C239)</f>
        <v>1.79664175816884</v>
      </c>
      <c r="E239" s="5" t="n">
        <f aca="false">STDEV(C228:C239)</f>
        <v>4.57157393362892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LN(B240/B239)*100</f>
        <v>7.73372278315053</v>
      </c>
      <c r="D240" s="5" t="n">
        <f aca="false">STDEV(C238:C240)</f>
        <v>1.75147959270766</v>
      </c>
      <c r="E240" s="5" t="n">
        <f aca="false">STDEV(C229:C240)</f>
        <v>4.06836907749633</v>
      </c>
    </row>
    <row r="241" customFormat="false" ht="15" hidden="false" customHeight="false" outlineLevel="0" collapsed="false">
      <c r="A241" s="5" t="s">
        <v>262</v>
      </c>
      <c r="B241" s="5" t="n">
        <v>1134.72368421052</v>
      </c>
      <c r="C241" s="5" t="n">
        <f aca="false">LN(B241/B240)*100</f>
        <v>0.679824700977271</v>
      </c>
      <c r="D241" s="5" t="n">
        <f aca="false">STDEV(C239:C241)</f>
        <v>3.53307097569803</v>
      </c>
      <c r="E241" s="5" t="n">
        <f aca="false">STDEV(C230:C241)</f>
        <v>3.94880645265463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LN(B242/B241)*100</f>
        <v>-1.48813391288071</v>
      </c>
      <c r="D242" s="5" t="n">
        <f aca="false">STDEV(C240:C242)</f>
        <v>4.82182820838778</v>
      </c>
      <c r="E242" s="5" t="n">
        <f aca="false">STDEV(C231:C242)</f>
        <v>4.04938637869812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LN(B243/B242)*100</f>
        <v>-2.03768274720479</v>
      </c>
      <c r="D243" s="5" t="n">
        <f aca="false">STDEV(C241:C243)</f>
        <v>1.43683072556889</v>
      </c>
      <c r="E243" s="5" t="n">
        <f aca="false">STDEV(C232:C243)</f>
        <v>3.51410380741552</v>
      </c>
    </row>
    <row r="244" customFormat="false" ht="15" hidden="false" customHeight="false" outlineLevel="0" collapsed="false">
      <c r="A244" s="5" t="s">
        <v>265</v>
      </c>
      <c r="B244" s="5" t="n">
        <v>1113.33695652173</v>
      </c>
      <c r="C244" s="5" t="n">
        <f aca="false">LN(B244/B243)*100</f>
        <v>1.62307680170823</v>
      </c>
      <c r="D244" s="5" t="n">
        <f aca="false">STDEV(C242:C244)</f>
        <v>1.974115688388</v>
      </c>
      <c r="E244" s="5" t="n">
        <f aca="false">STDEV(C233:C244)</f>
        <v>3.35988936327571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LN(B245/B244)*100</f>
        <v>3.12582135675167</v>
      </c>
      <c r="D245" s="5" t="n">
        <f aca="false">STDEV(C243:C245)</f>
        <v>2.6558481477752</v>
      </c>
      <c r="E245" s="5" t="n">
        <f aca="false">STDEV(C234:C245)</f>
        <v>2.93174727914243</v>
      </c>
    </row>
    <row r="246" customFormat="false" ht="15" hidden="false" customHeight="false" outlineLevel="0" collapsed="false">
      <c r="A246" s="5" t="s">
        <v>267</v>
      </c>
      <c r="B246" s="5" t="n">
        <v>1205.43421052631</v>
      </c>
      <c r="C246" s="5" t="n">
        <f aca="false">LN(B246/B245)*100</f>
        <v>4.8219856477684</v>
      </c>
      <c r="D246" s="5" t="n">
        <f aca="false">STDEV(C244:C246)</f>
        <v>1.60042870846298</v>
      </c>
      <c r="E246" s="5" t="n">
        <f aca="false">STDEV(C235:C246)</f>
        <v>2.97518444328102</v>
      </c>
    </row>
    <row r="247" customFormat="false" ht="15" hidden="false" customHeight="false" outlineLevel="0" collapsed="false">
      <c r="A247" s="5" t="s">
        <v>268</v>
      </c>
      <c r="B247" s="5" t="n">
        <v>1232.92045454545</v>
      </c>
      <c r="C247" s="5" t="n">
        <f aca="false">LN(B247/B246)*100</f>
        <v>2.2545865629217</v>
      </c>
      <c r="D247" s="5" t="n">
        <f aca="false">STDEV(C245:C247)</f>
        <v>1.30560084692655</v>
      </c>
      <c r="E247" s="5" t="n">
        <f aca="false">STDEV(C236:C247)</f>
        <v>2.97309070123585</v>
      </c>
    </row>
    <row r="248" customFormat="false" ht="15" hidden="false" customHeight="false" outlineLevel="0" collapsed="false">
      <c r="A248" s="5" t="s">
        <v>269</v>
      </c>
      <c r="B248" s="5" t="n">
        <v>1192.9659090909</v>
      </c>
      <c r="C248" s="5" t="n">
        <f aca="false">LN(B248/B247)*100</f>
        <v>-3.29431414259574</v>
      </c>
      <c r="D248" s="5" t="n">
        <f aca="false">STDEV(C246:C248)</f>
        <v>4.14841655308843</v>
      </c>
      <c r="E248" s="5" t="n">
        <f aca="false">STDEV(C237:C248)</f>
        <v>3.23931717248143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LN(B249/B248)*100</f>
        <v>1.89675627458852</v>
      </c>
      <c r="D249" s="5" t="n">
        <f aca="false">STDEV(C247:C249)</f>
        <v>3.1055207193831</v>
      </c>
      <c r="E249" s="5" t="n">
        <f aca="false">STDEV(C238:C249)</f>
        <v>3.2369136886456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LN(B250/B249)*100</f>
        <v>4.43759809665701</v>
      </c>
      <c r="D250" s="5" t="n">
        <f aca="false">STDEV(C248:C250)</f>
        <v>3.94092958823263</v>
      </c>
      <c r="E250" s="5" t="n">
        <f aca="false">STDEV(C239:C250)</f>
        <v>3.20637015714126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LN(B251/B250)*100</f>
        <v>5.43926695761718</v>
      </c>
      <c r="D251" s="5" t="n">
        <f aca="false">STDEV(C249:C251)</f>
        <v>1.82613433291757</v>
      </c>
      <c r="E251" s="5" t="n">
        <f aca="false">STDEV(C240:C251)</f>
        <v>3.27828556795079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LN(B252/B251)*100</f>
        <v>2.05490099358443</v>
      </c>
      <c r="D252" s="5" t="n">
        <f aca="false">STDEV(C250:C252)</f>
        <v>1.73851080767953</v>
      </c>
      <c r="E252" s="5" t="n">
        <f aca="false">STDEV(C241:C252)</f>
        <v>2.75989808384905</v>
      </c>
    </row>
    <row r="253" customFormat="false" ht="15" hidden="false" customHeight="false" outlineLevel="0" collapsed="false">
      <c r="A253" s="5" t="s">
        <v>274</v>
      </c>
      <c r="B253" s="5" t="n">
        <v>1390.55263157894</v>
      </c>
      <c r="C253" s="5" t="n">
        <f aca="false">LN(B253/B252)*100</f>
        <v>1.4973454656461</v>
      </c>
      <c r="D253" s="5" t="n">
        <f aca="false">STDEV(C251:C253)</f>
        <v>2.13321143639121</v>
      </c>
      <c r="E253" s="5" t="n">
        <f aca="false">STDEV(C242:C253)</f>
        <v>2.74446204759972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LN(B254/B253)*100</f>
        <v>-2.48671135360855</v>
      </c>
      <c r="D254" s="5" t="n">
        <f aca="false">STDEV(C252:C254)</f>
        <v>2.47688714646563</v>
      </c>
      <c r="E254" s="5" t="n">
        <f aca="false">STDEV(C243:C254)</f>
        <v>2.8623353435842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LN(B255/B254)*100</f>
        <v>1.19636841226517</v>
      </c>
      <c r="D255" s="5" t="n">
        <f aca="false">STDEV(C253:C255)</f>
        <v>2.21842182972115</v>
      </c>
      <c r="E255" s="5" t="n">
        <f aca="false">STDEV(C244:C255)</f>
        <v>2.63041136205904</v>
      </c>
    </row>
    <row r="256" customFormat="false" ht="15" hidden="false" customHeight="false" outlineLevel="0" collapsed="false">
      <c r="A256" s="5" t="s">
        <v>277</v>
      </c>
      <c r="B256" s="5" t="n">
        <v>1424.01086956521</v>
      </c>
      <c r="C256" s="5" t="n">
        <f aca="false">LN(B256/B255)*100</f>
        <v>3.66796306902897</v>
      </c>
      <c r="D256" s="5" t="n">
        <f aca="false">STDEV(C254:C256)</f>
        <v>3.09714583549113</v>
      </c>
      <c r="E256" s="5" t="n">
        <f aca="false">STDEV(C245:C256)</f>
        <v>2.6780210697482</v>
      </c>
    </row>
    <row r="257" customFormat="false" ht="15" hidden="false" customHeight="false" outlineLevel="0" collapsed="false">
      <c r="A257" s="5" t="s">
        <v>278</v>
      </c>
      <c r="B257" s="5" t="n">
        <v>1473.80555555555</v>
      </c>
      <c r="C257" s="5" t="n">
        <f aca="false">LN(B257/B256)*100</f>
        <v>3.43704228064565</v>
      </c>
      <c r="D257" s="5" t="n">
        <f aca="false">STDEV(C255:C257)</f>
        <v>1.36520596384416</v>
      </c>
      <c r="E257" s="5" t="n">
        <f aca="false">STDEV(C246:C257)</f>
        <v>2.69085299940477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LN(B258/B257)*100</f>
        <v>2.45514750723179</v>
      </c>
      <c r="D258" s="5" t="n">
        <f aca="false">STDEV(C256:C258)</f>
        <v>0.643993186234974</v>
      </c>
      <c r="E258" s="5" t="n">
        <f aca="false">STDEV(C247:C258)</f>
        <v>2.5546451976324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LN(B259/B258)*100</f>
        <v>1.19915959999452</v>
      </c>
      <c r="D259" s="5" t="n">
        <f aca="false">STDEV(C257:C259)</f>
        <v>1.12173540117846</v>
      </c>
      <c r="E259" s="5" t="n">
        <f aca="false">STDEV(C248:C259)</f>
        <v>2.55872876704921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LN(B260/B259)*100</f>
        <v>2.8472585752838</v>
      </c>
      <c r="D260" s="5" t="n">
        <f aca="false">STDEV(C258:C260)</f>
        <v>0.860957504290495</v>
      </c>
      <c r="E260" s="5" t="n">
        <f aca="false">STDEV(C249:C260)</f>
        <v>2.00275530576728</v>
      </c>
    </row>
    <row r="261" customFormat="false" ht="15" hidden="false" customHeight="false" outlineLevel="0" collapsed="false">
      <c r="A261" s="5" t="s">
        <v>282</v>
      </c>
      <c r="B261" s="5" t="n">
        <v>1755.80681818181</v>
      </c>
      <c r="C261" s="5" t="n">
        <f aca="false">LN(B261/B260)*100</f>
        <v>11.0064951022331</v>
      </c>
      <c r="D261" s="5" t="n">
        <f aca="false">STDEV(C259:C261)</f>
        <v>5.25155850817202</v>
      </c>
      <c r="E261" s="5" t="n">
        <f aca="false">STDEV(C250:C261)</f>
        <v>3.20201985811751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LN(B262/B261)*100</f>
        <v>0.909700443604554</v>
      </c>
      <c r="D262" s="5" t="n">
        <f aca="false">STDEV(C260:C262)</f>
        <v>5.35836627146202</v>
      </c>
      <c r="E262" s="5" t="n">
        <f aca="false">STDEV(C251:C262)</f>
        <v>3.22616858319951</v>
      </c>
    </row>
    <row r="263" customFormat="false" ht="15" hidden="false" customHeight="false" outlineLevel="0" collapsed="false">
      <c r="A263" s="5" t="s">
        <v>284</v>
      </c>
      <c r="B263" s="5" t="n">
        <v>1665.21428571428</v>
      </c>
      <c r="C263" s="5" t="n">
        <f aca="false">LN(B263/B262)*100</f>
        <v>-6.20716658922695</v>
      </c>
      <c r="D263" s="5" t="n">
        <f aca="false">STDEV(C261:C263)</f>
        <v>8.6497129776037</v>
      </c>
      <c r="E263" s="5" t="n">
        <f aca="false">STDEV(C252:C263)</f>
        <v>4.00703779741797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LN(B264/B263)*100</f>
        <v>4.33433508447841</v>
      </c>
      <c r="D264" s="5" t="n">
        <f aca="false">STDEV(C262:C264)</f>
        <v>5.37744016429146</v>
      </c>
      <c r="E264" s="5" t="n">
        <f aca="false">STDEV(C253:C264)</f>
        <v>4.07378885936546</v>
      </c>
    </row>
    <row r="265" customFormat="false" ht="15" hidden="false" customHeight="false" outlineLevel="0" collapsed="false">
      <c r="A265" s="5" t="s">
        <v>286</v>
      </c>
      <c r="B265" s="5" t="n">
        <v>1652.30555555555</v>
      </c>
      <c r="C265" s="5" t="n">
        <f aca="false">LN(B265/B264)*100</f>
        <v>-5.11255471390832</v>
      </c>
      <c r="D265" s="5" t="n">
        <f aca="false">STDEV(C263:C265)</f>
        <v>5.79604979788224</v>
      </c>
      <c r="E265" s="5" t="n">
        <f aca="false">STDEV(C254:C265)</f>
        <v>4.56359688971327</v>
      </c>
    </row>
    <row r="266" customFormat="false" ht="15" hidden="false" customHeight="false" outlineLevel="0" collapsed="false">
      <c r="A266" s="5" t="s">
        <v>287</v>
      </c>
      <c r="B266" s="5" t="n">
        <v>1656.11904761904</v>
      </c>
      <c r="C266" s="5" t="n">
        <f aca="false">LN(B266/B265)*100</f>
        <v>0.230532305238895</v>
      </c>
      <c r="D266" s="5" t="n">
        <f aca="false">STDEV(C264:C266)</f>
        <v>4.73697341854368</v>
      </c>
      <c r="E266" s="5" t="n">
        <f aca="false">STDEV(C255:C266)</f>
        <v>4.41623014684848</v>
      </c>
    </row>
    <row r="267" customFormat="false" ht="15" hidden="false" customHeight="false" outlineLevel="0" collapsed="false">
      <c r="A267" s="5" t="s">
        <v>288</v>
      </c>
      <c r="B267" s="5" t="n">
        <v>1742.61904761904</v>
      </c>
      <c r="C267" s="5" t="n">
        <f aca="false">LN(B267/B266)*100</f>
        <v>5.09122392917204</v>
      </c>
      <c r="D267" s="5" t="n">
        <f aca="false">STDEV(C265:C267)</f>
        <v>5.10378945089065</v>
      </c>
      <c r="E267" s="5" t="n">
        <f aca="false">STDEV(C256:C267)</f>
        <v>4.52065377600934</v>
      </c>
    </row>
    <row r="268" customFormat="false" ht="15" hidden="false" customHeight="false" outlineLevel="0" collapsed="false">
      <c r="A268" s="5" t="s">
        <v>289</v>
      </c>
      <c r="B268" s="5" t="n">
        <v>1673.77272727272</v>
      </c>
      <c r="C268" s="5" t="n">
        <f aca="false">LN(B268/B267)*100</f>
        <v>-4.03089847443559</v>
      </c>
      <c r="D268" s="5" t="n">
        <f aca="false">STDEV(C266:C268)</f>
        <v>4.5643406332739</v>
      </c>
      <c r="E268" s="5" t="n">
        <f aca="false">STDEV(C257:C268)</f>
        <v>4.79837975872505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LN(B269/B268)*100</f>
        <v>-1.42650370595103</v>
      </c>
      <c r="D269" s="5" t="n">
        <f aca="false">STDEV(C267:C269)</f>
        <v>4.69887863896194</v>
      </c>
      <c r="E269" s="5" t="n">
        <f aca="false">STDEV(C258:C269)</f>
        <v>4.81114978473527</v>
      </c>
    </row>
    <row r="270" customFormat="false" ht="15" hidden="false" customHeight="false" outlineLevel="0" collapsed="false">
      <c r="A270" s="5" t="s">
        <v>291</v>
      </c>
      <c r="B270" s="5" t="n">
        <v>1585.50454545454</v>
      </c>
      <c r="C270" s="5" t="n">
        <f aca="false">LN(B270/B269)*100</f>
        <v>-3.99124776434607</v>
      </c>
      <c r="D270" s="5" t="n">
        <f aca="false">STDEV(C268:C270)</f>
        <v>1.492333540354</v>
      </c>
      <c r="E270" s="5" t="n">
        <f aca="false">STDEV(C259:C270)</f>
        <v>4.98356653959723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LN(B271/B270)*100</f>
        <v>0.703466934359989</v>
      </c>
      <c r="D271" s="5" t="n">
        <f aca="false">STDEV(C269:C271)</f>
        <v>2.35071028683908</v>
      </c>
      <c r="E271" s="5" t="n">
        <f aca="false">STDEV(C260:C271)</f>
        <v>4.97842991430589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LN(B272/B271)*100</f>
        <v>-0.17478045364157</v>
      </c>
      <c r="D272" s="5" t="n">
        <f aca="false">STDEV(C270:C272)</f>
        <v>2.49589954760651</v>
      </c>
      <c r="E272" s="5" t="n">
        <f aca="false">STDEV(C261:C272)</f>
        <v>4.9173933528807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LN(B273/B272)*100</f>
        <v>1.99544303349643</v>
      </c>
      <c r="D273" s="5" t="n">
        <f aca="false">STDEV(C271:C273)</f>
        <v>1.09166468443052</v>
      </c>
      <c r="E273" s="5" t="n">
        <f aca="false">STDEV(C262:C273)</f>
        <v>3.61891444363096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LN(B274/B273)*100</f>
        <v>7.02953427017631</v>
      </c>
      <c r="D274" s="5" t="n">
        <f aca="false">STDEV(C272:C274)</f>
        <v>3.69581058324065</v>
      </c>
      <c r="E274" s="5" t="n">
        <f aca="false">STDEV(C263:C274)</f>
        <v>4.2357733244585</v>
      </c>
    </row>
    <row r="275" customFormat="false" ht="15" hidden="false" customHeight="false" outlineLevel="0" collapsed="false">
      <c r="A275" s="5" t="s">
        <v>296</v>
      </c>
      <c r="B275" s="5" t="n">
        <v>1747.01086956521</v>
      </c>
      <c r="C275" s="5" t="n">
        <f aca="false">LN(B275/B274)*100</f>
        <v>0.146693325235825</v>
      </c>
      <c r="D275" s="5" t="n">
        <f aca="false">STDEV(C273:C275)</f>
        <v>3.56214938710605</v>
      </c>
      <c r="E275" s="5" t="n">
        <f aca="false">STDEV(C264:C275)</f>
        <v>3.77959085736113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LN(B276/B275)*100</f>
        <v>-1.49215037712378</v>
      </c>
      <c r="D276" s="5" t="n">
        <f aca="false">STDEV(C274:C276)</f>
        <v>4.52176988545678</v>
      </c>
      <c r="E276" s="5" t="n">
        <f aca="false">STDEV(C265:C276)</f>
        <v>3.59805509262339</v>
      </c>
    </row>
    <row r="277" customFormat="false" ht="15" hidden="false" customHeight="false" outlineLevel="0" collapsed="false">
      <c r="A277" s="5" t="s">
        <v>298</v>
      </c>
      <c r="B277" s="5" t="n">
        <v>1688.5294117647</v>
      </c>
      <c r="C277" s="5" t="n">
        <f aca="false">LN(B277/B276)*100</f>
        <v>-1.91267696440875</v>
      </c>
      <c r="D277" s="5" t="n">
        <f aca="false">STDEV(C275:C277)</f>
        <v>1.08809139331584</v>
      </c>
      <c r="E277" s="5" t="n">
        <f aca="false">STDEV(C266:C277)</f>
        <v>3.29769656296815</v>
      </c>
    </row>
    <row r="278" customFormat="false" ht="15" hidden="false" customHeight="false" outlineLevel="0" collapsed="false">
      <c r="A278" s="5" t="s">
        <v>299</v>
      </c>
      <c r="B278" s="5" t="n">
        <v>1670.95454545454</v>
      </c>
      <c r="C278" s="5" t="n">
        <f aca="false">LN(B278/B277)*100</f>
        <v>-1.04629323221756</v>
      </c>
      <c r="D278" s="5" t="n">
        <f aca="false">STDEV(C276:C278)</f>
        <v>0.433253577727679</v>
      </c>
      <c r="E278" s="5" t="n">
        <f aca="false">STDEV(C267:C278)</f>
        <v>3.31648843930482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LN(B279/B278)*100</f>
        <v>-2.62961901449594</v>
      </c>
      <c r="D279" s="5" t="n">
        <f aca="false">STDEV(C277:C279)</f>
        <v>0.792837436828022</v>
      </c>
      <c r="E279" s="5" t="n">
        <f aca="false">STDEV(C268:C279)</f>
        <v>2.98731190344803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LN(B280/B279)*100</f>
        <v>-2.15661450223872</v>
      </c>
      <c r="D280" s="5" t="n">
        <f aca="false">STDEV(C278:C280)</f>
        <v>0.812759407215578</v>
      </c>
      <c r="E280" s="5" t="n">
        <f aca="false">STDEV(C269:C280)</f>
        <v>2.83497174474902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LN(B281/B280)*100</f>
        <v>-7.00618246708986</v>
      </c>
      <c r="D281" s="5" t="n">
        <f aca="false">STDEV(C279:C281)</f>
        <v>2.67383464861819</v>
      </c>
      <c r="E281" s="5" t="n">
        <f aca="false">STDEV(C270:C281)</f>
        <v>3.41463881529488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LN(B282/B281)*100</f>
        <v>-4.94019892514518</v>
      </c>
      <c r="D282" s="5" t="n">
        <f aca="false">STDEV(C280:C282)</f>
        <v>2.43361663924101</v>
      </c>
      <c r="E282" s="5" t="n">
        <f aca="false">STDEV(C271:C282)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LN(B283/B282)*100</f>
        <v>-5.16377768526102</v>
      </c>
      <c r="D283" s="5" t="n">
        <f aca="false">STDEV(C281:C283)</f>
        <v>1.13377914057861</v>
      </c>
      <c r="E283" s="5" t="n">
        <f aca="false">STDEV(C272:C283)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1286.72391304347</v>
      </c>
      <c r="C284" s="5" t="n">
        <f aca="false">LN(B284/B283)*100</f>
        <v>-4.23317354773108</v>
      </c>
      <c r="D284" s="5" t="n">
        <f aca="false">STDEV(C282:C284)</f>
        <v>0.485780541512028</v>
      </c>
      <c r="E284" s="5" t="n">
        <f aca="false">STDEV(C273:C284)</f>
        <v>3.71537518688078</v>
      </c>
    </row>
    <row r="285" customFormat="false" ht="15" hidden="false" customHeight="false" outlineLevel="0" collapsed="false">
      <c r="A285" s="5" t="s">
        <v>306</v>
      </c>
      <c r="B285" s="5" t="n">
        <v>1347.09523809523</v>
      </c>
      <c r="C285" s="5" t="n">
        <f aca="false">LN(B285/B284)*100</f>
        <v>4.58512129641295</v>
      </c>
      <c r="D285" s="5" t="n">
        <f aca="false">STDEV(C283:C285)</f>
        <v>5.38004614871671</v>
      </c>
      <c r="E285" s="5" t="n">
        <f aca="false">STDEV(C274:C285)</f>
        <v>4.01776991642574</v>
      </c>
    </row>
    <row r="286" customFormat="false" ht="15" hidden="false" customHeight="false" outlineLevel="0" collapsed="false">
      <c r="A286" s="5" t="s">
        <v>307</v>
      </c>
      <c r="B286" s="5" t="n">
        <v>1348.79761904761</v>
      </c>
      <c r="C286" s="5" t="n">
        <f aca="false">LN(B286/B285)*100</f>
        <v>0.126294424064245</v>
      </c>
      <c r="D286" s="5" t="n">
        <f aca="false">STDEV(C284:C286)</f>
        <v>4.40924071379161</v>
      </c>
      <c r="E286" s="5" t="n">
        <f aca="false">STDEV(C275:C286)</f>
        <v>3.05324264565481</v>
      </c>
    </row>
    <row r="287" customFormat="false" ht="15" hidden="false" customHeight="false" outlineLevel="0" collapsed="false">
      <c r="A287" s="5" t="s">
        <v>308</v>
      </c>
      <c r="B287" s="5" t="n">
        <v>1316.18478260869</v>
      </c>
      <c r="C287" s="5" t="n">
        <f aca="false">LN(B287/B286)*100</f>
        <v>-2.44763076634862</v>
      </c>
      <c r="D287" s="5" t="n">
        <f aca="false">STDEV(C285:C287)</f>
        <v>3.55822590485057</v>
      </c>
      <c r="E287" s="5" t="n">
        <f aca="false">STDEV(C276:C287)</f>
        <v>2.96696326243306</v>
      </c>
    </row>
    <row r="288" customFormat="false" ht="15" hidden="false" customHeight="false" outlineLevel="0" collapsed="false">
      <c r="A288" s="5" t="s">
        <v>309</v>
      </c>
      <c r="B288" s="5" t="n">
        <v>1275.82142857142</v>
      </c>
      <c r="C288" s="5" t="n">
        <f aca="false">LN(B288/B287)*100</f>
        <v>-3.11470064943087</v>
      </c>
      <c r="D288" s="5" t="n">
        <f aca="false">STDEV(C286:C288)</f>
        <v>1.71143809807117</v>
      </c>
      <c r="E288" s="5" t="n">
        <f aca="false">STDEV(C277:C288)</f>
        <v>2.96079595924317</v>
      </c>
    </row>
    <row r="289" customFormat="false" ht="15" hidden="false" customHeight="false" outlineLevel="0" collapsed="false">
      <c r="A289" s="5" t="s">
        <v>310</v>
      </c>
      <c r="B289" s="5" t="n">
        <v>1225.40277777777</v>
      </c>
      <c r="C289" s="5" t="n">
        <f aca="false">LN(B289/B288)*100</f>
        <v>-4.03206407282166</v>
      </c>
      <c r="D289" s="5" t="n">
        <f aca="false">STDEV(C287:C289)</f>
        <v>0.795504743559264</v>
      </c>
      <c r="E289" s="5" t="n">
        <f aca="false">STDEV(C278:C289)</f>
        <v>2.98600953585315</v>
      </c>
    </row>
    <row r="290" customFormat="false" ht="15" hidden="false" customHeight="false" outlineLevel="0" collapsed="false">
      <c r="A290" s="5" t="s">
        <v>311</v>
      </c>
      <c r="B290" s="5" t="n">
        <v>1244.79545454545</v>
      </c>
      <c r="C290" s="5" t="n">
        <f aca="false">LN(B290/B289)*100</f>
        <v>1.57016347408708</v>
      </c>
      <c r="D290" s="5" t="n">
        <f aca="false">STDEV(C288:C290)</f>
        <v>3.00484223084851</v>
      </c>
      <c r="E290" s="5" t="n">
        <f aca="false">STDEV(C279:C290)</f>
        <v>3.20311032376361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LN(B291/B290)*100</f>
        <v>4.41427604768189</v>
      </c>
      <c r="D291" s="5" t="n">
        <f aca="false">STDEV(C289:C291)</f>
        <v>4.2975689106333</v>
      </c>
      <c r="E291" s="5" t="n">
        <f aca="false">STDEV(C280:C291)</f>
        <v>3.76418707040827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LN(B292/B291)*100</f>
        <v>2.66284650606606</v>
      </c>
      <c r="D292" s="5" t="n">
        <f aca="false">STDEV(C290:C292)</f>
        <v>1.43471472070812</v>
      </c>
      <c r="E292" s="5" t="n">
        <f aca="false">STDEV(C281:C292)</f>
        <v>3.98127151652501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LN(B293/B292)*100</f>
        <v>-2.81477107302351</v>
      </c>
      <c r="D293" s="5" t="n">
        <f aca="false">STDEV(C291:C293)</f>
        <v>3.77118288373323</v>
      </c>
      <c r="E293" s="5" t="n">
        <f aca="false">STDEV(C282:C293)</f>
        <v>3.61823985729262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LN(B294/B293)*100</f>
        <v>-0.887296684549683</v>
      </c>
      <c r="D294" s="5" t="n">
        <f aca="false">STDEV(C292:C294)</f>
        <v>2.7785778297194</v>
      </c>
      <c r="E294" s="5" t="n">
        <f aca="false">STDEV(C283:C294)</f>
        <v>3.41206771982871</v>
      </c>
    </row>
    <row r="295" customFormat="false" ht="15" hidden="false" customHeight="false" outlineLevel="0" collapsed="false">
      <c r="A295" s="5" t="s">
        <v>316</v>
      </c>
      <c r="B295" s="5" t="n">
        <v>1279.09523809523</v>
      </c>
      <c r="C295" s="5" t="n">
        <f aca="false">LN(B295/B294)*100</f>
        <v>-0.656878808241969</v>
      </c>
      <c r="D295" s="5" t="n">
        <f aca="false">STDEV(C293:C295)</f>
        <v>1.18495773077557</v>
      </c>
      <c r="E295" s="5" t="n">
        <f aca="false">STDEV(C284:C295)</f>
        <v>3.12104654292692</v>
      </c>
    </row>
    <row r="296" customFormat="false" ht="15" hidden="false" customHeight="false" outlineLevel="0" collapsed="false">
      <c r="A296" s="5" t="s">
        <v>317</v>
      </c>
      <c r="B296" s="5" t="n">
        <v>1310.96739130434</v>
      </c>
      <c r="C296" s="5" t="n">
        <f aca="false">LN(B296/B295)*100</f>
        <v>2.46123485647185</v>
      </c>
      <c r="D296" s="5" t="n">
        <f aca="false">STDEV(C294:C296)</f>
        <v>1.87031141368727</v>
      </c>
      <c r="E296" s="5" t="n">
        <f aca="false">STDEV(C285:C296)</f>
        <v>2.96862583918375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LN(B297/B296)*100</f>
        <v>-1.14923785034238</v>
      </c>
      <c r="D297" s="5" t="n">
        <f aca="false">STDEV(C295:C297)</f>
        <v>1.95791400130613</v>
      </c>
      <c r="E297" s="5" t="n">
        <f aca="false">STDEV(C286:C297)</f>
        <v>2.63337422315823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LN(B298/B297)*100</f>
        <v>-4.51151068525289</v>
      </c>
      <c r="D298" s="5" t="n">
        <f aca="false">STDEV(C296:C298)</f>
        <v>3.48710893082579</v>
      </c>
      <c r="E298" s="5" t="n">
        <f aca="false">STDEV(C287:C298)</f>
        <v>2.88943126550637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LN(B299/B298)*100</f>
        <v>-1.32687949018427</v>
      </c>
      <c r="D299" s="5" t="n">
        <f aca="false">STDEV(C297:C299)</f>
        <v>1.89201440345059</v>
      </c>
      <c r="E299" s="5" t="n">
        <f aca="false">STDEV(C288:C299)</f>
        <v>2.8459022209584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LN(B300/B299)*100</f>
        <v>-3.85151320832103</v>
      </c>
      <c r="D300" s="5" t="n">
        <f aca="false">STDEV(C298:C300)</f>
        <v>1.68083550300208</v>
      </c>
      <c r="E300" s="5" t="n">
        <f aca="false">STDEV(C289:C300)</f>
        <v>2.91191026958419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LN(B301/B300)*100</f>
        <v>2.18537148270187</v>
      </c>
      <c r="D301" s="5" t="n">
        <f aca="false">STDEV(C299:C301)</f>
        <v>3.03187673122329</v>
      </c>
      <c r="E301" s="5" t="n">
        <f aca="false">STDEV(C290:C301)</f>
        <v>2.81205717162565</v>
      </c>
    </row>
    <row r="302" customFormat="false" ht="15" hidden="false" customHeight="false" outlineLevel="0" collapsed="false">
      <c r="A302" s="5" t="s">
        <v>323</v>
      </c>
      <c r="B302" s="5" t="n">
        <v>1251.84523809523</v>
      </c>
      <c r="C302" s="5" t="n">
        <f aca="false">LN(B302/B301)*100</f>
        <v>4.03910194810441</v>
      </c>
      <c r="D302" s="5" t="n">
        <f aca="false">STDEV(C300:C302)</f>
        <v>4.12597667140519</v>
      </c>
      <c r="E302" s="5" t="n">
        <f aca="false">STDEV(C291:C302)</f>
        <v>3.03178371702873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LN(B303/B302)*100</f>
        <v>-1.98936875021297</v>
      </c>
      <c r="D303" s="5" t="n">
        <f aca="false">STDEV(C301:C303)</f>
        <v>3.08780481926213</v>
      </c>
      <c r="E303" s="5" t="n">
        <f aca="false">STDEV(C292:C303)</f>
        <v>2.74302596662204</v>
      </c>
    </row>
    <row r="304" customFormat="false" ht="15" hidden="false" customHeight="false" outlineLevel="0" collapsed="false">
      <c r="A304" s="5" t="s">
        <v>325</v>
      </c>
      <c r="B304" s="5" t="n">
        <v>1178.62954545454</v>
      </c>
      <c r="C304" s="5" t="n">
        <f aca="false">LN(B304/B303)*100</f>
        <v>-4.03726044199161</v>
      </c>
      <c r="D304" s="5" t="n">
        <f aca="false">STDEV(C302:C304)</f>
        <v>4.19849077641567</v>
      </c>
      <c r="E304" s="5" t="n">
        <f aca="false">STDEV(C293:C304)</f>
        <v>2.72553018283347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LN(B305/B304)*100</f>
        <v>1.6226010292261</v>
      </c>
      <c r="D305" s="5" t="n">
        <f aca="false">STDEV(C303:C305)</f>
        <v>2.86572323454923</v>
      </c>
      <c r="E305" s="5" t="n">
        <f aca="false">STDEV(C294:C305)</f>
        <v>2.76431939836122</v>
      </c>
    </row>
    <row r="306" customFormat="false" ht="15" hidden="false" customHeight="false" outlineLevel="0" collapsed="false">
      <c r="A306" s="5" t="s">
        <v>327</v>
      </c>
      <c r="B306" s="5" t="n">
        <v>1199.05263157894</v>
      </c>
      <c r="C306" s="5" t="n">
        <f aca="false">LN(B306/B305)*100</f>
        <v>0.0953399648737062</v>
      </c>
      <c r="D306" s="5" t="n">
        <f aca="false">STDEV(C304:C306)</f>
        <v>2.92816621667569</v>
      </c>
      <c r="E306" s="5" t="n">
        <f aca="false">STDEV(C295:C306)</f>
        <v>2.772006761478</v>
      </c>
    </row>
    <row r="307" customFormat="false" ht="15" hidden="false" customHeight="false" outlineLevel="0" collapsed="false">
      <c r="A307" s="5" t="s">
        <v>328</v>
      </c>
      <c r="B307" s="5" t="n">
        <v>1181.50454545454</v>
      </c>
      <c r="C307" s="5" t="n">
        <f aca="false">LN(B307/B306)*100</f>
        <v>-1.47431064842252</v>
      </c>
      <c r="D307" s="5" t="n">
        <f aca="false">STDEV(C305:C307)</f>
        <v>1.54850418929928</v>
      </c>
      <c r="E307" s="5" t="n">
        <f aca="false">STDEV(C296:C307)</f>
        <v>2.78373151606234</v>
      </c>
    </row>
    <row r="308" customFormat="false" ht="15" hidden="false" customHeight="false" outlineLevel="0" collapsed="false">
      <c r="A308" s="5" t="s">
        <v>329</v>
      </c>
      <c r="B308" s="5" t="n">
        <v>1130.03695652173</v>
      </c>
      <c r="C308" s="5" t="n">
        <f aca="false">LN(B308/B307)*100</f>
        <v>-4.45383277511057</v>
      </c>
      <c r="D308" s="5" t="n">
        <f aca="false">STDEV(C306:C308)</f>
        <v>2.31071157039922</v>
      </c>
      <c r="E308" s="5" t="n">
        <f aca="false">STDEV(C297:C308)</f>
        <v>2.7942806565314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LN(B309/B308)*100</f>
        <v>-1.11786611852519</v>
      </c>
      <c r="D309" s="5" t="n">
        <f aca="false">STDEV(C307:C309)</f>
        <v>1.83181505344502</v>
      </c>
      <c r="E309" s="5" t="n">
        <f aca="false">STDEV(C298:C309)</f>
        <v>2.79438554223413</v>
      </c>
    </row>
    <row r="310" customFormat="false" ht="15" hidden="false" customHeight="false" outlineLevel="0" collapsed="false">
      <c r="A310" s="5" t="s">
        <v>331</v>
      </c>
      <c r="B310" s="5" t="n">
        <v>1124.53181818181</v>
      </c>
      <c r="C310" s="5" t="n">
        <f aca="false">LN(B310/B309)*100</f>
        <v>0.629511153024581</v>
      </c>
      <c r="D310" s="5" t="n">
        <f aca="false">STDEV(C308:C310)</f>
        <v>2.58271131289989</v>
      </c>
      <c r="E310" s="5" t="n">
        <f aca="false">STDEV(C299:C310)</f>
        <v>2.63599172869685</v>
      </c>
    </row>
    <row r="311" customFormat="false" ht="15" hidden="false" customHeight="false" outlineLevel="0" collapsed="false">
      <c r="A311" s="5" t="s">
        <v>332</v>
      </c>
      <c r="B311" s="5" t="n">
        <v>1159.24545454545</v>
      </c>
      <c r="C311" s="5" t="n">
        <f aca="false">LN(B311/B310)*100</f>
        <v>3.04025358303586</v>
      </c>
      <c r="D311" s="5" t="n">
        <f aca="false">STDEV(C309:C311)</f>
        <v>2.08786038188603</v>
      </c>
      <c r="E311" s="5" t="n">
        <f aca="false">STDEV(C300:C311)</f>
        <v>2.85037762424464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LN(B312/B311)*100</f>
        <v>-6.55421899867197</v>
      </c>
      <c r="D312" s="5" t="n">
        <f aca="false">STDEV(C310:C312)</f>
        <v>4.99118493074531</v>
      </c>
      <c r="E312" s="5" t="n">
        <f aca="false">STDEV(C301:C312)</f>
        <v>3.22621801968314</v>
      </c>
    </row>
    <row r="313" customFormat="false" ht="15" hidden="false" customHeight="false" outlineLevel="0" collapsed="false">
      <c r="A313" s="5" t="s">
        <v>334</v>
      </c>
      <c r="B313" s="5" t="n">
        <v>1068.25263157894</v>
      </c>
      <c r="C313" s="5" t="n">
        <f aca="false">LN(B313/B312)*100</f>
        <v>-1.62028742770377</v>
      </c>
      <c r="D313" s="5" t="n">
        <f aca="false">STDEV(C311:C313)</f>
        <v>4.79788542625683</v>
      </c>
      <c r="E313" s="5" t="n">
        <f aca="false">STDEV(C302:C313)</f>
        <v>3.10501574457544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LN(B314/B313)*100</f>
        <v>2.68967052766979</v>
      </c>
      <c r="D314" s="5" t="n">
        <f aca="false">STDEV(C312:C314)</f>
        <v>4.62545334533628</v>
      </c>
      <c r="E314" s="5" t="n">
        <f aca="false">STDEV(C303:C314)</f>
        <v>2.9257808688616</v>
      </c>
    </row>
    <row r="315" customFormat="false" ht="15" hidden="false" customHeight="false" outlineLevel="0" collapsed="false">
      <c r="A315" s="5" t="s">
        <v>336</v>
      </c>
      <c r="B315" s="5" t="n">
        <v>1199.9119047619</v>
      </c>
      <c r="C315" s="5" t="n">
        <f aca="false">LN(B315/B314)*100</f>
        <v>8.9327177136458</v>
      </c>
      <c r="D315" s="5" t="n">
        <f aca="false">STDEV(C313:C315)</f>
        <v>5.30592896762294</v>
      </c>
      <c r="E315" s="5" t="n">
        <f aca="false">STDEV(C304:C315)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1246.33809523809</v>
      </c>
      <c r="C316" s="5" t="n">
        <f aca="false">LN(B316/B315)*100</f>
        <v>3.79615866501579</v>
      </c>
      <c r="D316" s="5" t="n">
        <f aca="false">STDEV(C314:C316)</f>
        <v>3.33127085420548</v>
      </c>
      <c r="E316" s="5" t="n">
        <f aca="false">STDEV(C305:C316)</f>
        <v>4.04478190199533</v>
      </c>
    </row>
    <row r="317" customFormat="false" ht="15" hidden="false" customHeight="false" outlineLevel="0" collapsed="false">
      <c r="A317" s="5" t="s">
        <v>338</v>
      </c>
      <c r="B317" s="5" t="n">
        <v>1242.2619047619</v>
      </c>
      <c r="C317" s="5" t="n">
        <f aca="false">LN(B317/B316)*100</f>
        <v>-0.327589337095945</v>
      </c>
      <c r="D317" s="5" t="n">
        <f aca="false">STDEV(C315:C317)</f>
        <v>4.63937537316898</v>
      </c>
      <c r="E317" s="5" t="n">
        <f aca="false">STDEV(C306:C317)</f>
        <v>4.03322510724998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LN(B318/B317)*100</f>
        <v>1.36995973183861</v>
      </c>
      <c r="D318" s="5" t="n">
        <f aca="false">STDEV(C316:C318)</f>
        <v>2.07257535808758</v>
      </c>
      <c r="E318" s="5" t="n">
        <f aca="false">STDEV(C307:C318)</f>
        <v>4.04402973217697</v>
      </c>
    </row>
    <row r="319" customFormat="false" ht="15" hidden="false" customHeight="false" outlineLevel="0" collapsed="false">
      <c r="A319" s="5" t="s">
        <v>340</v>
      </c>
      <c r="B319" s="5" t="n">
        <v>1276.40454545454</v>
      </c>
      <c r="C319" s="5" t="n">
        <f aca="false">LN(B319/B318)*100</f>
        <v>1.34137445694319</v>
      </c>
      <c r="D319" s="5" t="n">
        <f aca="false">STDEV(C317:C319)</f>
        <v>0.971933648729424</v>
      </c>
      <c r="E319" s="5" t="n">
        <f aca="false">STDEV(C308:C319)</f>
        <v>4.00632130407041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LN(B320/B319)*100</f>
        <v>4.66250637301065</v>
      </c>
      <c r="D320" s="5" t="n">
        <f aca="false">STDEV(C318:C320)</f>
        <v>1.90925804551384</v>
      </c>
      <c r="E320" s="5" t="n">
        <f aca="false">STDEV(C309:C320)</f>
        <v>3.81140438272531</v>
      </c>
    </row>
    <row r="321" customFormat="false" ht="15" hidden="false" customHeight="false" outlineLevel="0" collapsed="false">
      <c r="A321" s="5" t="s">
        <v>342</v>
      </c>
      <c r="B321" s="5" t="n">
        <v>1341.08863636363</v>
      </c>
      <c r="C321" s="5" t="n">
        <f aca="false">LN(B321/B320)*100</f>
        <v>0.280945903114374</v>
      </c>
      <c r="D321" s="5" t="n">
        <f aca="false">STDEV(C319:C321)</f>
        <v>2.28591695945176</v>
      </c>
      <c r="E321" s="5" t="n">
        <f aca="false">STDEV(C310:C321)</f>
        <v>3.74814592984081</v>
      </c>
    </row>
    <row r="322" customFormat="false" ht="15" hidden="false" customHeight="false" outlineLevel="0" collapsed="false">
      <c r="A322" s="5" t="s">
        <v>343</v>
      </c>
      <c r="B322" s="5" t="n">
        <v>1326.02954545454</v>
      </c>
      <c r="C322" s="5" t="n">
        <f aca="false">LN(B322/B321)*100</f>
        <v>-1.1292526173597</v>
      </c>
      <c r="D322" s="5" t="n">
        <f aca="false">STDEV(C320:C322)</f>
        <v>3.02024293231082</v>
      </c>
      <c r="E322" s="5" t="n">
        <f aca="false">STDEV(C311:C322)</f>
        <v>3.81983661062051</v>
      </c>
    </row>
    <row r="323" customFormat="false" ht="15" hidden="false" customHeight="false" outlineLevel="0" collapsed="false">
      <c r="A323" s="5" t="s">
        <v>344</v>
      </c>
      <c r="B323" s="5" t="n">
        <v>1266.56904761904</v>
      </c>
      <c r="C323" s="5" t="n">
        <f aca="false">LN(B323/B322)*100</f>
        <v>-4.58774657301773</v>
      </c>
      <c r="D323" s="5" t="n">
        <f aca="false">STDEV(C321:C323)</f>
        <v>2.50512829796586</v>
      </c>
      <c r="E323" s="5" t="n">
        <f aca="false">STDEV(C312:C323)</f>
        <v>4.13864822048988</v>
      </c>
    </row>
    <row r="324" customFormat="false" ht="15" hidden="false" customHeight="false" outlineLevel="0" collapsed="false">
      <c r="A324" s="5" t="s">
        <v>345</v>
      </c>
      <c r="B324" s="5" t="n">
        <v>1235.97954545454</v>
      </c>
      <c r="C324" s="5" t="n">
        <f aca="false">LN(B324/B323)*100</f>
        <v>-2.44478975116231</v>
      </c>
      <c r="D324" s="5" t="n">
        <f aca="false">STDEV(C322:C324)</f>
        <v>1.74566521857588</v>
      </c>
      <c r="E324" s="5" t="n">
        <f aca="false">STDEV(C313:C324)</f>
        <v>3.61763502798748</v>
      </c>
    </row>
    <row r="325" customFormat="false" ht="15" hidden="false" customHeight="false" outlineLevel="0" collapsed="false">
      <c r="A325" s="5" t="s">
        <v>346</v>
      </c>
      <c r="B325" s="5" t="n">
        <v>1151.40277777777</v>
      </c>
      <c r="C325" s="5" t="n">
        <f aca="false">LN(B325/B324)*100</f>
        <v>-7.08828041349537</v>
      </c>
      <c r="D325" s="5" t="n">
        <f aca="false">STDEV(C323:C325)</f>
        <v>2.32403883210833</v>
      </c>
      <c r="E325" s="5" t="n">
        <f aca="false">STDEV(C314:C325)</f>
        <v>4.27360962391868</v>
      </c>
    </row>
    <row r="326" customFormat="false" ht="15" hidden="false" customHeight="false" outlineLevel="0" collapsed="false">
      <c r="A326" s="5" t="s">
        <v>347</v>
      </c>
      <c r="B326" s="5" t="n">
        <v>1192.61666666666</v>
      </c>
      <c r="C326" s="5" t="n">
        <f aca="false">LN(B326/B325)*100</f>
        <v>3.5168766899081</v>
      </c>
      <c r="D326" s="5" t="n">
        <f aca="false">STDEV(C324:C326)</f>
        <v>5.31621465383075</v>
      </c>
      <c r="E326" s="5" t="n">
        <f aca="false">STDEV(C315:C326)</f>
        <v>4.31640413912776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LN(B327/B326)*100</f>
        <v>3.44008191139718</v>
      </c>
      <c r="D327" s="5" t="n">
        <f aca="false">STDEV(C325:C327)</f>
        <v>6.1008423990748</v>
      </c>
      <c r="E327" s="5" t="n">
        <f aca="false">STDEV(C316:C327)</f>
        <v>3.59406726168916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LN(B328/B327)*100</f>
        <v>-0.264781062360456</v>
      </c>
      <c r="D328" s="5" t="n">
        <f aca="false">STDEV(C326:C328)</f>
        <v>2.161513453101</v>
      </c>
      <c r="E328" s="5" t="n">
        <f aca="false">STDEV(C317:C328)</f>
        <v>3.41508830129168</v>
      </c>
    </row>
    <row r="329" customFormat="false" ht="15" hidden="false" customHeight="false" outlineLevel="0" collapsed="false">
      <c r="A329" s="5" t="s">
        <v>350</v>
      </c>
      <c r="B329" s="5" t="n">
        <v>1265.62777777777</v>
      </c>
      <c r="C329" s="5" t="n">
        <f aca="false">LN(B329/B328)*100</f>
        <v>2.76654849296746</v>
      </c>
      <c r="D329" s="5" t="n">
        <f aca="false">STDEV(C327:C329)</f>
        <v>1.97351698721962</v>
      </c>
      <c r="E329" s="5" t="n">
        <f aca="false">STDEV(C318:C329)</f>
        <v>3.51198511647031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LN(B330/B329)*100</f>
        <v>-1.64289113652755</v>
      </c>
      <c r="D330" s="5" t="n">
        <f aca="false">STDEV(C328:C330)</f>
        <v>2.25578161234957</v>
      </c>
      <c r="E330" s="5" t="n">
        <f aca="false">STDEV(C319:C330)</f>
        <v>3.52492435998039</v>
      </c>
    </row>
    <row r="331" customFormat="false" ht="15" hidden="false" customHeight="false" outlineLevel="0" collapsed="false">
      <c r="A331" s="5" t="s">
        <v>352</v>
      </c>
      <c r="B331" s="5" t="n">
        <v>1260.25681818181</v>
      </c>
      <c r="C331" s="5" t="n">
        <f aca="false">LN(B331/B330)*100</f>
        <v>1.21761694154676</v>
      </c>
      <c r="D331" s="5" t="n">
        <f aca="false">STDEV(C329:C331)</f>
        <v>2.23699401213161</v>
      </c>
      <c r="E331" s="5" t="n">
        <f aca="false">STDEV(C320:C331)</f>
        <v>3.52051559319295</v>
      </c>
    </row>
    <row r="332" customFormat="false" ht="15" hidden="false" customHeight="false" outlineLevel="0" collapsed="false">
      <c r="A332" s="5" t="s">
        <v>353</v>
      </c>
      <c r="B332" s="5" t="n">
        <v>1236.22142857142</v>
      </c>
      <c r="C332" s="5" t="n">
        <f aca="false">LN(B332/B331)*100</f>
        <v>-1.92560318281222</v>
      </c>
      <c r="D332" s="5" t="n">
        <f aca="false">STDEV(C330:C332)</f>
        <v>1.73888207938406</v>
      </c>
      <c r="E332" s="5" t="n">
        <f aca="false">STDEV(C321:C332)</f>
        <v>3.20919731431477</v>
      </c>
    </row>
    <row r="333" customFormat="false" ht="15" hidden="false" customHeight="false" outlineLevel="0" collapsed="false">
      <c r="A333" s="5" t="s">
        <v>354</v>
      </c>
      <c r="B333" s="5" t="n">
        <v>1282.3159090909</v>
      </c>
      <c r="C333" s="5" t="n">
        <f aca="false">LN(B333/B332)*100</f>
        <v>3.66082547701742</v>
      </c>
      <c r="D333" s="5" t="n">
        <f aca="false">STDEV(C331:C333)</f>
        <v>2.80051441314324</v>
      </c>
      <c r="E333" s="5" t="n">
        <f aca="false">STDEV(C322:C333)</f>
        <v>3.43891537941799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LN(B334/B333)*100</f>
        <v>2.5152622915397</v>
      </c>
      <c r="D334" s="5" t="n">
        <f aca="false">STDEV(C332:C334)</f>
        <v>2.95075657938149</v>
      </c>
      <c r="E334" s="5" t="n">
        <f aca="false">STDEV(C323:C334)</f>
        <v>3.52593086334268</v>
      </c>
    </row>
    <row r="335" customFormat="false" ht="15" hidden="false" customHeight="false" outlineLevel="0" collapsed="false">
      <c r="A335" s="5" t="s">
        <v>356</v>
      </c>
      <c r="B335" s="5" t="n">
        <v>1279.51363636363</v>
      </c>
      <c r="C335" s="5" t="n">
        <f aca="false">LN(B335/B334)*100</f>
        <v>-2.73403358722581</v>
      </c>
      <c r="D335" s="5" t="n">
        <f aca="false">STDEV(C333:C335)</f>
        <v>3.40983002231001</v>
      </c>
      <c r="E335" s="5" t="n">
        <f aca="false">STDEV(C324:C335)</f>
        <v>3.34601249368345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LN(B336/B335)*100</f>
        <v>0.216289958884145</v>
      </c>
      <c r="D336" s="5" t="n">
        <f aca="false">STDEV(C334:C336)</f>
        <v>2.63137448354376</v>
      </c>
      <c r="E336" s="5" t="n">
        <f aca="false">STDEV(C325:C336)</f>
        <v>3.24992991820394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LN(B337/B336)*100</f>
        <v>-1.65349771399635</v>
      </c>
      <c r="D337" s="5" t="n">
        <f aca="false">STDEV(C335:C337)</f>
        <v>1.49265271366799</v>
      </c>
      <c r="E337" s="5" t="n">
        <f aca="false">STDEV(C326:C337)</f>
        <v>2.39089137041959</v>
      </c>
    </row>
    <row r="338" customFormat="false" ht="15" hidden="false" customHeight="false" outlineLevel="0" collapsed="false">
      <c r="A338" s="5" t="s">
        <v>359</v>
      </c>
      <c r="B338" s="5" t="n">
        <v>1331.6659090909</v>
      </c>
      <c r="C338" s="5" t="n">
        <f aca="false">LN(B338/B337)*100</f>
        <v>5.43227650750322</v>
      </c>
      <c r="D338" s="5" t="n">
        <f aca="false">STDEV(C336:C338)</f>
        <v>3.67221136680835</v>
      </c>
      <c r="E338" s="5" t="n">
        <f aca="false">STDEV(C327:C338)</f>
        <v>2.64242275098838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LN(B339/B338)*100</f>
        <v>-0.0105819744690796</v>
      </c>
      <c r="D339" s="5" t="n">
        <f aca="false">STDEV(C337:C339)</f>
        <v>3.70882004821012</v>
      </c>
      <c r="E339" s="5" t="n">
        <f aca="false">STDEV(C328:C339)</f>
        <v>2.52842826481276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LN(B340/B339)*100</f>
        <v>-0.517123606614103</v>
      </c>
      <c r="D340" s="5" t="n">
        <f aca="false">STDEV(C338:C340)</f>
        <v>3.2983999807415</v>
      </c>
      <c r="E340" s="5" t="n">
        <f aca="false">STDEV(C329:C340)</f>
        <v>2.53759246161425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LN(B341/B340)*100</f>
        <v>0.758285048419176</v>
      </c>
      <c r="D341" s="5" t="n">
        <f aca="false">STDEV(C339:C341)</f>
        <v>0.642184833376782</v>
      </c>
      <c r="E341" s="5" t="n">
        <f aca="false">STDEV(C330:C341)</f>
        <v>2.44707668315181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LN(B342/B341)*100</f>
        <v>-2.40471182544634</v>
      </c>
      <c r="D342" s="5" t="n">
        <f aca="false">STDEV(C340:C342)</f>
        <v>1.59134145431305</v>
      </c>
      <c r="E342" s="5" t="n">
        <f aca="false">STDEV(C331:C342)</f>
        <v>2.51505084994586</v>
      </c>
    </row>
    <row r="343" customFormat="false" ht="15" hidden="false" customHeight="false" outlineLevel="0" collapsed="false">
      <c r="A343" s="5" t="s">
        <v>364</v>
      </c>
      <c r="B343" s="5" t="n">
        <v>1281.56666666666</v>
      </c>
      <c r="C343" s="5" t="n">
        <f aca="false">LN(B343/B342)*100</f>
        <v>-1.6606110237436</v>
      </c>
      <c r="D343" s="5" t="n">
        <f aca="false">STDEV(C341:C343)</f>
        <v>1.6537479370157</v>
      </c>
      <c r="E343" s="5" t="n">
        <f aca="false">STDEV(C332:C343)</f>
        <v>2.5646200079383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LN(B344/B343)*100</f>
        <v>-3.41621323864189</v>
      </c>
      <c r="D344" s="5" t="n">
        <f aca="false">STDEV(C342:C344)</f>
        <v>0.881188614783755</v>
      </c>
      <c r="E344" s="5" t="n">
        <f aca="false">STDEV(C333:C344)</f>
        <v>2.70595318446722</v>
      </c>
    </row>
    <row r="345" customFormat="false" ht="15" hidden="false" customHeight="false" outlineLevel="0" collapsed="false">
      <c r="A345" s="5" t="s">
        <v>366</v>
      </c>
      <c r="B345" s="5" t="n">
        <v>1201.24545454545</v>
      </c>
      <c r="C345" s="5" t="n">
        <f aca="false">LN(B345/B344)*100</f>
        <v>-3.05622580940513</v>
      </c>
      <c r="D345" s="5" t="n">
        <f aca="false">STDEV(C343:C345)</f>
        <v>0.927314286539484</v>
      </c>
      <c r="E345" s="5" t="n">
        <f aca="false">STDEV(C334:C345)</f>
        <v>2.57490332811111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LN(B346/B345)*100</f>
        <v>-0.231106807731418</v>
      </c>
      <c r="D346" s="5" t="n">
        <f aca="false">STDEV(C344:C346)</f>
        <v>1.74431415839453</v>
      </c>
      <c r="E346" s="5" t="n">
        <f aca="false">STDEV(C335:C346)</f>
        <v>2.3939383530258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LN(B347/B346)*100</f>
        <v>1.40200455040512</v>
      </c>
      <c r="D347" s="5" t="n">
        <f aca="false">STDEV(C345:C347)</f>
        <v>2.25551797535238</v>
      </c>
      <c r="E347" s="5" t="n">
        <f aca="false">STDEV(C336:C347)</f>
        <v>2.38366864197248</v>
      </c>
    </row>
    <row r="348" customFormat="false" ht="15" hidden="false" customHeight="false" outlineLevel="0" collapsed="false">
      <c r="A348" s="5" t="s">
        <v>369</v>
      </c>
      <c r="B348" s="5" t="n">
        <v>1220.94545454545</v>
      </c>
      <c r="C348" s="5" t="n">
        <f aca="false">LN(B348/B347)*100</f>
        <v>0.455764657400789</v>
      </c>
      <c r="D348" s="5" t="n">
        <f aca="false">STDEV(C346:C348)</f>
        <v>0.819981204337461</v>
      </c>
      <c r="E348" s="5" t="n">
        <f aca="false">STDEV(C337:C348)</f>
        <v>2.39054953230244</v>
      </c>
    </row>
    <row r="349" customFormat="false" ht="15" hidden="false" customHeight="false" outlineLevel="0" collapsed="false">
      <c r="A349" s="5" t="s">
        <v>370</v>
      </c>
      <c r="B349" s="5" t="n">
        <v>1247.92352941176</v>
      </c>
      <c r="C349" s="5" t="n">
        <f aca="false">LN(B349/B348)*100</f>
        <v>2.18554722013082</v>
      </c>
      <c r="D349" s="5" t="n">
        <f aca="false">STDEV(C347:C349)</f>
        <v>0.866165569691943</v>
      </c>
      <c r="E349" s="5" t="n">
        <f aca="false">STDEV(C338:C349)</f>
        <v>2.46452475598141</v>
      </c>
    </row>
    <row r="350" customFormat="false" ht="15" hidden="false" customHeight="false" outlineLevel="0" collapsed="false">
      <c r="A350" s="5" t="s">
        <v>371</v>
      </c>
      <c r="B350" s="5" t="n">
        <v>1291.74545454545</v>
      </c>
      <c r="C350" s="5" t="n">
        <f aca="false">LN(B350/B349)*100</f>
        <v>3.45133757843315</v>
      </c>
      <c r="D350" s="5" t="n">
        <f aca="false">STDEV(C348:C350)</f>
        <v>1.50376361566118</v>
      </c>
      <c r="E350" s="5" t="n">
        <f aca="false">STDEV(C339:C350)</f>
        <v>2.10058307984063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LN(B351/B350)*100</f>
        <v>2.16866084657532</v>
      </c>
      <c r="D351" s="5" t="n">
        <f aca="false">STDEV(C349:C351)</f>
        <v>0.735727528735163</v>
      </c>
      <c r="E351" s="5" t="n">
        <f aca="false">STDEV(C340:C351)</f>
        <v>2.21461327801787</v>
      </c>
    </row>
    <row r="352" customFormat="false" ht="15" hidden="false" customHeight="false" outlineLevel="0" collapsed="false">
      <c r="A352" s="5" t="s">
        <v>373</v>
      </c>
      <c r="B352" s="5" t="n">
        <v>1300.89761904761</v>
      </c>
      <c r="C352" s="5" t="n">
        <f aca="false">LN(B352/B351)*100</f>
        <v>-1.46264754212049</v>
      </c>
      <c r="D352" s="5" t="n">
        <f aca="false">STDEV(C350:C352)</f>
        <v>2.54882031461892</v>
      </c>
      <c r="E352" s="5" t="n">
        <f aca="false">STDEV(C341:C352)</f>
        <v>2.24845066075915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LN(B353/B352)*100</f>
        <v>-1.11719022149331</v>
      </c>
      <c r="D353" s="5" t="n">
        <f aca="false">STDEV(C351:C353)</f>
        <v>2.00426872016185</v>
      </c>
      <c r="E353" s="5" t="n">
        <f aca="false">STDEV(C342:C353)</f>
        <v>2.2446925761109</v>
      </c>
    </row>
    <row r="354" customFormat="false" ht="15" hidden="false" customHeight="false" outlineLevel="0" collapsed="false">
      <c r="A354" s="5" t="s">
        <v>375</v>
      </c>
      <c r="B354" s="5" t="n">
        <v>1283.94761904761</v>
      </c>
      <c r="C354" s="5" t="n">
        <f aca="false">LN(B354/B353)*100</f>
        <v>-0.194319087265032</v>
      </c>
      <c r="D354" s="5" t="n">
        <f aca="false">STDEV(C352:C354)</f>
        <v>0.655704323630036</v>
      </c>
      <c r="E354" s="5" t="n">
        <f aca="false">STDEV(C343:C354)</f>
        <v>2.14541274104805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LN(B355/B354)*100</f>
        <v>5.68409983735007</v>
      </c>
      <c r="D355" s="5" t="n">
        <f aca="false">STDEV(C353:C355)</f>
        <v>3.68928734419415</v>
      </c>
      <c r="E355" s="5" t="n">
        <f aca="false">STDEV(C344:C355)</f>
        <v>2.65419550139508</v>
      </c>
    </row>
    <row r="356" customFormat="false" ht="15" hidden="false" customHeight="false" outlineLevel="0" collapsed="false">
      <c r="A356" s="5" t="s">
        <v>377</v>
      </c>
      <c r="B356" s="5" t="n">
        <v>1412.97826086956</v>
      </c>
      <c r="C356" s="5" t="n">
        <f aca="false">LN(B356/B355)*100</f>
        <v>3.89193108203972</v>
      </c>
      <c r="D356" s="5" t="n">
        <f aca="false">STDEV(C354:C356)</f>
        <v>3.01289225238603</v>
      </c>
      <c r="E356" s="5" t="n">
        <f aca="false">STDEV(C345:C356)</f>
        <v>2.51122403772555</v>
      </c>
    </row>
    <row r="357" customFormat="false" ht="15" hidden="false" customHeight="false" outlineLevel="0" collapsed="false">
      <c r="A357" s="5" t="s">
        <v>378</v>
      </c>
      <c r="B357" s="5" t="n">
        <v>1498.79761904761</v>
      </c>
      <c r="C357" s="5" t="n">
        <f aca="false">LN(B357/B356)*100</f>
        <v>5.8963480868419</v>
      </c>
      <c r="D357" s="5" t="n">
        <f aca="false">STDEV(C355:C357)</f>
        <v>1.1011059361738</v>
      </c>
      <c r="E357" s="5" t="n">
        <f aca="false">STDEV(C346:C357)</f>
        <v>2.49460221035306</v>
      </c>
    </row>
    <row r="358" customFormat="false" ht="15" hidden="false" customHeight="false" outlineLevel="0" collapsed="false">
      <c r="A358" s="5" t="s">
        <v>379</v>
      </c>
      <c r="B358" s="5" t="n">
        <v>1511.31428571428</v>
      </c>
      <c r="C358" s="5" t="n">
        <f aca="false">LN(B358/B357)*100</f>
        <v>0.831646078551411</v>
      </c>
      <c r="D358" s="5" t="n">
        <f aca="false">STDEV(C356:C358)</f>
        <v>2.55062862397022</v>
      </c>
      <c r="E358" s="5" t="n">
        <f aca="false">STDEV(C347:C358)</f>
        <v>2.43231433949249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LN(B359/B358)*100</f>
        <v>-1.09872415200045</v>
      </c>
      <c r="D359" s="5" t="n">
        <f aca="false">STDEV(C357:C359)</f>
        <v>3.61267609228038</v>
      </c>
      <c r="E359" s="5" t="n">
        <f aca="false">STDEV(C348:C359)</f>
        <v>2.58430169245576</v>
      </c>
    </row>
    <row r="360" customFormat="false" ht="15" hidden="false" customHeight="false" outlineLevel="0" collapsed="false">
      <c r="A360" s="5" t="s">
        <v>381</v>
      </c>
      <c r="B360" s="5" t="n">
        <v>1470.01666666666</v>
      </c>
      <c r="C360" s="5" t="n">
        <f aca="false">LN(B360/B359)*100</f>
        <v>-1.67186800343437</v>
      </c>
      <c r="D360" s="5" t="n">
        <f aca="false">STDEV(C358:C360)</f>
        <v>1.3116405668817</v>
      </c>
      <c r="E360" s="5" t="n">
        <f aca="false">STDEV(C349:C360)</f>
        <v>2.74710774706464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LN(B361/B360)*100</f>
        <v>0.409209854231555</v>
      </c>
      <c r="D361" s="5" t="n">
        <f aca="false">STDEV(C359:C361)</f>
        <v>1.07496076604799</v>
      </c>
      <c r="E361" s="5" t="n">
        <f aca="false">STDEV(C350:C361)</f>
        <v>2.75741529143574</v>
      </c>
    </row>
    <row r="362" customFormat="false" ht="15" hidden="false" customHeight="false" outlineLevel="0" collapsed="false">
      <c r="A362" s="5" t="s">
        <v>383</v>
      </c>
      <c r="B362" s="5" t="n">
        <v>1560.67272727272</v>
      </c>
      <c r="C362" s="5" t="n">
        <f aca="false">LN(B362/B361)*100</f>
        <v>5.57511266002373</v>
      </c>
      <c r="D362" s="5" t="n">
        <f aca="false">STDEV(C360:C362)</f>
        <v>3.73131267306593</v>
      </c>
      <c r="E362" s="5" t="n">
        <f aca="false">STDEV(C351:C362)</f>
        <v>2.96170278985326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LN(B363/B362)*100</f>
        <v>2.30740862786745</v>
      </c>
      <c r="D363" s="5" t="n">
        <f aca="false">STDEV(C361:C363)</f>
        <v>2.61303144594213</v>
      </c>
      <c r="E363" s="5" t="n">
        <f aca="false">STDEV(C352:C363)</f>
        <v>2.96449626299647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LN(B364/B363)*100</f>
        <v>-0.324564659763955</v>
      </c>
      <c r="D364" s="5" t="n">
        <f aca="false">STDEV(C362:C364)</f>
        <v>2.9555418427702</v>
      </c>
      <c r="E364" s="5" t="n">
        <f aca="false">STDEV(C353:C364)</f>
        <v>2.87489261707638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LN(B365/B364)*100</f>
        <v>5.55909185307122</v>
      </c>
      <c r="D365" s="5" t="n">
        <f aca="false">STDEV(C363:C365)</f>
        <v>2.94726260409284</v>
      </c>
      <c r="E365" s="5" t="n">
        <f aca="false">STDEV(C354:C365)</f>
        <v>2.92934059405653</v>
      </c>
    </row>
    <row r="366" customFormat="false" ht="15" hidden="false" customHeight="false" outlineLevel="0" collapsed="false">
      <c r="A366" s="5" t="s">
        <v>387</v>
      </c>
      <c r="B366" s="5" t="n">
        <v>1716.38157894736</v>
      </c>
      <c r="C366" s="5" t="n">
        <f aca="false">LN(B366/B365)*100</f>
        <v>1.96820197510512</v>
      </c>
      <c r="D366" s="5" t="n">
        <f aca="false">STDEV(C364:C366)</f>
        <v>2.96559951551891</v>
      </c>
      <c r="E366" s="5" t="n">
        <f aca="false">STDEV(C355:C366)</f>
        <v>2.83091582151988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LN(B367/B366)*100</f>
        <v>0.918443153302368</v>
      </c>
      <c r="D367" s="5" t="n">
        <f aca="false">STDEV(C365:C367)</f>
        <v>2.4335195381141</v>
      </c>
      <c r="E367" s="5" t="n">
        <f aca="false">STDEV(C356:C367)</f>
        <v>2.66036589662697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LN(B368/B367)*100</f>
        <v>6.21617464176807</v>
      </c>
      <c r="D368" s="5" t="n">
        <f aca="false">STDEV(C366:C368)</f>
        <v>2.80515074712422</v>
      </c>
      <c r="E368" s="5" t="n">
        <f aca="false">STDEV(C357:C368)</f>
        <v>2.88409399437955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LN(B369/B368)*100</f>
        <v>6.54690066913256</v>
      </c>
      <c r="D369" s="5" t="n">
        <f aca="false">STDEV(C367:C369)</f>
        <v>3.15845090291012</v>
      </c>
      <c r="E369" s="5" t="n">
        <f aca="false">STDEV(C358:C369)</f>
        <v>2.96456418216812</v>
      </c>
    </row>
    <row r="370" customFormat="false" ht="15" hidden="false" customHeight="false" outlineLevel="0" collapsed="false">
      <c r="A370" s="5" t="s">
        <v>391</v>
      </c>
      <c r="B370" s="5" t="n">
        <v>1922.21363636363</v>
      </c>
      <c r="C370" s="5" t="n">
        <f aca="false">LN(B370/B369)*100</f>
        <v>-2.35560688163283</v>
      </c>
      <c r="D370" s="5" t="n">
        <f aca="false">STDEV(C368:C370)</f>
        <v>5.04710245060682</v>
      </c>
      <c r="E370" s="5" t="n">
        <f aca="false">STDEV(C359:C370)</f>
        <v>3.2355173957811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LN(B371/B370)*100</f>
        <v>-1.14788449847669</v>
      </c>
      <c r="D371" s="5" t="n">
        <f aca="false">STDEV(C369:C371)</f>
        <v>4.82912954236873</v>
      </c>
      <c r="E371" s="5" t="n">
        <f aca="false">STDEV(C360:C371)</f>
        <v>3.23983154609602</v>
      </c>
    </row>
    <row r="372" customFormat="false" ht="15" hidden="false" customHeight="false" outlineLevel="0" collapsed="false">
      <c r="A372" s="5" t="s">
        <v>393</v>
      </c>
      <c r="B372" s="5" t="n">
        <v>1863.49285714285</v>
      </c>
      <c r="C372" s="5" t="n">
        <f aca="false">LN(B372/B371)*100</f>
        <v>-1.95460056443869</v>
      </c>
      <c r="D372" s="5" t="n">
        <f aca="false">STDEV(C370:C372)</f>
        <v>0.615113842076834</v>
      </c>
      <c r="E372" s="5" t="n">
        <f aca="false">STDEV(C361:C372)</f>
        <v>3.26985142308282</v>
      </c>
    </row>
    <row r="373" customFormat="false" ht="15" hidden="false" customHeight="false" outlineLevel="0" collapsed="false">
      <c r="A373" s="5" t="s">
        <v>394</v>
      </c>
      <c r="B373" s="5" t="n">
        <v>1855.95526315789</v>
      </c>
      <c r="C373" s="5" t="n">
        <f aca="false">LN(B373/B372)*100</f>
        <v>-0.405307672524092</v>
      </c>
      <c r="D373" s="5" t="n">
        <f aca="false">STDEV(C371:C373)</f>
        <v>0.774867689615473</v>
      </c>
      <c r="E373" s="5" t="n">
        <f aca="false">STDEV(C362:C373)</f>
        <v>3.31350568373192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LN(B374/B373)*100</f>
        <v>0.592530007621136</v>
      </c>
      <c r="D374" s="5" t="n">
        <f aca="false">STDEV(C372:C374)</f>
        <v>1.28347592186066</v>
      </c>
      <c r="E374" s="5" t="n">
        <f aca="false">STDEV(C363:C374)</f>
        <v>3.11874888454675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LN(B375/B374)*100</f>
        <v>-3.20067809263814</v>
      </c>
      <c r="D375" s="5" t="n">
        <f aca="false">STDEV(C373:C375)</f>
        <v>1.96630802577821</v>
      </c>
      <c r="E375" s="5" t="n">
        <f aca="false">STDEV(C364:C375)</f>
        <v>3.38225363118659</v>
      </c>
    </row>
    <row r="376" customFormat="false" ht="15" hidden="false" customHeight="false" outlineLevel="0" collapsed="false">
      <c r="A376" s="5" t="s">
        <v>397</v>
      </c>
      <c r="B376" s="5" t="n">
        <v>1718.22826086956</v>
      </c>
      <c r="C376" s="5" t="n">
        <f aca="false">LN(B376/B375)*100</f>
        <v>-5.10243702836948</v>
      </c>
      <c r="D376" s="5" t="n">
        <f aca="false">STDEV(C374:C376)</f>
        <v>2.89936097219503</v>
      </c>
      <c r="E376" s="5" t="n">
        <f aca="false">STDEV(C365:C376)</f>
        <v>3.8108410103118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LN(B377/B376)*100</f>
        <v>2.49728010772014</v>
      </c>
      <c r="D377" s="5" t="n">
        <f aca="false">STDEV(C375:C377)</f>
        <v>3.95472534341806</v>
      </c>
      <c r="E377" s="5" t="n">
        <f aca="false">STDEV(C366:C377)</f>
        <v>3.54446239232866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LN(B378/B377)*100</f>
        <v>5.19200571783596</v>
      </c>
      <c r="D378" s="5" t="n">
        <f aca="false">STDEV(C376:C378)</f>
        <v>5.33842670514591</v>
      </c>
      <c r="E378" s="5" t="n">
        <f aca="false">STDEV(C367:C378)</f>
        <v>3.78940262003945</v>
      </c>
    </row>
    <row r="379" customFormat="false" ht="15" hidden="false" customHeight="false" outlineLevel="0" collapsed="false">
      <c r="A379" s="5" t="s">
        <v>400</v>
      </c>
      <c r="B379" s="5" t="n">
        <v>1834.5659090909</v>
      </c>
      <c r="C379" s="5" t="n">
        <f aca="false">LN(B379/B378)*100</f>
        <v>-1.137864557515</v>
      </c>
      <c r="D379" s="5" t="n">
        <f aca="false">STDEV(C377:C379)</f>
        <v>3.17655685068422</v>
      </c>
      <c r="E379" s="5" t="n">
        <f aca="false">STDEV(C368:C379)</f>
        <v>3.82249603788673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LN(B380/B379)*100</f>
        <v>-1.5088314299603</v>
      </c>
      <c r="D380" s="5" t="n">
        <f aca="false">STDEV(C378:C380)</f>
        <v>3.7662114607943</v>
      </c>
      <c r="E380" s="5" t="n">
        <f aca="false">STDEV(C369:C380)</f>
        <v>3.39491489932221</v>
      </c>
    </row>
    <row r="381" customFormat="false" ht="15" hidden="false" customHeight="false" outlineLevel="0" collapsed="false">
      <c r="A381" s="5" t="s">
        <v>402</v>
      </c>
      <c r="B381" s="5" t="n">
        <v>1783.96904761904</v>
      </c>
      <c r="C381" s="5" t="n">
        <f aca="false">LN(B381/B380)*100</f>
        <v>-1.28788934004719</v>
      </c>
      <c r="D381" s="5" t="n">
        <f aca="false">STDEV(C379:C381)</f>
        <v>0.186609781326729</v>
      </c>
      <c r="E381" s="5" t="n">
        <f aca="false">STDEV(C370:C381)</f>
        <v>2.66065597455869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LN(B382/B381)*100</f>
        <v>-0.377217940260986</v>
      </c>
      <c r="D382" s="5" t="n">
        <f aca="false">STDEV(C380:C382)</f>
        <v>0.599817596656573</v>
      </c>
      <c r="E382" s="5" t="n">
        <f aca="false">STDEV(C371:C382)</f>
        <v>2.61768392796785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LN(B383/B382)*100</f>
        <v>-0.0223690969514605</v>
      </c>
      <c r="D383" s="5" t="n">
        <f aca="false">STDEV(C381:C383)</f>
        <v>0.652786538064798</v>
      </c>
      <c r="E383" s="5" t="n">
        <f aca="false">STDEV(C372:C383)</f>
        <v>2.61851967480686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LN(B384/B383)*100</f>
        <v>2.41203005504514</v>
      </c>
      <c r="D384" s="5" t="n">
        <f aca="false">STDEV(C382:C384)</f>
        <v>1.51833907676333</v>
      </c>
      <c r="E384" s="5" t="n">
        <f aca="false">STDEV(C373:C384)</f>
        <v>2.70888827316483</v>
      </c>
    </row>
    <row r="385" customFormat="false" ht="15" hidden="false" customHeight="false" outlineLevel="0" collapsed="false">
      <c r="A385" s="5" t="s">
        <v>406</v>
      </c>
      <c r="B385" s="5" t="n">
        <v>1786.65263157894</v>
      </c>
      <c r="C385" s="5" t="n">
        <f aca="false">LN(B385/B384)*100</f>
        <v>-1.86212832721064</v>
      </c>
      <c r="D385" s="5" t="n">
        <f aca="false">STDEV(C383:C385)</f>
        <v>2.14396218612382</v>
      </c>
      <c r="E385" s="5" t="n">
        <f aca="false">STDEV(C374:C385)</f>
        <v>2.75144482864377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LN(B386/B385)*100</f>
        <v>1.67136160583207</v>
      </c>
      <c r="D386" s="5" t="n">
        <f aca="false">STDEV(C384:C386)</f>
        <v>2.28409612812819</v>
      </c>
      <c r="E386" s="5" t="n">
        <f aca="false">STDEV(C375:C386)</f>
        <v>2.80104793078091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LN(B387/B386)*100</f>
        <v>2.15251187167534</v>
      </c>
      <c r="D387" s="5" t="n">
        <f aca="false">STDEV(C385:C387)</f>
        <v>2.19219800701436</v>
      </c>
      <c r="E387" s="5" t="n">
        <f aca="false">STDEV(C376:C387)</f>
        <v>2.70921440355674</v>
      </c>
    </row>
    <row r="388" customFormat="false" ht="15" hidden="false" customHeight="false" outlineLevel="0" collapsed="false">
      <c r="A388" s="5" t="s">
        <v>409</v>
      </c>
      <c r="B388" s="5" t="n">
        <v>1947.82826086956</v>
      </c>
      <c r="C388" s="5" t="n">
        <f aca="false">LN(B388/B387)*100</f>
        <v>4.81324738633206</v>
      </c>
      <c r="D388" s="5" t="n">
        <f aca="false">STDEV(C386:C388)</f>
        <v>1.69226009205562</v>
      </c>
      <c r="E388" s="5" t="n">
        <f aca="false">STDEV(C377:C388)</f>
        <v>2.43715269021392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LN(B389/B388)*100</f>
        <v>-0.717635017647705</v>
      </c>
      <c r="D389" s="5" t="n">
        <f aca="false">STDEV(C387:C389)</f>
        <v>2.76610185435206</v>
      </c>
      <c r="E389" s="5" t="n">
        <f aca="false">STDEV(C378:C389)</f>
        <v>2.43971772242723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LN(B390/B389)*100</f>
        <v>-4.44432263517937</v>
      </c>
      <c r="D390" s="5" t="n">
        <f aca="false">STDEV(C388:C390)</f>
        <v>4.6579942655701</v>
      </c>
      <c r="E390" s="5" t="n">
        <f aca="false">STDEV(C379:C390)</f>
        <v>2.44040459443248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LN(B391/B390)*100</f>
        <v>-0.692676851005132</v>
      </c>
      <c r="D391" s="5" t="n">
        <f aca="false">STDEV(C389:C391)</f>
        <v>2.1588449689073</v>
      </c>
      <c r="E391" s="5" t="n">
        <f aca="false">STDEV(C380:C391)</f>
        <v>2.42529857633876</v>
      </c>
    </row>
    <row r="392" customFormat="false" ht="15" hidden="false" customHeight="false" outlineLevel="0" collapsed="false">
      <c r="A392" s="5" t="s">
        <v>413</v>
      </c>
      <c r="B392" s="5" t="n">
        <v>1737.38047619047</v>
      </c>
      <c r="C392" s="5" t="n">
        <f aca="false">LN(B392/B391)*100</f>
        <v>-5.57901891153919</v>
      </c>
      <c r="D392" s="5" t="n">
        <f aca="false">STDEV(C390:C392)</f>
        <v>2.55730067525771</v>
      </c>
      <c r="E392" s="5" t="n">
        <f aca="false">STDEV(C381:C392)</f>
        <v>2.89613317892471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LN(B393/B392)*100</f>
        <v>1.52806243477563</v>
      </c>
      <c r="D393" s="5" t="n">
        <f aca="false">STDEV(C391:C393)</f>
        <v>3.63590032342038</v>
      </c>
      <c r="E393" s="5" t="n">
        <f aca="false">STDEV(C382:C393)</f>
        <v>2.9252094636591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LN(B394/B393)*100</f>
        <v>-4.69575253361284</v>
      </c>
      <c r="D394" s="5" t="n">
        <f aca="false">STDEV(C392:C394)</f>
        <v>3.87355645194111</v>
      </c>
      <c r="E394" s="5" t="n">
        <f aca="false">STDEV(C383:C394)</f>
        <v>3.21465690309316</v>
      </c>
    </row>
    <row r="395" customFormat="false" ht="15" hidden="false" customHeight="false" outlineLevel="0" collapsed="false">
      <c r="A395" s="5" t="s">
        <v>416</v>
      </c>
      <c r="B395" s="5" t="n">
        <v>1666.62666666666</v>
      </c>
      <c r="C395" s="5" t="n">
        <f aca="false">LN(B395/B394)*100</f>
        <v>-0.989998094252464</v>
      </c>
      <c r="D395" s="5" t="n">
        <f aca="false">STDEV(C393:C395)</f>
        <v>3.13073786705905</v>
      </c>
      <c r="E395" s="5" t="n">
        <f aca="false">STDEV(C384:C395)</f>
        <v>3.21500736969382</v>
      </c>
    </row>
    <row r="396" customFormat="false" ht="15" hidden="false" customHeight="false" outlineLevel="0" collapsed="false">
      <c r="A396" s="5" t="s">
        <v>417</v>
      </c>
      <c r="B396" s="5" t="n">
        <v>1727.89863636363</v>
      </c>
      <c r="C396" s="5" t="n">
        <f aca="false">LN(B396/B395)*100</f>
        <v>3.61043856715571</v>
      </c>
      <c r="D396" s="5" t="n">
        <f aca="false">STDEV(C394:C396)</f>
        <v>4.16111852036113</v>
      </c>
      <c r="E396" s="5" t="n">
        <f aca="false">STDEV(C385:C396)</f>
        <v>3.33133684709551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LN(B397/B396)*100</f>
        <v>3.94397191119348</v>
      </c>
      <c r="D397" s="5" t="n">
        <f aca="false">STDEV(C395:C397)</f>
        <v>2.75739375684884</v>
      </c>
      <c r="E397" s="5" t="n">
        <f aca="false">STDEV(C386:C397)</f>
        <v>3.52125609447668</v>
      </c>
    </row>
    <row r="398" customFormat="false" ht="15" hidden="false" customHeight="false" outlineLevel="0" collapsed="false">
      <c r="A398" s="5" t="s">
        <v>419</v>
      </c>
      <c r="B398" s="5" t="n">
        <v>1896.05954545454</v>
      </c>
      <c r="C398" s="5" t="n">
        <f aca="false">LN(B398/B397)*100</f>
        <v>5.34320809086569</v>
      </c>
      <c r="D398" s="5" t="n">
        <f aca="false">STDEV(C396:C398)</f>
        <v>0.919383543503182</v>
      </c>
      <c r="E398" s="5" t="n">
        <f aca="false">STDEV(C387:C398)</f>
        <v>3.82167590064322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LN(B399/B398)*100</f>
        <v>-2.27511630710331</v>
      </c>
      <c r="D399" s="5" t="n">
        <f aca="false">STDEV(C397:C399)</f>
        <v>4.05532133511331</v>
      </c>
      <c r="E399" s="5" t="n">
        <f aca="false">STDEV(C388:C399)</f>
        <v>3.84611918717255</v>
      </c>
    </row>
    <row r="400" customFormat="false" ht="15" hidden="false" customHeight="false" outlineLevel="0" collapsed="false">
      <c r="A400" s="5" t="s">
        <v>421</v>
      </c>
      <c r="B400" s="5" t="n">
        <v>1913.64826086956</v>
      </c>
      <c r="C400" s="5" t="n">
        <f aca="false">LN(B400/B399)*100</f>
        <v>3.19848582930764</v>
      </c>
      <c r="D400" s="5" t="n">
        <f aca="false">STDEV(C398:C400)</f>
        <v>3.928507361998</v>
      </c>
      <c r="E400" s="5" t="n">
        <f aca="false">STDEV(C389:C400)</f>
        <v>3.68686563266326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LN(B401/B400)*100</f>
        <v>4.39699124297218</v>
      </c>
      <c r="D401" s="5" t="n">
        <f aca="false">STDEV(C399:C401)</f>
        <v>3.55700610846819</v>
      </c>
      <c r="E401" s="5" t="n">
        <f aca="false">STDEV(C390:C401)</f>
        <v>3.90419888241539</v>
      </c>
    </row>
    <row r="402" customFormat="false" ht="15" hidden="false" customHeight="false" outlineLevel="0" collapsed="false">
      <c r="A402" s="5" t="s">
        <v>423</v>
      </c>
      <c r="B402" s="5" t="n">
        <v>1989.82695652173</v>
      </c>
      <c r="C402" s="5" t="n">
        <f aca="false">LN(B402/B401)*100</f>
        <v>-0.493373838817626</v>
      </c>
      <c r="D402" s="5" t="n">
        <f aca="false">STDEV(C400:C402)</f>
        <v>2.54891851801577</v>
      </c>
      <c r="E402" s="5" t="n">
        <f aca="false">STDEV(C391:C402)</f>
        <v>3.62640397906051</v>
      </c>
    </row>
    <row r="403" customFormat="false" ht="15" hidden="false" customHeight="false" outlineLevel="0" collapsed="false">
      <c r="A403" s="5" t="s">
        <v>424</v>
      </c>
      <c r="B403" s="5" t="n">
        <v>1944.72863636363</v>
      </c>
      <c r="C403" s="5" t="n">
        <f aca="false">LN(B403/B402)*100</f>
        <v>-2.29252296760431</v>
      </c>
      <c r="D403" s="5" t="n">
        <f aca="false">STDEV(C401:C403)</f>
        <v>3.46174832019669</v>
      </c>
      <c r="E403" s="5" t="n">
        <f aca="false">STDEV(C392:C403)</f>
        <v>3.70707722849818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LN(B404/B403)*100</f>
        <v>0.284537577152613</v>
      </c>
      <c r="D404" s="5" t="n">
        <f aca="false">STDEV(C402:C404)</f>
        <v>1.32182479991699</v>
      </c>
      <c r="E404" s="5" t="n">
        <f aca="false">STDEV(C393:C404)</f>
        <v>3.18649393864921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LN(B405/B404)*100</f>
        <v>-1.60061556408253</v>
      </c>
      <c r="D405" s="5" t="n">
        <f aca="false">STDEV(C403:C405)</f>
        <v>1.33377779710489</v>
      </c>
      <c r="E405" s="5" t="n">
        <f aca="false">STDEV(C394:C405)</f>
        <v>3.26315267294564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LN(B406/B405)*100</f>
        <v>-0.201704230783474</v>
      </c>
      <c r="D406" s="5" t="n">
        <f aca="false">STDEV(C404:C406)</f>
        <v>0.978705469836407</v>
      </c>
      <c r="E406" s="5" t="n">
        <f aca="false">STDEV(C395:C406)</f>
        <v>2.81429862970508</v>
      </c>
    </row>
    <row r="407" customFormat="false" ht="15" hidden="false" customHeight="false" outlineLevel="0" collapsed="false">
      <c r="A407" s="5" t="s">
        <v>428</v>
      </c>
      <c r="B407" s="5" t="n">
        <v>1913.98454545454</v>
      </c>
      <c r="C407" s="5" t="n">
        <f aca="false">LN(B407/B406)*100</f>
        <v>-0.0757408057540966</v>
      </c>
      <c r="D407" s="5" t="n">
        <f aca="false">STDEV(C405:C407)</f>
        <v>0.846370952111116</v>
      </c>
      <c r="E407" s="5" t="n">
        <f aca="false">STDEV(C396:C407)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1985.77772727272</v>
      </c>
      <c r="C408" s="5" t="n">
        <f aca="false">LN(B408/B407)*100</f>
        <v>3.6823421034235</v>
      </c>
      <c r="D408" s="5" t="n">
        <f aca="false">STDEV(C406:C408)</f>
        <v>2.20699153687263</v>
      </c>
      <c r="E408" s="5" t="n">
        <f aca="false">STDEV(C397:C408)</f>
        <v>2.77108083373557</v>
      </c>
    </row>
    <row r="409" customFormat="false" ht="15" hidden="false" customHeight="false" outlineLevel="0" collapsed="false">
      <c r="A409" s="5" t="s">
        <v>430</v>
      </c>
      <c r="B409" s="5" t="n">
        <v>2034.70428571428</v>
      </c>
      <c r="C409" s="5" t="n">
        <f aca="false">LN(B409/B408)*100</f>
        <v>2.43398546328813</v>
      </c>
      <c r="D409" s="5" t="n">
        <f aca="false">STDEV(C407:C409)</f>
        <v>1.91399701317877</v>
      </c>
      <c r="E409" s="5" t="n">
        <f aca="false">STDEV(C398:C409)</f>
        <v>2.66539973431381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LN(B410/B409)*100</f>
        <v>-0.0343203964235529</v>
      </c>
      <c r="D410" s="5" t="n">
        <f aca="false">STDEV(C408:C410)</f>
        <v>1.89140636634165</v>
      </c>
      <c r="E410" s="5" t="n">
        <f aca="false">STDEV(C399:C410)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LN(B411/B410)*100</f>
        <v>-0.471111325614399</v>
      </c>
      <c r="D411" s="5" t="n">
        <f aca="false">STDEV(C409:C411)</f>
        <v>1.56646669747568</v>
      </c>
      <c r="E411" s="5" t="n">
        <f aca="false">STDEV(C400:C411)</f>
        <v>2.1525123435852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LN(B412/B411)*100</f>
        <v>6.58976545332425</v>
      </c>
      <c r="D412" s="5" t="n">
        <f aca="false">STDEV(C410:C412)</f>
        <v>3.95654058802231</v>
      </c>
      <c r="E412" s="5" t="n">
        <f aca="false">STDEV(C401:C412)</f>
        <v>2.66651954399004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LN(B413/B412)*100</f>
        <v>7.61970765032086</v>
      </c>
      <c r="D413" s="5" t="n">
        <f aca="false">STDEV(C411:C413)</f>
        <v>4.40412900049229</v>
      </c>
      <c r="E413" s="5" t="n">
        <f aca="false">STDEV(C402:C413)</f>
        <v>3.15525337345307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LN(B414/B413)*100</f>
        <v>0.727822697612787</v>
      </c>
      <c r="D414" s="5" t="n">
        <f aca="false">STDEV(C412:C414)</f>
        <v>3.71755367595762</v>
      </c>
      <c r="E414" s="5" t="n">
        <f aca="false">STDEV(C403:C414)</f>
        <v>3.11201710110205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LN(B415/B414)*100</f>
        <v>-0.95468537378427</v>
      </c>
      <c r="D415" s="5" t="n">
        <f aca="false">STDEV(C413:C415)</f>
        <v>4.54329409392757</v>
      </c>
      <c r="E415" s="5" t="n">
        <f aca="false">STDEV(C404:C415)</f>
        <v>2.98971812533074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LN(B416/B415)*100</f>
        <v>2.78275253959863</v>
      </c>
      <c r="D416" s="5" t="n">
        <f aca="false">STDEV(C414:C416)</f>
        <v>1.87180893888738</v>
      </c>
      <c r="E416" s="5" t="n">
        <f aca="false">STDEV(C405:C416)</f>
        <v>2.98436199175656</v>
      </c>
    </row>
    <row r="417" customFormat="false" ht="15" hidden="false" customHeight="false" outlineLevel="0" collapsed="false">
      <c r="A417" s="5" t="s">
        <v>438</v>
      </c>
      <c r="B417" s="5" t="n">
        <v>2468.32863636363</v>
      </c>
      <c r="C417" s="5" t="n">
        <f aca="false">LN(B417/B416)*100</f>
        <v>3.0591449518211</v>
      </c>
      <c r="D417" s="5" t="n">
        <f aca="false">STDEV(C415:C417)</f>
        <v>2.24186190493064</v>
      </c>
      <c r="E417" s="5" t="n">
        <f aca="false">STDEV(C406:C417)</f>
        <v>2.8129260514119</v>
      </c>
    </row>
    <row r="418" customFormat="false" ht="15" hidden="false" customHeight="false" outlineLevel="0" collapsed="false">
      <c r="A418" s="5" t="s">
        <v>439</v>
      </c>
      <c r="B418" s="5" t="n">
        <v>2569.04904761904</v>
      </c>
      <c r="C418" s="5" t="n">
        <f aca="false">LN(B418/B417)*100</f>
        <v>3.99945538923262</v>
      </c>
      <c r="D418" s="5" t="n">
        <f aca="false">STDEV(C416:C418)</f>
        <v>0.637827341912458</v>
      </c>
      <c r="E418" s="5" t="n">
        <f aca="false">STDEV(C407:C418)</f>
        <v>2.76186360432478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LN(B419/B418)*100</f>
        <v>4.56814261321882</v>
      </c>
      <c r="D419" s="5" t="n">
        <f aca="false">STDEV(C417:C419)</f>
        <v>0.762087354959384</v>
      </c>
      <c r="E419" s="5" t="n">
        <f aca="false">STDEV(C408:C419)</f>
        <v>2.70098402283225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LN(B420/B419)*100</f>
        <v>-1.38279314673054</v>
      </c>
      <c r="D420" s="5" t="n">
        <f aca="false">STDEV(C418:C420)</f>
        <v>3.2839417595487</v>
      </c>
      <c r="E420" s="5" t="n">
        <f aca="false">STDEV(C409:C420)</f>
        <v>2.94136542213277</v>
      </c>
    </row>
    <row r="421" customFormat="false" ht="15" hidden="false" customHeight="false" outlineLevel="0" collapsed="false">
      <c r="A421" s="5" t="s">
        <v>442</v>
      </c>
      <c r="B421" s="5" t="n">
        <v>2640.60545454545</v>
      </c>
      <c r="C421" s="5" t="n">
        <f aca="false">LN(B421/B420)*100</f>
        <v>-0.438107500881543</v>
      </c>
      <c r="D421" s="5" t="n">
        <f aca="false">STDEV(C419:C421)</f>
        <v>3.19814028234762</v>
      </c>
      <c r="E421" s="5" t="n">
        <f aca="false">STDEV(C410:C421)</f>
        <v>3.05406167103514</v>
      </c>
    </row>
    <row r="422" customFormat="false" ht="15" hidden="false" customHeight="false" outlineLevel="0" collapsed="false">
      <c r="A422" s="5" t="s">
        <v>443</v>
      </c>
      <c r="B422" s="5" t="n">
        <v>2707.46739130434</v>
      </c>
      <c r="C422" s="5" t="n">
        <f aca="false">LN(B422/B421)*100</f>
        <v>2.50054262738362</v>
      </c>
      <c r="D422" s="5" t="n">
        <f aca="false">STDEV(C420:C422)</f>
        <v>2.02519103133263</v>
      </c>
      <c r="E422" s="5" t="n">
        <f aca="false">STDEV(C411:C422)</f>
        <v>2.97419354993852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LN(B423/B422)*100</f>
        <v>6.67572697591486</v>
      </c>
      <c r="D423" s="5" t="n">
        <f aca="false">STDEV(C421:C423)</f>
        <v>3.57478367373072</v>
      </c>
      <c r="E423" s="5" t="n">
        <f aca="false">STDEV(C412:C423)</f>
        <v>3.06481037739527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LN(B424/B423)*100</f>
        <v>3.12495669089656</v>
      </c>
      <c r="D424" s="5" t="n">
        <f aca="false">STDEV(C422:C424)</f>
        <v>2.25203711055502</v>
      </c>
      <c r="E424" s="5" t="n">
        <f aca="false">STDEV(C413:C424)</f>
        <v>2.84934847074104</v>
      </c>
    </row>
    <row r="425" customFormat="false" ht="15" hidden="false" customHeight="false" outlineLevel="0" collapsed="false">
      <c r="A425" s="5" t="s">
        <v>446</v>
      </c>
      <c r="B425" s="5" t="n">
        <v>3222.01181818181</v>
      </c>
      <c r="C425" s="5" t="n">
        <f aca="false">LN(B425/B424)*100</f>
        <v>7.59854600635988</v>
      </c>
      <c r="D425" s="5" t="n">
        <f aca="false">STDEV(C423:C425)</f>
        <v>2.3619400903829</v>
      </c>
      <c r="E425" s="5" t="n">
        <f aca="false">STDEV(C414:C425)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3288.00954545454</v>
      </c>
      <c r="C426" s="5" t="n">
        <f aca="false">LN(B426/B425)*100</f>
        <v>2.02764275958818</v>
      </c>
      <c r="D426" s="5" t="n">
        <f aca="false">STDEV(C424:C426)</f>
        <v>2.95104676942952</v>
      </c>
      <c r="E426" s="5" t="n">
        <f aca="false">STDEV(C415:C426)</f>
        <v>2.78877982535791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LN(B427/B426)*100</f>
        <v>1.92326091266407</v>
      </c>
      <c r="D427" s="5" t="n">
        <f aca="false">STDEV(C425:C427)</f>
        <v>3.24691441858227</v>
      </c>
      <c r="E427" s="5" t="n">
        <f aca="false">STDEV(C416:C427)</f>
        <v>2.55039333233886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LN(B428/B427)*100</f>
        <v>-0.305055267457412</v>
      </c>
      <c r="D428" s="5" t="n">
        <f aca="false">STDEV(C426:C428)</f>
        <v>1.31768538568841</v>
      </c>
      <c r="E428" s="5" t="n">
        <f aca="false">STDEV(C417:C428)</f>
        <v>2.72792427021373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LN(B429/B428)*100</f>
        <v>0.763378917129707</v>
      </c>
      <c r="D429" s="5" t="n">
        <f aca="false">STDEV(C427:C429)</f>
        <v>1.11447078987819</v>
      </c>
      <c r="E429" s="5" t="n">
        <f aca="false">STDEV(C418:C429)</f>
        <v>2.78638963954445</v>
      </c>
    </row>
    <row r="430" customFormat="false" ht="15" hidden="false" customHeight="false" outlineLevel="0" collapsed="false">
      <c r="A430" s="5" t="s">
        <v>451</v>
      </c>
      <c r="B430" s="5" t="n">
        <v>3666.52363636363</v>
      </c>
      <c r="C430" s="5" t="n">
        <f aca="false">LN(B430/B429)*100</f>
        <v>8.5145749173094</v>
      </c>
      <c r="D430" s="5" t="n">
        <f aca="false">STDEV(C428:C430)</f>
        <v>4.81332296229341</v>
      </c>
      <c r="E430" s="5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2026-09-23T10:18:30Z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