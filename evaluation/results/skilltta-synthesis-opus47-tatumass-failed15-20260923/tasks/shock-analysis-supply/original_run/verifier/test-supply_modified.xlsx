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<sst xmlns="http://schemas.openxmlformats.org/spreadsheetml/2006/main" count="56" uniqueCount="52">
  <si>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</si>
  <si>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</si>
  <si>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</si>
  <si>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</si>
  <si>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</si>
  <si>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</si>
  <si>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</si>
  <si>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</si>
  <si>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</si>
  <si>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</si>
  <si>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</si>
  <si>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</si>
  <si>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</si>
  <si>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</si>
  <si>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</si>
  <si>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</si>
  <si>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</si>
  <si>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</si>
  <si>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</si>
  <si>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</si>
  <si>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</si>
  <si>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</si>
  <si>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</si>
  <si>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</si>
  <si>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</si>
  <si>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</si>
  <si>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</si>
  <si>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</si>
  <si>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</si>
  <si>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</si>
  <si>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</si>
  <si>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</si>
  <si>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</si>
  <si>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</si>
  <si>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delta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</si>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</sst>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AVERAGE('CFC data'!E22:E29)</f>
        <v>0.0225566393835713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</row>
    <row r="5" customFormat="false" ht="12" hidden="false" customHeight="true" outlineLevel="0" collapsed="false">
      <c r="D5" s="1" t="s">
        <v>4</v>
      </c>
      <c r="E5" s="1" t="s">
        <v>5</v>
      </c>
      <c r="F5" s="1" t="s">
        <v>6</v>
      </c>
      <c r="G5" s="1" t="s">
        <v>7</v>
      </c>
      <c r="K5" s="5" t="s">
        <v>8</v>
      </c>
      <c r="L5" s="1" t="s">
        <v>9</v>
      </c>
      <c r="M5" s="1" t="s">
        <v>10</v>
      </c>
      <c r="N5" s="6" t="s">
        <v>11</v>
      </c>
      <c r="O5" s="13" t="s">
        <v>12</v>
      </c>
      <c r="P5" s="14" t="n">
        <f aca="false">SUMSQ(N6:N27)+100*SUMSQ(M7:M26)</f>
        <v>0.0354921942837935</v>
      </c>
    </row>
    <row r="6" customFormat="false" ht="12" hidden="false" customHeight="true" outlineLevel="0" collapsed="false">
      <c r="C6" s="1" t="n">
        <v>2002</v>
      </c>
      <c r="D6" s="15" t="n">
        <f aca="false">PWT!B14</f>
        <v>197317.59375</v>
      </c>
      <c r="E6" s="1" t="n">
        <f aca="false">WEO_Data!C10</f>
        <v>18.747</v>
      </c>
      <c r="F6" s="1" t="n">
        <f aca="false">LN(D6)</f>
        <v>12.1925698606149</v>
      </c>
      <c r="G6" s="1" t="n">
        <f aca="false">LN(E6)</f>
        <v>2.93103373961505</v>
      </c>
      <c r="K6" s="5" t="n">
        <f aca="false">G6-$B$2*F6</f>
        <v>-1.33636571160016</v>
      </c>
      <c r="L6" s="1" t="n">
        <v>-1.2869513505199</v>
      </c>
      <c r="N6" s="6" t="n">
        <f aca="false">K6-L6</f>
        <v>-0.0494143610802587</v>
      </c>
    </row>
    <row r="7" customFormat="false" ht="12" hidden="false" customHeight="true" outlineLevel="0" collapsed="false">
      <c r="C7" s="1" t="n">
        <v>2003</v>
      </c>
      <c r="D7" s="15" t="n">
        <f aca="false">PWT!B15</f>
        <v>199678.921875</v>
      </c>
      <c r="E7" s="1" t="n">
        <f aca="false">WEO_Data!C11</f>
        <v>20.852</v>
      </c>
      <c r="F7" s="1" t="n">
        <f aca="false">LN(D7)</f>
        <v>12.2044659648848</v>
      </c>
      <c r="G7" s="1" t="n">
        <f aca="false">LN(E7)</f>
        <v>3.03744986690586</v>
      </c>
      <c r="K7" s="5" t="n">
        <f aca="false">G7-$B$2*F7</f>
        <v>-1.23411322080382</v>
      </c>
      <c r="L7" s="1" t="n">
        <v>-1.22310714258729</v>
      </c>
      <c r="M7" s="1" t="n">
        <f aca="false">L6-2*L7+L8</f>
        <v>-0.000494143610790143</v>
      </c>
      <c r="N7" s="6" t="n">
        <f aca="false">K7-L7</f>
        <v>-0.0110060782165313</v>
      </c>
    </row>
    <row r="8" customFormat="false" ht="12" hidden="false" customHeight="true" outlineLevel="0" collapsed="false">
      <c r="C8" s="1" t="n">
        <v>2004</v>
      </c>
      <c r="D8" s="15" t="n">
        <f aca="false">PWT!B16</f>
        <v>202658.8125</v>
      </c>
      <c r="E8" s="1" t="n">
        <f aca="false">WEO_Data!C12</f>
        <v>22.061</v>
      </c>
      <c r="F8" s="1" t="n">
        <f aca="false">LN(D8)</f>
        <v>12.2192791174174</v>
      </c>
      <c r="G8" s="1" t="n">
        <f aca="false">LN(E8)</f>
        <v>3.09381134371363</v>
      </c>
      <c r="K8" s="5" t="n">
        <f aca="false">G8-$B$2*F8</f>
        <v>-1.18293634738246</v>
      </c>
      <c r="L8" s="1" t="n">
        <v>-1.15975707826547</v>
      </c>
      <c r="M8" s="1" t="n">
        <f aca="false">L7-2*L8+L9</f>
        <v>-0.00109834800378983</v>
      </c>
      <c r="N8" s="6" t="n">
        <f aca="false">K8-L8</f>
        <v>-0.0231792691169903</v>
      </c>
    </row>
    <row r="9" customFormat="false" ht="12" hidden="false" customHeight="true" outlineLevel="0" collapsed="false">
      <c r="C9" s="1" t="n">
        <v>2005</v>
      </c>
      <c r="D9" s="15" t="n">
        <f aca="false">PWT!B17</f>
        <v>206400.5</v>
      </c>
      <c r="E9" s="1" t="n">
        <f aca="false">WEO_Data!C13</f>
        <v>24.176</v>
      </c>
      <c r="F9" s="1" t="n">
        <f aca="false">LN(D9)</f>
        <v>12.2375737350672</v>
      </c>
      <c r="G9" s="1" t="n">
        <f aca="false">LN(E9)</f>
        <v>3.18536040553038</v>
      </c>
      <c r="K9" s="5" t="n">
        <f aca="false">G9-$B$2*F9</f>
        <v>-1.09779040174315</v>
      </c>
      <c r="L9" s="1" t="n">
        <v>-1.09750536194744</v>
      </c>
      <c r="M9" s="1" t="n">
        <f aca="false">L8-2*L9+L10</f>
        <v>-0.00193434508790014</v>
      </c>
      <c r="N9" s="6" t="n">
        <f aca="false">K9-L9</f>
        <v>-0.000285039795707043</v>
      </c>
    </row>
    <row r="10" customFormat="false" ht="12" hidden="false" customHeight="true" outlineLevel="0" collapsed="false">
      <c r="C10" s="1" t="n">
        <v>2006</v>
      </c>
      <c r="D10" s="15" t="n">
        <f aca="false">PWT!B18</f>
        <v>209660.25</v>
      </c>
      <c r="E10" s="1" t="n">
        <f aca="false">WEO_Data!C14</f>
        <v>26.454</v>
      </c>
      <c r="F10" s="1" t="n">
        <f aca="false">LN(D10)</f>
        <v>12.2532436424126</v>
      </c>
      <c r="G10" s="1" t="n">
        <f aca="false">LN(E10)</f>
        <v>3.27540737560386</v>
      </c>
      <c r="K10" s="5" t="n">
        <f aca="false">G10-$B$2*F10</f>
        <v>-1.01322789924056</v>
      </c>
      <c r="L10" s="1" t="n">
        <v>-1.03718799071731</v>
      </c>
      <c r="M10" s="1" t="n">
        <f aca="false">L9-2*L10+L11</f>
        <v>-0.00277319257000686</v>
      </c>
      <c r="N10" s="6" t="n">
        <f aca="false">K10-L10</f>
        <v>0.0239600914767542</v>
      </c>
    </row>
    <row r="11" customFormat="false" ht="12" hidden="false" customHeight="true" outlineLevel="0" collapsed="false">
      <c r="C11" s="1" t="n">
        <v>2007</v>
      </c>
      <c r="D11" s="15" t="n">
        <f aca="false">PWT!B19</f>
        <v>213821.375</v>
      </c>
      <c r="E11" s="1" t="n">
        <f aca="false">WEO_Data!C15</f>
        <v>29.781</v>
      </c>
      <c r="F11" s="1" t="n">
        <f aca="false">LN(D11)</f>
        <v>12.2728962491894</v>
      </c>
      <c r="G11" s="1" t="n">
        <f aca="false">LN(E11)</f>
        <v>3.39387060627569</v>
      </c>
      <c r="K11" s="5" t="n">
        <f aca="false">G11-$B$2*F11</f>
        <v>-0.901643080940599</v>
      </c>
      <c r="L11" s="1" t="n">
        <v>-0.979643812057187</v>
      </c>
      <c r="M11" s="1" t="n">
        <f aca="false">L10-2*L11+L12</f>
        <v>-0.00337243913733709</v>
      </c>
      <c r="N11" s="6" t="n">
        <f aca="false">K11-L11</f>
        <v>0.0780007311165879</v>
      </c>
    </row>
    <row r="12" customFormat="false" ht="12" hidden="false" customHeight="true" outlineLevel="0" collapsed="false">
      <c r="C12" s="1" t="n">
        <v>2008</v>
      </c>
      <c r="D12" s="15" t="n">
        <f aca="false">PWT!B20</f>
        <v>215825.90625</v>
      </c>
      <c r="E12" s="1" t="n">
        <f aca="false">WEO_Data!C16</f>
        <v>30.502</v>
      </c>
      <c r="F12" s="1" t="n">
        <f aca="false">LN(D12)</f>
        <v>12.2822273720987</v>
      </c>
      <c r="G12" s="1" t="n">
        <f aca="false">LN(E12)</f>
        <v>3.41779225523399</v>
      </c>
      <c r="K12" s="5" t="n">
        <f aca="false">G12-$B$2*F12</f>
        <v>-0.880987325000563</v>
      </c>
      <c r="L12" s="1" t="n">
        <v>-0.925472072534401</v>
      </c>
      <c r="M12" s="1" t="n">
        <f aca="false">L11-2*L12+L13</f>
        <v>-0.00319167839349899</v>
      </c>
      <c r="N12" s="6" t="n">
        <f aca="false">K12-L12</f>
        <v>0.0444847475338379</v>
      </c>
    </row>
    <row r="13" customFormat="false" ht="12" hidden="false" customHeight="true" outlineLevel="0" collapsed="false">
      <c r="C13" s="1" t="n">
        <v>2009</v>
      </c>
      <c r="D13" s="15" t="n">
        <f aca="false">PWT!B21</f>
        <v>214505.90625</v>
      </c>
      <c r="E13" s="1" t="n">
        <f aca="false">WEO_Data!C17</f>
        <v>29.388</v>
      </c>
      <c r="F13" s="1" t="n">
        <f aca="false">LN(D13)</f>
        <v>12.2760925519362</v>
      </c>
      <c r="G13" s="1" t="n">
        <f aca="false">LN(E13)</f>
        <v>3.38058642775803</v>
      </c>
      <c r="K13" s="5" t="n">
        <f aca="false">G13-$B$2*F13</f>
        <v>-0.916045965419626</v>
      </c>
      <c r="L13" s="1" t="n">
        <v>-0.874492011405114</v>
      </c>
      <c r="M13" s="1" t="n">
        <f aca="false">L12-2*L13+L14</f>
        <v>-0.00256607017432298</v>
      </c>
      <c r="N13" s="6" t="n">
        <f aca="false">K13-L13</f>
        <v>-0.0415539540145116</v>
      </c>
    </row>
    <row r="14" customFormat="false" ht="12" hidden="false" customHeight="true" outlineLevel="0" collapsed="false">
      <c r="C14" s="1" t="n">
        <v>2010</v>
      </c>
      <c r="D14" s="15" t="n">
        <f aca="false">PWT!B22</f>
        <v>215740.28125</v>
      </c>
      <c r="E14" s="1" t="n">
        <f aca="false">WEO_Data!C18</f>
        <v>31.428</v>
      </c>
      <c r="F14" s="1" t="n">
        <f aca="false">LN(D14)</f>
        <v>12.2818305615811</v>
      </c>
      <c r="G14" s="1" t="n">
        <f aca="false">LN(E14)</f>
        <v>3.44769921531358</v>
      </c>
      <c r="K14" s="5" t="n">
        <f aca="false">G14-$B$2*F14</f>
        <v>-0.850941481239815</v>
      </c>
      <c r="L14" s="1" t="n">
        <v>-0.82607802045015</v>
      </c>
      <c r="M14" s="1" t="n">
        <f aca="false">L13-2*L14+L15</f>
        <v>-0.00235600149529402</v>
      </c>
      <c r="N14" s="6" t="n">
        <f aca="false">K14-L14</f>
        <v>-0.0248634607896648</v>
      </c>
    </row>
    <row r="15" customFormat="false" ht="12" hidden="false" customHeight="true" outlineLevel="0" collapsed="false">
      <c r="C15" s="1" t="n">
        <v>2011</v>
      </c>
      <c r="D15" s="15" t="n">
        <f aca="false">PWT!B23</f>
        <v>218333.703125</v>
      </c>
      <c r="E15" s="1" t="n">
        <f aca="false">WEO_Data!C19</f>
        <v>33.927</v>
      </c>
      <c r="F15" s="1" t="n">
        <f aca="false">LN(D15)</f>
        <v>12.2937799196501</v>
      </c>
      <c r="G15" s="1" t="n">
        <f aca="false">LN(E15)</f>
        <v>3.5242111575573</v>
      </c>
      <c r="K15" s="5" t="n">
        <f aca="false">G15-$B$2*F15</f>
        <v>-0.778611814320247</v>
      </c>
      <c r="L15" s="1" t="n">
        <v>-0.78002003099048</v>
      </c>
      <c r="M15" s="1" t="n">
        <f aca="false">L14-2*L15+L16</f>
        <v>-0.002394567424159</v>
      </c>
      <c r="N15" s="6" t="n">
        <f aca="false">K15-L15</f>
        <v>0.00140821667023305</v>
      </c>
    </row>
    <row r="16" customFormat="false" ht="12" hidden="false" customHeight="true" outlineLevel="0" collapsed="false">
      <c r="C16" s="1" t="n">
        <v>2012</v>
      </c>
      <c r="D16" s="15" t="n">
        <f aca="false">PWT!B24</f>
        <v>221570.09375</v>
      </c>
      <c r="E16" s="1" t="n">
        <f aca="false">WEO_Data!C20</f>
        <v>36.159</v>
      </c>
      <c r="F16" s="1" t="n">
        <f aca="false">LN(D16)</f>
        <v>12.3084942687461</v>
      </c>
      <c r="G16" s="1" t="n">
        <f aca="false">LN(E16)</f>
        <v>3.58792588027432</v>
      </c>
      <c r="K16" s="5" t="n">
        <f aca="false">G16-$B$2*F16</f>
        <v>-0.720047113786812</v>
      </c>
      <c r="L16" s="1" t="n">
        <v>-0.736356608954969</v>
      </c>
      <c r="M16" s="1" t="n">
        <f aca="false">L15-2*L16+L17</f>
        <v>-0.00241905118632502</v>
      </c>
      <c r="N16" s="6" t="n">
        <f aca="false">K16-L16</f>
        <v>0.0163094951681574</v>
      </c>
    </row>
    <row r="17" customFormat="false" ht="12" hidden="false" customHeight="true" outlineLevel="0" collapsed="false">
      <c r="C17" s="1" t="n">
        <v>2013</v>
      </c>
      <c r="D17" s="15" t="n">
        <f aca="false">PWT!B25</f>
        <v>223431.875</v>
      </c>
      <c r="E17" s="1" t="n">
        <f aca="false">WEO_Data!C21</f>
        <v>38.015</v>
      </c>
      <c r="F17" s="1" t="n">
        <f aca="false">LN(D17)</f>
        <v>12.3168618367284</v>
      </c>
      <c r="G17" s="1" t="n">
        <f aca="false">LN(E17)</f>
        <v>3.6379808186804</v>
      </c>
      <c r="K17" s="5" t="n">
        <f aca="false">G17-$B$2*F17</f>
        <v>-0.672920824174539</v>
      </c>
      <c r="L17" s="1" t="n">
        <v>-0.695112238105783</v>
      </c>
      <c r="M17" s="1" t="n">
        <f aca="false">L16-2*L17+L18</f>
        <v>-0.00228043999680794</v>
      </c>
      <c r="N17" s="6" t="n">
        <f aca="false">K17-L17</f>
        <v>0.0221914139312438</v>
      </c>
    </row>
    <row r="18" customFormat="false" ht="12" hidden="false" customHeight="true" outlineLevel="0" collapsed="false">
      <c r="C18" s="1" t="n">
        <v>2014</v>
      </c>
      <c r="D18" s="15" t="n">
        <f aca="false">PWT!B26</f>
        <v>227911.96875</v>
      </c>
      <c r="E18" s="1" t="n">
        <f aca="false">WEO_Data!C22</f>
        <v>39.57</v>
      </c>
      <c r="F18" s="1" t="n">
        <f aca="false">LN(D18)</f>
        <v>12.3367147314063</v>
      </c>
      <c r="G18" s="1" t="n">
        <f aca="false">LN(E18)</f>
        <v>3.67807125539733</v>
      </c>
      <c r="K18" s="5" t="n">
        <f aca="false">G18-$B$2*F18</f>
        <v>-0.639778900594884</v>
      </c>
      <c r="L18" s="1" t="n">
        <v>-0.656148307253405</v>
      </c>
      <c r="M18" s="1" t="n">
        <f aca="false">L17-2*L18+L19</f>
        <v>-0.00191991466797903</v>
      </c>
      <c r="N18" s="6" t="n">
        <f aca="false">K18-L18</f>
        <v>0.0163694066585208</v>
      </c>
    </row>
    <row r="19" customFormat="false" ht="12" hidden="false" customHeight="true" outlineLevel="0" collapsed="false">
      <c r="C19" s="1" t="n">
        <v>2015</v>
      </c>
      <c r="D19" s="15" t="n">
        <f aca="false">PWT!B27</f>
        <v>234164.859375</v>
      </c>
      <c r="E19" s="1" t="n">
        <f aca="false">WEO_Data!C23</f>
        <v>40.896</v>
      </c>
      <c r="F19" s="1" t="n">
        <f aca="false">LN(D19)</f>
        <v>12.3637806735206</v>
      </c>
      <c r="G19" s="1" t="n">
        <f aca="false">LN(E19)</f>
        <v>3.71103225875507</v>
      </c>
      <c r="K19" s="5" t="n">
        <f aca="false">G19-$B$2*F19</f>
        <v>-0.616290976977145</v>
      </c>
      <c r="L19" s="1" t="n">
        <v>-0.619104291069006</v>
      </c>
      <c r="M19" s="1" t="n">
        <f aca="false">L18-2*L19+L20</f>
        <v>-0.001395695272566</v>
      </c>
      <c r="N19" s="6" t="n">
        <f aca="false">K19-L19</f>
        <v>0.00281331409186081</v>
      </c>
    </row>
    <row r="20" customFormat="false" ht="12" hidden="false" customHeight="true" outlineLevel="0" collapsed="false">
      <c r="C20" s="1" t="n">
        <v>2016</v>
      </c>
      <c r="D20" s="15" t="n">
        <f aca="false">PWT!B28</f>
        <v>241138.375</v>
      </c>
      <c r="E20" s="1" t="n">
        <f aca="false">WEO_Data!C24</f>
        <v>42.307</v>
      </c>
      <c r="F20" s="1" t="n">
        <f aca="false">LN(D20)</f>
        <v>12.3931262178247</v>
      </c>
      <c r="G20" s="1" t="n">
        <f aca="false">LN(E20)</f>
        <v>3.74495255699473</v>
      </c>
      <c r="K20" s="5" t="n">
        <f aca="false">G20-$B$2*F20</f>
        <v>-0.592641619243906</v>
      </c>
      <c r="L20" s="1" t="n">
        <v>-0.583455970157173</v>
      </c>
      <c r="M20" s="1" t="n">
        <f aca="false">L19-2*L20+L21</f>
        <v>-0.000843342736231989</v>
      </c>
      <c r="N20" s="6" t="n">
        <f aca="false">K20-L20</f>
        <v>-0.00918564908673292</v>
      </c>
    </row>
    <row r="21" customFormat="false" ht="12" hidden="false" customHeight="true" outlineLevel="0" collapsed="false">
      <c r="C21" s="1" t="n">
        <v>2017</v>
      </c>
      <c r="D21" s="15" t="n">
        <f aca="false">PWT!B29</f>
        <v>248033.09375</v>
      </c>
      <c r="E21" s="1" t="n">
        <f aca="false">WEO_Data!C25</f>
        <v>44.49</v>
      </c>
      <c r="F21" s="1" t="n">
        <f aca="false">LN(D21)</f>
        <v>12.4213174587848</v>
      </c>
      <c r="G21" s="1" t="n">
        <f aca="false">LN(E21)</f>
        <v>3.79526444481795</v>
      </c>
      <c r="K21" s="5" t="n">
        <f aca="false">G21-$B$2*F21</f>
        <v>-0.552196665756722</v>
      </c>
      <c r="L21" s="1" t="n">
        <v>-0.548650991981572</v>
      </c>
      <c r="M21" s="1" t="n">
        <f aca="false">L20-2*L21+L22</f>
        <v>-0.000382846690766048</v>
      </c>
      <c r="N21" s="6" t="n">
        <f aca="false">K21-L21</f>
        <v>-0.00354567377514969</v>
      </c>
    </row>
    <row r="22" customFormat="false" ht="12" hidden="false" customHeight="true" outlineLevel="0" collapsed="false">
      <c r="C22" s="1" t="n">
        <v>2018</v>
      </c>
      <c r="D22" s="15" t="n">
        <f aca="false">PWT!B30</f>
        <v>254809.796875</v>
      </c>
      <c r="E22" s="1" t="n">
        <f aca="false">WEO_Data!C26</f>
        <v>47.187</v>
      </c>
      <c r="F22" s="1" t="n">
        <f aca="false">LN(D22)</f>
        <v>12.4482726512149</v>
      </c>
      <c r="G22" s="1" t="n">
        <f aca="false">LN(E22)</f>
        <v>3.85411843092662</v>
      </c>
      <c r="K22" s="5" t="n">
        <f aca="false">G22-$B$2*F22</f>
        <v>-0.502776996998611</v>
      </c>
      <c r="L22" s="1" t="n">
        <v>-0.514228860496737</v>
      </c>
      <c r="M22" s="1" t="n">
        <f aca="false">L21-2*L22+L23</f>
        <v>4.21926169470455E-005</v>
      </c>
      <c r="N22" s="6" t="n">
        <f aca="false">K22-L22</f>
        <v>0.0114518634981263</v>
      </c>
    </row>
    <row r="23" customFormat="false" ht="12" hidden="false" customHeight="true" outlineLevel="0" collapsed="false">
      <c r="C23" s="1" t="n">
        <v>2019</v>
      </c>
      <c r="D23" s="15" t="n">
        <f aca="false">PWT!B31</f>
        <v>264125.5625</v>
      </c>
      <c r="E23" s="1" t="n">
        <f aca="false">WEO_Data!C27</f>
        <v>49.726</v>
      </c>
      <c r="F23" s="1" t="n">
        <f aca="false">LN(D23)</f>
        <v>12.4841798845895</v>
      </c>
      <c r="G23" s="1" t="n">
        <f aca="false">LN(E23)</f>
        <v>3.90652793514617</v>
      </c>
      <c r="K23" s="5" t="n">
        <f aca="false">G23-$B$2*F23</f>
        <v>-0.462935024460172</v>
      </c>
      <c r="L23" s="1" t="n">
        <v>-0.479764536394955</v>
      </c>
      <c r="M23" s="1" t="n">
        <f aca="false">L22-2*L23+L24</f>
        <v>0.000581750559642935</v>
      </c>
      <c r="N23" s="6" t="n">
        <f aca="false">K23-L23</f>
        <v>0.0168295119347826</v>
      </c>
    </row>
    <row r="24" customFormat="false" ht="12" hidden="false" customHeight="true" outlineLevel="0" collapsed="false">
      <c r="C24" s="1" t="n">
        <v>2020</v>
      </c>
      <c r="D24" s="15" t="n">
        <f aca="false">PWT!B32</f>
        <v>272031.436842411</v>
      </c>
      <c r="E24" s="1" t="n">
        <f aca="false">WEO_Data!C28</f>
        <v>46.598</v>
      </c>
      <c r="F24" s="1" t="n">
        <f aca="false">LN(D24)</f>
        <v>12.5136729152262</v>
      </c>
      <c r="G24" s="1" t="n">
        <f aca="false">LN(E24)</f>
        <v>3.84155762175564</v>
      </c>
      <c r="K24" s="5" t="n">
        <f aca="false">G24-$B$2*F24</f>
        <v>-0.538227898573521</v>
      </c>
      <c r="L24" s="1" t="n">
        <v>-0.44471846173353</v>
      </c>
      <c r="M24" s="1" t="n">
        <f aca="false">L23-2*L24+L25</f>
        <v>0.00128960362168606</v>
      </c>
      <c r="N24" s="6" t="n">
        <f aca="false">K24-L24</f>
        <v>-0.0935094368399914</v>
      </c>
    </row>
    <row r="25" customFormat="false" ht="12" hidden="false" customHeight="true" outlineLevel="0" collapsed="false">
      <c r="C25" s="1" t="n">
        <v>2021</v>
      </c>
      <c r="D25" s="15" t="n">
        <f aca="false">PWT!B33</f>
        <v>280173.951851202</v>
      </c>
      <c r="E25" s="1" t="n">
        <f aca="false">WEO_Data!C29</f>
        <v>51.558</v>
      </c>
      <c r="F25" s="1" t="n">
        <f aca="false">LN(D25)</f>
        <v>12.5431659458628</v>
      </c>
      <c r="G25" s="1" t="n">
        <f aca="false">LN(E25)</f>
        <v>3.94270738755914</v>
      </c>
      <c r="K25" s="5" t="n">
        <f aca="false">G25-$B$2*F25</f>
        <v>-0.447400693492847</v>
      </c>
      <c r="L25" s="1" t="n">
        <v>-0.408382783450419</v>
      </c>
      <c r="M25" s="1" t="n">
        <f aca="false">L24-2*L25+L26</f>
        <v>0.00106236231532897</v>
      </c>
      <c r="N25" s="6" t="n">
        <f aca="false">K25-L25</f>
        <v>-0.0390179100424277</v>
      </c>
    </row>
    <row r="26" customFormat="false" ht="12" hidden="false" customHeight="true" outlineLevel="0" collapsed="false">
      <c r="C26" s="1" t="n">
        <v>2022</v>
      </c>
      <c r="D26" s="15" t="n">
        <f aca="false">PWT!B34</f>
        <v>288560.190715728</v>
      </c>
      <c r="E26" s="1" t="n">
        <f aca="false">WEO_Data!C30</f>
        <v>57.208</v>
      </c>
      <c r="F26" s="1" t="n">
        <f aca="false">LN(D26)</f>
        <v>12.5726589764995</v>
      </c>
      <c r="G26" s="1" t="n">
        <f aca="false">LN(E26)</f>
        <v>4.0466937487461</v>
      </c>
      <c r="K26" s="5" t="n">
        <f aca="false">G26-$B$2*F26</f>
        <v>-0.353736893028717</v>
      </c>
      <c r="L26" s="1" t="n">
        <v>-0.370984742851979</v>
      </c>
      <c r="M26" s="1" t="n">
        <f aca="false">L25-2*L26+L27</f>
        <v>0.000444941908549046</v>
      </c>
      <c r="N26" s="6" t="n">
        <f aca="false">K26-L26</f>
        <v>0.0172478498232618</v>
      </c>
    </row>
    <row r="27" customFormat="false" ht="12" hidden="false" customHeight="true" outlineLevel="0" collapsed="false">
      <c r="C27" s="1" t="n">
        <v>2023</v>
      </c>
      <c r="D27" s="15" t="n">
        <f aca="false">PWT!B35</f>
        <v>297197.448641191</v>
      </c>
      <c r="E27" s="1" t="n">
        <f aca="false">WEO_Data!C31</f>
        <v>61.689</v>
      </c>
      <c r="F27" s="1" t="n">
        <f aca="false">LN(D27)</f>
        <v>12.6021520071361</v>
      </c>
      <c r="G27" s="1" t="n">
        <f aca="false">LN(E27)</f>
        <v>4.12210563300749</v>
      </c>
      <c r="K27" s="7" t="n">
        <f aca="false">G27-$B$2*F27</f>
        <v>-0.288647569490145</v>
      </c>
      <c r="L27" s="8" t="n">
        <v>-0.33314176034499</v>
      </c>
      <c r="M27" s="8"/>
      <c r="N27" s="9" t="n">
        <f aca="false">K27-L27</f>
        <v>0.0444941908548451</v>
      </c>
    </row>
    <row r="35" customFormat="false" ht="12" hidden="false" customHeight="true" outlineLevel="0" collapsed="false">
      <c r="D35" s="1" t="s">
        <v>13</v>
      </c>
      <c r="E35" s="1" t="s">
        <v>4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18</v>
      </c>
      <c r="K35" s="1" t="s">
        <v>19</v>
      </c>
      <c r="L35" s="1" t="s">
        <v>20</v>
      </c>
      <c r="M35" s="1" t="s">
        <v>21</v>
      </c>
      <c r="N35" s="1" t="s">
        <v>22</v>
      </c>
      <c r="O35" s="1" t="s">
        <v>23</v>
      </c>
      <c r="P35" s="1" t="s">
        <v>24</v>
      </c>
    </row>
    <row r="36" customFormat="false" ht="12" hidden="false" customHeight="true" outlineLevel="0" collapsed="false">
      <c r="C36" s="1" t="n">
        <v>2002</v>
      </c>
      <c r="D36" s="1" t="n">
        <f aca="false">E36/F36</f>
        <v>10525.2890462474</v>
      </c>
      <c r="E36" s="15" t="n">
        <f aca="false">PWT!B14</f>
        <v>197317.59375</v>
      </c>
      <c r="F36" s="1" t="n">
        <f aca="false">WEO_Data!C10</f>
        <v>18.747</v>
      </c>
      <c r="G36" s="1" t="n">
        <f aca="false">L6</f>
        <v>-1.2869513505199</v>
      </c>
      <c r="H36" s="1" t="n">
        <f aca="false">EXP(G36)*E36^$B$2</f>
        <v>19.6966407459854</v>
      </c>
      <c r="I36" s="1" t="n">
        <v>0</v>
      </c>
      <c r="J36" s="1" t="n">
        <v>0</v>
      </c>
      <c r="K36" s="15" t="n">
        <f aca="false">E36+J36</f>
        <v>197317.59375</v>
      </c>
      <c r="L36" s="1" t="n">
        <f aca="false">EXP(G36)*K36^$B$2</f>
        <v>19.6966407459854</v>
      </c>
      <c r="M36" s="1" t="n">
        <f aca="false">L36/H36-1</f>
        <v>0</v>
      </c>
      <c r="N36" s="1" t="n">
        <f aca="false">F36*(1+M36)</f>
        <v>18.747</v>
      </c>
    </row>
    <row r="37" customFormat="false" ht="12" hidden="false" customHeight="true" outlineLevel="0" collapsed="false">
      <c r="C37" s="1" t="n">
        <v>2003</v>
      </c>
      <c r="D37" s="1" t="n">
        <f aca="false">E37/F37</f>
        <v>9576.00814670056</v>
      </c>
      <c r="E37" s="15" t="n">
        <f aca="false">PWT!B15</f>
        <v>199678.921875</v>
      </c>
      <c r="F37" s="1" t="n">
        <f aca="false">WEO_Data!C11</f>
        <v>20.852</v>
      </c>
      <c r="G37" s="1" t="n">
        <f aca="false">L7</f>
        <v>-1.22310714258729</v>
      </c>
      <c r="H37" s="1" t="n">
        <f aca="false">EXP(G37)*E37^$B$2</f>
        <v>21.0827663296467</v>
      </c>
      <c r="I37" s="1" t="n">
        <v>0</v>
      </c>
      <c r="J37" s="1" t="n">
        <f aca="false">J36*(1-$B$3)+I37</f>
        <v>0</v>
      </c>
      <c r="K37" s="15" t="n">
        <f aca="false">E37+J37</f>
        <v>199678.921875</v>
      </c>
      <c r="L37" s="1" t="n">
        <f aca="false">EXP(G37)*K37^$B$2</f>
        <v>21.0827663296467</v>
      </c>
      <c r="M37" s="1" t="n">
        <f aca="false">L37/H37-1</f>
        <v>0</v>
      </c>
      <c r="N37" s="1" t="n">
        <f aca="false">F37*(1+M37)</f>
        <v>20.852</v>
      </c>
      <c r="O37" s="1" t="n">
        <f aca="false">N37/N36-1</f>
        <v>0.11228463220782</v>
      </c>
      <c r="P37" s="1" t="n">
        <f aca="false">F37/F36-1</f>
        <v>0.11228463220782</v>
      </c>
    </row>
    <row r="38" customFormat="false" ht="12" hidden="false" customHeight="true" outlineLevel="0" collapsed="false">
      <c r="C38" s="1" t="n">
        <v>2004</v>
      </c>
      <c r="D38" s="1" t="n">
        <f aca="false">E38/F38</f>
        <v>9186.29311907892</v>
      </c>
      <c r="E38" s="15" t="n">
        <f aca="false">PWT!B16</f>
        <v>202658.8125</v>
      </c>
      <c r="F38" s="1" t="n">
        <f aca="false">WEO_Data!C12</f>
        <v>22.061</v>
      </c>
      <c r="G38" s="1" t="n">
        <f aca="false">L8</f>
        <v>-1.15975707826547</v>
      </c>
      <c r="H38" s="1" t="n">
        <f aca="false">EXP(G38)*E38^$B$2</f>
        <v>22.5783303635156</v>
      </c>
      <c r="I38" s="1" t="n">
        <v>0</v>
      </c>
      <c r="J38" s="1" t="n">
        <f aca="false">J37*(1-$B$3)+I38</f>
        <v>0</v>
      </c>
      <c r="K38" s="15" t="n">
        <f aca="false">E38+J38</f>
        <v>202658.8125</v>
      </c>
      <c r="L38" s="1" t="n">
        <f aca="false">EXP(G38)*K38^$B$2</f>
        <v>22.5783303635156</v>
      </c>
      <c r="M38" s="1" t="n">
        <f aca="false">L38/H38-1</f>
        <v>0</v>
      </c>
      <c r="N38" s="1" t="n">
        <f aca="false">F38*(1+M38)</f>
        <v>22.061</v>
      </c>
      <c r="O38" s="1" t="n">
        <f aca="false">N38/N37-1</f>
        <v>0.0579800498753118</v>
      </c>
      <c r="P38" s="1" t="n">
        <f aca="false">F38/F37-1</f>
        <v>0.0579800498753118</v>
      </c>
    </row>
    <row r="39" customFormat="false" ht="12" hidden="false" customHeight="true" outlineLevel="0" collapsed="false">
      <c r="C39" s="1" t="n">
        <v>2005</v>
      </c>
      <c r="D39" s="1" t="n">
        <f aca="false">E39/F39</f>
        <v>8537.41313699537</v>
      </c>
      <c r="E39" s="15" t="n">
        <f aca="false">PWT!B17</f>
        <v>206400.5</v>
      </c>
      <c r="F39" s="1" t="n">
        <f aca="false">WEO_Data!C13</f>
        <v>24.176</v>
      </c>
      <c r="G39" s="1" t="n">
        <f aca="false">L9</f>
        <v>-1.09750536194744</v>
      </c>
      <c r="H39" s="1" t="n">
        <f aca="false">EXP(G39)*E39^$B$2</f>
        <v>24.1828921043163</v>
      </c>
      <c r="I39" s="1" t="n">
        <v>0</v>
      </c>
      <c r="J39" s="1" t="n">
        <f aca="false">J38*(1-$B$3)+I39</f>
        <v>0</v>
      </c>
      <c r="K39" s="15" t="n">
        <f aca="false">E39+J39</f>
        <v>206400.5</v>
      </c>
      <c r="L39" s="1" t="n">
        <f aca="false">EXP(G39)*K39^$B$2</f>
        <v>24.1828921043163</v>
      </c>
      <c r="M39" s="1" t="n">
        <f aca="false">L39/H39-1</f>
        <v>0</v>
      </c>
      <c r="N39" s="1" t="n">
        <f aca="false">F39*(1+M39)</f>
        <v>24.176</v>
      </c>
      <c r="O39" s="1" t="n">
        <f aca="false">N39/N38-1</f>
        <v>0.0958705407733103</v>
      </c>
      <c r="P39" s="1" t="n">
        <f aca="false">F39/F38-1</f>
        <v>0.0958705407733103</v>
      </c>
    </row>
    <row r="40" customFormat="false" ht="12" hidden="false" customHeight="true" outlineLevel="0" collapsed="false">
      <c r="C40" s="1" t="n">
        <v>2006</v>
      </c>
      <c r="D40" s="1" t="n">
        <f aca="false">E40/F40</f>
        <v>7925.46495804037</v>
      </c>
      <c r="E40" s="15" t="n">
        <f aca="false">PWT!B18</f>
        <v>209660.25</v>
      </c>
      <c r="F40" s="1" t="n">
        <f aca="false">WEO_Data!C14</f>
        <v>26.454</v>
      </c>
      <c r="G40" s="1" t="n">
        <f aca="false">L10</f>
        <v>-1.03718799071731</v>
      </c>
      <c r="H40" s="1" t="n">
        <f aca="false">EXP(G40)*E40^$B$2</f>
        <v>25.8276928904504</v>
      </c>
      <c r="I40" s="1" t="n">
        <v>0</v>
      </c>
      <c r="J40" s="1" t="n">
        <f aca="false">J39*(1-$B$3)+I40</f>
        <v>0</v>
      </c>
      <c r="K40" s="15" t="n">
        <f aca="false">E40+J40</f>
        <v>209660.25</v>
      </c>
      <c r="L40" s="1" t="n">
        <f aca="false">EXP(G40)*K40^$B$2</f>
        <v>25.8276928904504</v>
      </c>
      <c r="M40" s="1" t="n">
        <f aca="false">L40/H40-1</f>
        <v>0</v>
      </c>
      <c r="N40" s="1" t="n">
        <f aca="false">F40*(1+M40)</f>
        <v>26.454</v>
      </c>
      <c r="O40" s="1" t="n">
        <f aca="false">N40/N39-1</f>
        <v>0.094225678358703</v>
      </c>
      <c r="P40" s="1" t="n">
        <f aca="false">F40/F39-1</f>
        <v>0.094225678358703</v>
      </c>
    </row>
    <row r="41" customFormat="false" ht="12" hidden="false" customHeight="true" outlineLevel="0" collapsed="false">
      <c r="C41" s="1" t="n">
        <v>2007</v>
      </c>
      <c r="D41" s="1" t="n">
        <f aca="false">E41/F41</f>
        <v>7179.79164568013</v>
      </c>
      <c r="E41" s="15" t="n">
        <f aca="false">PWT!B19</f>
        <v>213821.375</v>
      </c>
      <c r="F41" s="1" t="n">
        <f aca="false">WEO_Data!C15</f>
        <v>29.781</v>
      </c>
      <c r="G41" s="1" t="n">
        <f aca="false">L11</f>
        <v>-0.979643812057187</v>
      </c>
      <c r="H41" s="1" t="n">
        <f aca="false">EXP(G41)*E41^$B$2</f>
        <v>27.5463454472957</v>
      </c>
      <c r="I41" s="1" t="n">
        <v>0</v>
      </c>
      <c r="J41" s="1" t="n">
        <f aca="false">J40*(1-$B$3)+I41</f>
        <v>0</v>
      </c>
      <c r="K41" s="15" t="n">
        <f aca="false">E41+J41</f>
        <v>213821.375</v>
      </c>
      <c r="L41" s="1" t="n">
        <f aca="false">EXP(G41)*K41^$B$2</f>
        <v>27.5463454472957</v>
      </c>
      <c r="M41" s="1" t="n">
        <f aca="false">L41/H41-1</f>
        <v>0</v>
      </c>
      <c r="N41" s="1" t="n">
        <f aca="false">F41*(1+M41)</f>
        <v>29.781</v>
      </c>
      <c r="O41" s="1" t="n">
        <f aca="false">N41/N40-1</f>
        <v>0.125765479700612</v>
      </c>
      <c r="P41" s="1" t="n">
        <f aca="false">F41/F40-1</f>
        <v>0.125765479700612</v>
      </c>
    </row>
    <row r="42" customFormat="false" ht="12" hidden="false" customHeight="true" outlineLevel="0" collapsed="false">
      <c r="C42" s="1" t="n">
        <v>2008</v>
      </c>
      <c r="D42" s="1" t="n">
        <f aca="false">E42/F42</f>
        <v>7075.79523473871</v>
      </c>
      <c r="E42" s="15" t="n">
        <f aca="false">PWT!B20</f>
        <v>215825.90625</v>
      </c>
      <c r="F42" s="1" t="n">
        <f aca="false">WEO_Data!C16</f>
        <v>30.502</v>
      </c>
      <c r="G42" s="1" t="n">
        <f aca="false">L12</f>
        <v>-0.925472072534401</v>
      </c>
      <c r="H42" s="1" t="n">
        <f aca="false">EXP(G42)*E42^$B$2</f>
        <v>29.174863739284</v>
      </c>
      <c r="I42" s="1" t="n">
        <v>0</v>
      </c>
      <c r="J42" s="1" t="n">
        <f aca="false">J41*(1-$B$3)+I42</f>
        <v>0</v>
      </c>
      <c r="K42" s="15" t="n">
        <f aca="false">E42+J42</f>
        <v>215825.90625</v>
      </c>
      <c r="L42" s="1" t="n">
        <f aca="false">EXP(G42)*K42^$B$2</f>
        <v>29.174863739284</v>
      </c>
      <c r="M42" s="1" t="n">
        <f aca="false">L42/H42-1</f>
        <v>0</v>
      </c>
      <c r="N42" s="1" t="n">
        <f aca="false">F42*(1+M42)</f>
        <v>30.502</v>
      </c>
      <c r="O42" s="1" t="n">
        <f aca="false">N42/N41-1</f>
        <v>0.0242100668211276</v>
      </c>
      <c r="P42" s="1" t="n">
        <f aca="false">F42/F41-1</f>
        <v>0.0242100668211276</v>
      </c>
    </row>
    <row r="43" customFormat="false" ht="12" hidden="false" customHeight="true" outlineLevel="0" collapsed="false">
      <c r="C43" s="1" t="n">
        <v>2009</v>
      </c>
      <c r="D43" s="1" t="n">
        <f aca="false">E43/F43</f>
        <v>7299.09848407513</v>
      </c>
      <c r="E43" s="15" t="n">
        <f aca="false">PWT!B21</f>
        <v>214505.90625</v>
      </c>
      <c r="F43" s="1" t="n">
        <f aca="false">WEO_Data!C17</f>
        <v>29.388</v>
      </c>
      <c r="G43" s="1" t="n">
        <f aca="false">L13</f>
        <v>-0.874492011405114</v>
      </c>
      <c r="H43" s="1" t="n">
        <f aca="false">EXP(G43)*E43^$B$2</f>
        <v>30.6349153125676</v>
      </c>
      <c r="I43" s="1" t="n">
        <v>0</v>
      </c>
      <c r="J43" s="1" t="n">
        <f aca="false">J42*(1-$B$3)+I43</f>
        <v>0</v>
      </c>
      <c r="K43" s="15" t="n">
        <f aca="false">E43+J43</f>
        <v>214505.90625</v>
      </c>
      <c r="L43" s="1" t="n">
        <f aca="false">EXP(G43)*K43^$B$2</f>
        <v>30.6349153125676</v>
      </c>
      <c r="M43" s="1" t="n">
        <f aca="false">L43/H43-1</f>
        <v>0</v>
      </c>
      <c r="N43" s="1" t="n">
        <f aca="false">F43*(1+M43)</f>
        <v>29.388</v>
      </c>
      <c r="O43" s="1" t="n">
        <f aca="false">N43/N42-1</f>
        <v>-0.0365221952658841</v>
      </c>
      <c r="P43" s="1" t="n">
        <f aca="false">F43/F42-1</f>
        <v>-0.0365221952658841</v>
      </c>
    </row>
    <row r="44" customFormat="false" ht="12" hidden="false" customHeight="true" outlineLevel="0" collapsed="false">
      <c r="C44" s="1" t="n">
        <v>2010</v>
      </c>
      <c r="D44" s="1" t="n">
        <f aca="false">E44/F44</f>
        <v>6864.58830501464</v>
      </c>
      <c r="E44" s="15" t="n">
        <f aca="false">PWT!B22</f>
        <v>215740.28125</v>
      </c>
      <c r="F44" s="1" t="n">
        <f aca="false">WEO_Data!C18</f>
        <v>31.428</v>
      </c>
      <c r="G44" s="1" t="n">
        <f aca="false">L14</f>
        <v>-0.82607802045015</v>
      </c>
      <c r="H44" s="1" t="n">
        <f aca="false">EXP(G44)*E44^$B$2</f>
        <v>32.2192041228089</v>
      </c>
      <c r="I44" s="1" t="n">
        <v>0</v>
      </c>
      <c r="J44" s="1" t="n">
        <f aca="false">J43*(1-$B$3)+I44</f>
        <v>0</v>
      </c>
      <c r="K44" s="15" t="n">
        <f aca="false">E44+J44</f>
        <v>215740.28125</v>
      </c>
      <c r="L44" s="1" t="n">
        <f aca="false">EXP(G44)*K44^$B$2</f>
        <v>32.2192041228089</v>
      </c>
      <c r="M44" s="1" t="n">
        <f aca="false">L44/H44-1</f>
        <v>0</v>
      </c>
      <c r="N44" s="1" t="n">
        <f aca="false">F44*(1+M44)</f>
        <v>31.428</v>
      </c>
      <c r="O44" s="1" t="n">
        <f aca="false">N44/N43-1</f>
        <v>0.0694160881992649</v>
      </c>
      <c r="P44" s="1" t="n">
        <f aca="false">F44/F43-1</f>
        <v>0.0694160881992649</v>
      </c>
    </row>
    <row r="45" customFormat="false" ht="12" hidden="false" customHeight="true" outlineLevel="0" collapsed="false">
      <c r="C45" s="1" t="n">
        <v>2011</v>
      </c>
      <c r="D45" s="1" t="n">
        <f aca="false">E45/F45</f>
        <v>6435.39667889881</v>
      </c>
      <c r="E45" s="15" t="n">
        <f aca="false">PWT!B23</f>
        <v>218333.703125</v>
      </c>
      <c r="F45" s="1" t="n">
        <f aca="false">WEO_Data!C19</f>
        <v>33.927</v>
      </c>
      <c r="G45" s="1" t="n">
        <f aca="false">L15</f>
        <v>-0.78002003099048</v>
      </c>
      <c r="H45" s="1" t="n">
        <f aca="false">EXP(G45)*E45^$B$2</f>
        <v>33.8792570571229</v>
      </c>
      <c r="I45" s="1" t="n">
        <v>0</v>
      </c>
      <c r="J45" s="1" t="n">
        <f aca="false">J44*(1-$B$3)+I45</f>
        <v>0</v>
      </c>
      <c r="K45" s="15" t="n">
        <f aca="false">E45+J45</f>
        <v>218333.703125</v>
      </c>
      <c r="L45" s="1" t="n">
        <f aca="false">EXP(G45)*K45^$B$2</f>
        <v>33.8792570571229</v>
      </c>
      <c r="M45" s="1" t="n">
        <f aca="false">L45/H45-1</f>
        <v>0</v>
      </c>
      <c r="N45" s="1" t="n">
        <f aca="false">F45*(1+M45)</f>
        <v>33.927</v>
      </c>
      <c r="O45" s="1" t="n">
        <f aca="false">N45/N44-1</f>
        <v>0.0795150820924016</v>
      </c>
      <c r="P45" s="1" t="n">
        <f aca="false">F45/F44-1</f>
        <v>0.0795150820924016</v>
      </c>
    </row>
    <row r="46" customFormat="false" ht="12" hidden="false" customHeight="true" outlineLevel="0" collapsed="false">
      <c r="C46" s="1" t="n">
        <v>2012</v>
      </c>
      <c r="D46" s="1" t="n">
        <f aca="false">E46/F46</f>
        <v>6127.66099034819</v>
      </c>
      <c r="E46" s="15" t="n">
        <f aca="false">PWT!B24</f>
        <v>221570.09375</v>
      </c>
      <c r="F46" s="1" t="n">
        <f aca="false">WEO_Data!C20</f>
        <v>36.159</v>
      </c>
      <c r="G46" s="1" t="n">
        <f aca="false">L16</f>
        <v>-0.736356608954969</v>
      </c>
      <c r="H46" s="1" t="n">
        <f aca="false">EXP(G46)*E46^$B$2</f>
        <v>35.5740480659448</v>
      </c>
      <c r="I46" s="1" t="n">
        <v>0</v>
      </c>
      <c r="J46" s="1" t="n">
        <f aca="false">J45*(1-$B$3)+I46</f>
        <v>0</v>
      </c>
      <c r="K46" s="15" t="n">
        <f aca="false">E46+J46</f>
        <v>221570.09375</v>
      </c>
      <c r="L46" s="1" t="n">
        <f aca="false">EXP(G46)*K46^$B$2</f>
        <v>35.5740480659448</v>
      </c>
      <c r="M46" s="1" t="n">
        <f aca="false">L46/H46-1</f>
        <v>0</v>
      </c>
      <c r="N46" s="1" t="n">
        <f aca="false">F46*(1+M46)</f>
        <v>36.159</v>
      </c>
      <c r="O46" s="1" t="n">
        <f aca="false">N46/N45-1</f>
        <v>0.0657883101954195</v>
      </c>
      <c r="P46" s="1" t="n">
        <f aca="false">F46/F45-1</f>
        <v>0.0657883101954195</v>
      </c>
    </row>
    <row r="47" customFormat="false" ht="12" hidden="false" customHeight="true" outlineLevel="0" collapsed="false">
      <c r="C47" s="1" t="n">
        <v>2013</v>
      </c>
      <c r="D47" s="1" t="n">
        <f aca="false">E47/F47</f>
        <v>5877.46613179008</v>
      </c>
      <c r="E47" s="15" t="n">
        <f aca="false">PWT!B25</f>
        <v>223431.875</v>
      </c>
      <c r="F47" s="1" t="n">
        <f aca="false">WEO_Data!C21</f>
        <v>38.015</v>
      </c>
      <c r="G47" s="1" t="n">
        <f aca="false">L17</f>
        <v>-0.695112238105783</v>
      </c>
      <c r="H47" s="1" t="n">
        <f aca="false">EXP(G47)*E47^$B$2</f>
        <v>37.180684953218</v>
      </c>
      <c r="I47" s="1" t="n">
        <v>0</v>
      </c>
      <c r="J47" s="1" t="n">
        <f aca="false">J46*(1-$B$3)+I47</f>
        <v>0</v>
      </c>
      <c r="K47" s="15" t="n">
        <f aca="false">E47+J47</f>
        <v>223431.875</v>
      </c>
      <c r="L47" s="1" t="n">
        <f aca="false">EXP(G47)*K47^$B$2</f>
        <v>37.180684953218</v>
      </c>
      <c r="M47" s="1" t="n">
        <f aca="false">L47/H47-1</f>
        <v>0</v>
      </c>
      <c r="N47" s="1" t="n">
        <f aca="false">F47*(1+M47)</f>
        <v>38.015</v>
      </c>
      <c r="O47" s="1" t="n">
        <f aca="false">N47/N46-1</f>
        <v>0.0513288531209382</v>
      </c>
      <c r="P47" s="1" t="n">
        <f aca="false">F47/F46-1</f>
        <v>0.0513288531209382</v>
      </c>
    </row>
    <row r="48" customFormat="false" ht="12" hidden="false" customHeight="true" outlineLevel="0" collapsed="false">
      <c r="C48" s="1" t="n">
        <v>2014</v>
      </c>
      <c r="D48" s="1" t="n">
        <f aca="false">E48/F48</f>
        <v>5759.71616755118</v>
      </c>
      <c r="E48" s="15" t="n">
        <f aca="false">PWT!B26</f>
        <v>227911.96875</v>
      </c>
      <c r="F48" s="1" t="n">
        <f aca="false">WEO_Data!C22</f>
        <v>39.57</v>
      </c>
      <c r="G48" s="1" t="n">
        <f aca="false">L18</f>
        <v>-0.656148307253405</v>
      </c>
      <c r="H48" s="1" t="n">
        <f aca="false">EXP(G48)*E48^$B$2</f>
        <v>38.9275353074675</v>
      </c>
      <c r="I48" s="1" t="n">
        <v>0</v>
      </c>
      <c r="J48" s="1" t="n">
        <f aca="false">J47*(1-$B$3)+I48</f>
        <v>0</v>
      </c>
      <c r="K48" s="15" t="n">
        <f aca="false">E48+J48</f>
        <v>227911.96875</v>
      </c>
      <c r="L48" s="1" t="n">
        <f aca="false">EXP(G48)*K48^$B$2</f>
        <v>38.9275353074675</v>
      </c>
      <c r="M48" s="1" t="n">
        <f aca="false">L48/H48-1</f>
        <v>0</v>
      </c>
      <c r="N48" s="1" t="n">
        <f aca="false">F48*(1+M48)</f>
        <v>39.57</v>
      </c>
      <c r="O48" s="1" t="n">
        <f aca="false">N48/N47-1</f>
        <v>0.0409049059581743</v>
      </c>
      <c r="P48" s="1" t="n">
        <f aca="false">F48/F47-1</f>
        <v>0.0409049059581743</v>
      </c>
    </row>
    <row r="49" customFormat="false" ht="12" hidden="false" customHeight="true" outlineLevel="0" collapsed="false">
      <c r="C49" s="1" t="n">
        <v>2015</v>
      </c>
      <c r="D49" s="1" t="n">
        <f aca="false">E49/F49</f>
        <v>5725.86217172829</v>
      </c>
      <c r="E49" s="15" t="n">
        <f aca="false">PWT!B27</f>
        <v>234164.859375</v>
      </c>
      <c r="F49" s="1" t="n">
        <f aca="false">WEO_Data!C23</f>
        <v>40.896</v>
      </c>
      <c r="G49" s="1" t="n">
        <f aca="false">L19</f>
        <v>-0.619104291069006</v>
      </c>
      <c r="H49" s="1" t="n">
        <f aca="false">EXP(G49)*E49^$B$2</f>
        <v>40.7811083957619</v>
      </c>
      <c r="I49" s="1" t="n">
        <v>0</v>
      </c>
      <c r="J49" s="1" t="n">
        <f aca="false">J48*(1-$B$3)+I49</f>
        <v>0</v>
      </c>
      <c r="K49" s="15" t="n">
        <f aca="false">E49+J49</f>
        <v>234164.859375</v>
      </c>
      <c r="L49" s="1" t="n">
        <f aca="false">EXP(G49)*K49^$B$2</f>
        <v>40.7811083957619</v>
      </c>
      <c r="M49" s="1" t="n">
        <f aca="false">L49/H49-1</f>
        <v>0</v>
      </c>
      <c r="N49" s="1" t="n">
        <f aca="false">F49*(1+M49)</f>
        <v>40.896</v>
      </c>
      <c r="O49" s="1" t="n">
        <f aca="false">N49/N48-1</f>
        <v>0.0335102350265353</v>
      </c>
      <c r="P49" s="1" t="n">
        <f aca="false">F49/F48-1</f>
        <v>0.0335102350265353</v>
      </c>
    </row>
    <row r="50" customFormat="false" ht="12" hidden="false" customHeight="true" outlineLevel="0" collapsed="false">
      <c r="C50" s="1" t="n">
        <v>2016</v>
      </c>
      <c r="D50" s="1" t="n">
        <f aca="false">E50/F50</f>
        <v>5699.72758645141</v>
      </c>
      <c r="E50" s="15" t="n">
        <f aca="false">PWT!B28</f>
        <v>241138.375</v>
      </c>
      <c r="F50" s="1" t="n">
        <f aca="false">WEO_Data!C24</f>
        <v>42.307</v>
      </c>
      <c r="G50" s="1" t="n">
        <f aca="false">L20</f>
        <v>-0.583455970157173</v>
      </c>
      <c r="H50" s="1" t="n">
        <f aca="false">EXP(G50)*E50^$B$2</f>
        <v>42.6974075843609</v>
      </c>
      <c r="I50" s="1" t="n">
        <v>0</v>
      </c>
      <c r="J50" s="1" t="n">
        <f aca="false">J49*(1-$B$3)+I50</f>
        <v>0</v>
      </c>
      <c r="K50" s="15" t="n">
        <f aca="false">E50+J50</f>
        <v>241138.375</v>
      </c>
      <c r="L50" s="1" t="n">
        <f aca="false">EXP(G50)*K50^$B$2</f>
        <v>42.6974075843609</v>
      </c>
      <c r="M50" s="1" t="n">
        <f aca="false">L50/H50-1</f>
        <v>0</v>
      </c>
      <c r="N50" s="1" t="n">
        <f aca="false">F50*(1+M50)</f>
        <v>42.307</v>
      </c>
      <c r="O50" s="1" t="n">
        <f aca="false">N50/N49-1</f>
        <v>0.0345021517996871</v>
      </c>
      <c r="P50" s="1" t="n">
        <f aca="false">F50/F49-1</f>
        <v>0.0345021517996871</v>
      </c>
    </row>
    <row r="51" customFormat="false" ht="12" hidden="false" customHeight="true" outlineLevel="0" collapsed="false">
      <c r="C51" s="1" t="n">
        <v>2017</v>
      </c>
      <c r="D51" s="1" t="n">
        <f aca="false">E51/F51</f>
        <v>5575.0302034165</v>
      </c>
      <c r="E51" s="15" t="n">
        <f aca="false">PWT!B29</f>
        <v>248033.09375</v>
      </c>
      <c r="F51" s="1" t="n">
        <f aca="false">WEO_Data!C25</f>
        <v>44.49</v>
      </c>
      <c r="G51" s="1" t="n">
        <f aca="false">L21</f>
        <v>-0.548650991981572</v>
      </c>
      <c r="H51" s="1" t="n">
        <f aca="false">EXP(G51)*E51^$B$2</f>
        <v>44.6480270168241</v>
      </c>
      <c r="I51" s="1" t="n">
        <v>0</v>
      </c>
      <c r="J51" s="1" t="n">
        <f aca="false">J50*(1-$B$3)+I51</f>
        <v>0</v>
      </c>
      <c r="K51" s="15" t="n">
        <f aca="false">E51+J51</f>
        <v>248033.09375</v>
      </c>
      <c r="L51" s="1" t="n">
        <f aca="false">EXP(G51)*K51^$B$2</f>
        <v>44.6480270168241</v>
      </c>
      <c r="M51" s="1" t="n">
        <f aca="false">L51/H51-1</f>
        <v>0</v>
      </c>
      <c r="N51" s="1" t="n">
        <f aca="false">F51*(1+M51)</f>
        <v>44.49</v>
      </c>
      <c r="O51" s="1" t="n">
        <f aca="false">N51/N50-1</f>
        <v>0.0515990261658827</v>
      </c>
      <c r="P51" s="1" t="n">
        <f aca="false">F51/F50-1</f>
        <v>0.0515990261658827</v>
      </c>
    </row>
    <row r="52" customFormat="false" ht="12" hidden="false" customHeight="true" outlineLevel="0" collapsed="false">
      <c r="C52" s="1" t="n">
        <v>2018</v>
      </c>
      <c r="D52" s="1" t="n">
        <f aca="false">E52/F52</f>
        <v>5399.99993377413</v>
      </c>
      <c r="E52" s="15" t="n">
        <f aca="false">PWT!B30</f>
        <v>254809.796875</v>
      </c>
      <c r="F52" s="1" t="n">
        <f aca="false">WEO_Data!C26</f>
        <v>47.187</v>
      </c>
      <c r="G52" s="1" t="n">
        <f aca="false">L22</f>
        <v>-0.514228860496737</v>
      </c>
      <c r="H52" s="1" t="n">
        <f aca="false">EXP(G52)*E52^$B$2</f>
        <v>46.6497033132475</v>
      </c>
      <c r="I52" s="1" t="n">
        <v>0</v>
      </c>
      <c r="J52" s="1" t="n">
        <f aca="false">J51*(1-$B$3)+I52</f>
        <v>0</v>
      </c>
      <c r="K52" s="15" t="n">
        <f aca="false">E52+J52</f>
        <v>254809.796875</v>
      </c>
      <c r="L52" s="1" t="n">
        <f aca="false">EXP(G52)*K52^$B$2</f>
        <v>46.6497033132475</v>
      </c>
      <c r="M52" s="1" t="n">
        <f aca="false">L52/H52-1</f>
        <v>0</v>
      </c>
      <c r="N52" s="1" t="n">
        <f aca="false">F52*(1+M52)</f>
        <v>47.187</v>
      </c>
      <c r="O52" s="1" t="n">
        <f aca="false">N52/N51-1</f>
        <v>0.06062036412677</v>
      </c>
      <c r="P52" s="1" t="n">
        <f aca="false">F52/F51-1</f>
        <v>0.06062036412677</v>
      </c>
    </row>
    <row r="53" customFormat="false" ht="12" hidden="false" customHeight="true" outlineLevel="0" collapsed="false">
      <c r="C53" s="1" t="n">
        <v>2019</v>
      </c>
      <c r="D53" s="1" t="n">
        <f aca="false">E53/F53</f>
        <v>5311.61892169087</v>
      </c>
      <c r="E53" s="15" t="n">
        <f aca="false">PWT!B31</f>
        <v>264125.5625</v>
      </c>
      <c r="F53" s="1" t="n">
        <f aca="false">WEO_Data!C27</f>
        <v>49.726</v>
      </c>
      <c r="G53" s="1" t="n">
        <f aca="false">L23</f>
        <v>-0.479764536394955</v>
      </c>
      <c r="H53" s="1" t="n">
        <f aca="false">EXP(G53)*E53^$B$2</f>
        <v>48.8961383596095</v>
      </c>
      <c r="I53" s="1" t="n">
        <v>0</v>
      </c>
      <c r="J53" s="1" t="n">
        <f aca="false">J52*(1-$B$3)+I53</f>
        <v>0</v>
      </c>
      <c r="K53" s="15" t="n">
        <f aca="false">E53+J53</f>
        <v>264125.5625</v>
      </c>
      <c r="L53" s="1" t="n">
        <f aca="false">EXP(G53)*K53^$B$2</f>
        <v>48.8961383596095</v>
      </c>
      <c r="M53" s="1" t="n">
        <f aca="false">L53/H53-1</f>
        <v>0</v>
      </c>
      <c r="N53" s="1" t="n">
        <f aca="false">F53*(1+M53)</f>
        <v>49.726</v>
      </c>
      <c r="O53" s="1" t="n">
        <f aca="false">N53/N52-1</f>
        <v>0.0538071926589951</v>
      </c>
      <c r="P53" s="1" t="n">
        <f aca="false">F53/F52-1</f>
        <v>0.0538071926589951</v>
      </c>
    </row>
    <row r="54" customFormat="false" ht="12" hidden="false" customHeight="true" outlineLevel="0" collapsed="false">
      <c r="C54" s="1" t="n">
        <v>2020</v>
      </c>
      <c r="D54" s="1" t="n">
        <f aca="false">E54/F54</f>
        <v>5837.83503245656</v>
      </c>
      <c r="E54" s="15" t="n">
        <f aca="false">PWT!B32</f>
        <v>272031.436842411</v>
      </c>
      <c r="F54" s="1" t="n">
        <f aca="false">WEO_Data!C28</f>
        <v>46.598</v>
      </c>
      <c r="G54" s="1" t="n">
        <f aca="false">L24</f>
        <v>-0.44471846173353</v>
      </c>
      <c r="H54" s="1" t="n">
        <f aca="false">EXP(G54)*E54^$B$2</f>
        <v>51.16558093362</v>
      </c>
      <c r="I54" s="1" t="n">
        <v>0</v>
      </c>
      <c r="J54" s="1" t="n">
        <f aca="false">J53*(1-$B$3)+I54</f>
        <v>0</v>
      </c>
      <c r="K54" s="15" t="n">
        <f aca="false">E54+J54</f>
        <v>272031.436842411</v>
      </c>
      <c r="L54" s="1" t="n">
        <f aca="false">EXP(G54)*K54^$B$2</f>
        <v>51.16558093362</v>
      </c>
      <c r="M54" s="1" t="n">
        <f aca="false">L54/H54-1</f>
        <v>0</v>
      </c>
      <c r="N54" s="1" t="n">
        <f aca="false">F54*(1+M54)</f>
        <v>46.598</v>
      </c>
      <c r="O54" s="1" t="n">
        <f aca="false">N54/N53-1</f>
        <v>-0.062904717853839</v>
      </c>
      <c r="P54" s="1" t="n">
        <f aca="false">F54/F53-1</f>
        <v>-0.062904717853839</v>
      </c>
    </row>
    <row r="55" customFormat="false" ht="12" hidden="false" customHeight="true" outlineLevel="0" collapsed="false">
      <c r="C55" s="1" t="n">
        <v>2021</v>
      </c>
      <c r="D55" s="1" t="n">
        <f aca="false">E55/F55</f>
        <v>5434.15089513173</v>
      </c>
      <c r="E55" s="15" t="n">
        <f aca="false">PWT!B33</f>
        <v>280173.951851202</v>
      </c>
      <c r="F55" s="1" t="n">
        <f aca="false">WEO_Data!C29</f>
        <v>51.558</v>
      </c>
      <c r="G55" s="1" t="n">
        <f aca="false">L25</f>
        <v>-0.408382783450419</v>
      </c>
      <c r="H55" s="1" t="n">
        <f aca="false">EXP(G55)*E55^$B$2</f>
        <v>53.6094467349023</v>
      </c>
      <c r="I55" s="1" t="n">
        <v>0</v>
      </c>
      <c r="J55" s="1" t="n">
        <f aca="false">J54*(1-$B$3)+I55</f>
        <v>0</v>
      </c>
      <c r="K55" s="15" t="n">
        <f aca="false">E55+J55</f>
        <v>280173.951851202</v>
      </c>
      <c r="L55" s="1" t="n">
        <f aca="false">EXP(G55)*K55^$B$2</f>
        <v>53.6094467349023</v>
      </c>
      <c r="M55" s="1" t="n">
        <f aca="false">L55/H55-1</f>
        <v>0</v>
      </c>
      <c r="N55" s="1" t="n">
        <f aca="false">F55*(1+M55)</f>
        <v>51.558</v>
      </c>
      <c r="O55" s="1" t="n">
        <f aca="false">N55/N54-1</f>
        <v>0.106442336580969</v>
      </c>
      <c r="P55" s="1" t="n">
        <f aca="false">F55/F54-1</f>
        <v>0.106442336580969</v>
      </c>
    </row>
    <row r="56" customFormat="false" ht="12" hidden="false" customHeight="true" outlineLevel="0" collapsed="false">
      <c r="C56" s="1" t="n">
        <v>2022</v>
      </c>
      <c r="D56" s="1" t="n">
        <f aca="false">E56/F56</f>
        <v>5044.05311697188</v>
      </c>
      <c r="E56" s="15" t="n">
        <f aca="false">PWT!B34</f>
        <v>288560.190715728</v>
      </c>
      <c r="F56" s="1" t="n">
        <f aca="false">WEO_Data!C30</f>
        <v>57.208</v>
      </c>
      <c r="G56" s="1" t="n">
        <f aca="false">L26</f>
        <v>-0.370984742851979</v>
      </c>
      <c r="H56" s="1" t="n">
        <f aca="false">EXP(G56)*E56^$B$2</f>
        <v>56.229745650846</v>
      </c>
      <c r="I56" s="1" t="n">
        <v>0</v>
      </c>
      <c r="J56" s="1" t="n">
        <f aca="false">J55*(1-$B$3)+I56</f>
        <v>0</v>
      </c>
      <c r="K56" s="15" t="n">
        <f aca="false">E56+J56</f>
        <v>288560.190715728</v>
      </c>
      <c r="L56" s="1" t="n">
        <f aca="false">EXP(G56)*K56^$B$2</f>
        <v>56.229745650846</v>
      </c>
      <c r="M56" s="1" t="n">
        <f aca="false">L56/H56-1</f>
        <v>0</v>
      </c>
      <c r="N56" s="1" t="n">
        <f aca="false">F56*(1+M56)</f>
        <v>57.208</v>
      </c>
      <c r="O56" s="1" t="n">
        <f aca="false">N56/N55-1</f>
        <v>0.109585321385624</v>
      </c>
      <c r="P56" s="1" t="n">
        <f aca="false">F56/F55-1</f>
        <v>0.109585321385624</v>
      </c>
    </row>
    <row r="57" customFormat="false" ht="12" hidden="false" customHeight="true" outlineLevel="0" collapsed="false">
      <c r="C57" s="1" t="n">
        <v>2023</v>
      </c>
      <c r="D57" s="1" t="n">
        <f aca="false">E57/F57</f>
        <v>4817.67330709188</v>
      </c>
      <c r="E57" s="15" t="n">
        <f aca="false">PWT!B35</f>
        <v>297197.448641191</v>
      </c>
      <c r="F57" s="1" t="n">
        <f aca="false">WEO_Data!C31</f>
        <v>61.689</v>
      </c>
      <c r="G57" s="1" t="n">
        <f aca="false">L27</f>
        <v>-0.33314176034499</v>
      </c>
      <c r="H57" s="1" t="n">
        <f aca="false">EXP(G57)*E57^$B$2</f>
        <v>59.004366058107</v>
      </c>
      <c r="I57" s="1" t="n">
        <v>0</v>
      </c>
      <c r="J57" s="1" t="n">
        <f aca="false">J56*(1-$B$3)+I57</f>
        <v>0</v>
      </c>
      <c r="K57" s="15" t="n">
        <f aca="false">E57+J57</f>
        <v>297197.448641191</v>
      </c>
      <c r="L57" s="1" t="n">
        <f aca="false">EXP(G57)*K57^$B$2</f>
        <v>59.004366058107</v>
      </c>
      <c r="M57" s="1" t="n">
        <f aca="false">L57/H57-1</f>
        <v>0</v>
      </c>
      <c r="N57" s="1" t="n">
        <f aca="false">F57*(1+M57)</f>
        <v>61.689</v>
      </c>
      <c r="O57" s="1" t="n">
        <f aca="false">N57/N56-1</f>
        <v>0.0783282058453363</v>
      </c>
      <c r="P57" s="1" t="n">
        <f aca="false">F57/F56-1</f>
        <v>0.0783282058453363</v>
      </c>
    </row>
    <row r="58" customFormat="false" ht="12" hidden="false" customHeight="true" outlineLevel="0" collapsed="false">
      <c r="C58" s="1" t="n">
        <v>2024</v>
      </c>
      <c r="D58" s="1" t="n">
        <f aca="false">AVERAGE($D$49:$D$57)</f>
        <v>5427.32790763481</v>
      </c>
      <c r="E58" s="16" t="n">
        <f aca="false">D58*F58</f>
        <v>366371.770404888</v>
      </c>
      <c r="F58" s="1" t="n">
        <f aca="false">WEO_Data!C32</f>
        <v>67.505</v>
      </c>
      <c r="G58" s="17" t="n">
        <f aca="false">TREND($G$36:$G$57,$C$36:$C$57,C58)</f>
        <v>-0.246973492793146</v>
      </c>
      <c r="H58" s="1" t="n">
        <f aca="false">EXP(G58)*E58^$B$2</f>
        <v>69.2011761764275</v>
      </c>
      <c r="I58" s="1" t="n">
        <v>0</v>
      </c>
      <c r="J58" s="1" t="n">
        <f aca="false">J57*(1-$B$3)+I58</f>
        <v>0</v>
      </c>
      <c r="K58" s="15" t="n">
        <f aca="false">E58+J58</f>
        <v>366371.770404888</v>
      </c>
      <c r="L58" s="1" t="n">
        <f aca="false">EXP(G58)*K58^$B$2</f>
        <v>69.2011761764275</v>
      </c>
      <c r="M58" s="1" t="n">
        <f aca="false">L58/H58-1</f>
        <v>0</v>
      </c>
      <c r="N58" s="1" t="n">
        <f aca="false">F58*(1+M58)</f>
        <v>67.505</v>
      </c>
      <c r="O58" s="1" t="n">
        <f aca="false">N58/N57-1</f>
        <v>0.0942793690933552</v>
      </c>
      <c r="P58" s="1" t="n">
        <f aca="false">F58/F57-1</f>
        <v>0.0942793690933552</v>
      </c>
    </row>
    <row r="59" customFormat="false" ht="12" hidden="false" customHeight="true" outlineLevel="0" collapsed="false">
      <c r="C59" s="1" t="n">
        <v>2025</v>
      </c>
      <c r="D59" s="1" t="n">
        <f aca="false">AVERAGE($D$49:$D$57)</f>
        <v>5427.32790763481</v>
      </c>
      <c r="E59" s="16" t="n">
        <f aca="false">D59*F59</f>
        <v>388271.038512194</v>
      </c>
      <c r="F59" s="1" t="n">
        <f aca="false">WEO_Data!C33</f>
        <v>71.54</v>
      </c>
      <c r="G59" s="17" t="n">
        <f aca="false">TREND($G$36:$G$57,$C$36:$C$57,C59)</f>
        <v>-0.202914806695034</v>
      </c>
      <c r="H59" s="1" t="n">
        <f aca="false">EXP(G59)*E59^$B$2</f>
        <v>73.8027370239459</v>
      </c>
      <c r="I59" s="1" t="n">
        <v>0</v>
      </c>
      <c r="J59" s="1" t="n">
        <f aca="false">J58*(1-$B$3)+I59</f>
        <v>0</v>
      </c>
      <c r="K59" s="15" t="n">
        <f aca="false">E59+J59</f>
        <v>388271.038512194</v>
      </c>
      <c r="L59" s="1" t="n">
        <f aca="false">EXP(G59)*K59^$B$2</f>
        <v>73.8027370239459</v>
      </c>
      <c r="M59" s="1" t="n">
        <f aca="false">L59/H59-1</f>
        <v>0</v>
      </c>
      <c r="N59" s="1" t="n">
        <f aca="false">F59*(1+M59)</f>
        <v>71.54</v>
      </c>
      <c r="O59" s="1" t="n">
        <f aca="false">N59/N58-1</f>
        <v>0.0597733501222133</v>
      </c>
      <c r="P59" s="1" t="n">
        <f aca="false">F59/F58-1</f>
        <v>0.0597733501222133</v>
      </c>
    </row>
    <row r="60" customFormat="false" ht="12" hidden="false" customHeight="true" outlineLevel="0" collapsed="false">
      <c r="C60" s="1" t="n">
        <v>2026</v>
      </c>
      <c r="D60" s="1" t="n">
        <f aca="false">AVERAGE($D$49:$D$57)</f>
        <v>5427.32790763481</v>
      </c>
      <c r="E60" s="16" t="n">
        <f aca="false">D60*F60</f>
        <v>407684.590437804</v>
      </c>
      <c r="F60" s="17" t="n">
        <f aca="false">WEO_Data!C34</f>
        <v>75.117</v>
      </c>
      <c r="G60" s="17" t="n">
        <f aca="false">TREND($G$36:$G$57,$C$36:$C$57,C60)</f>
        <v>-0.158856120596937</v>
      </c>
      <c r="H60" s="1" t="n">
        <f aca="false">EXP(G60)*E60^$B$2</f>
        <v>78.4554589246825</v>
      </c>
      <c r="I60" s="18" t="n">
        <f aca="false">Investment!C2</f>
        <v>648.589313756442</v>
      </c>
      <c r="J60" s="1" t="n">
        <f aca="false">J59*(1-$B$3)+I60</f>
        <v>648.589313756442</v>
      </c>
      <c r="K60" s="15" t="n">
        <f aca="false">E60+J60</f>
        <v>408333.17975156</v>
      </c>
      <c r="L60" s="1" t="n">
        <f aca="false">EXP(G60)*K60^$B$2</f>
        <v>78.4991217960263</v>
      </c>
      <c r="M60" s="1" t="n">
        <f aca="false">L60/H60-1</f>
        <v>0.000556530698337943</v>
      </c>
      <c r="N60" s="1" t="n">
        <f aca="false">F60*(1+M60)</f>
        <v>75.1588049164671</v>
      </c>
      <c r="O60" s="1" t="n">
        <f aca="false">N60/N59-1</f>
        <v>0.0505843572332549</v>
      </c>
      <c r="P60" s="1" t="n">
        <f aca="false">F60/F59-1</f>
        <v>0.05</v>
      </c>
    </row>
    <row r="61" customFormat="false" ht="12" hidden="false" customHeight="true" outlineLevel="0" collapsed="false">
      <c r="C61" s="1" t="n">
        <v>2027</v>
      </c>
      <c r="D61" s="1" t="n">
        <f aca="false">AVERAGE($D$49:$D$57)</f>
        <v>5427.32790763481</v>
      </c>
      <c r="E61" s="16" t="n">
        <f aca="false">D61*F61</f>
        <v>428069.63405888</v>
      </c>
      <c r="F61" s="17" t="n">
        <f aca="false">WEO_Data!C35</f>
        <v>78.873</v>
      </c>
      <c r="G61" s="17" t="n">
        <f aca="false">TREND($G$36:$G$57,$C$36:$C$57,C61)</f>
        <v>-0.114797434498826</v>
      </c>
      <c r="H61" s="1" t="n">
        <f aca="false">EXP(G61)*E61^$B$2</f>
        <v>83.4015563704297</v>
      </c>
      <c r="I61" s="18" t="n">
        <f aca="false">Investment!C3</f>
        <v>1220.08019689654</v>
      </c>
      <c r="J61" s="1" t="n">
        <f aca="false">J60*(1-$B$3)+I61</f>
        <v>1854.03951539454</v>
      </c>
      <c r="K61" s="15" t="n">
        <f aca="false">E61+J61</f>
        <v>429923.673574275</v>
      </c>
      <c r="L61" s="1" t="n">
        <f aca="false">EXP(G61)*K61^$B$2</f>
        <v>83.5278078459656</v>
      </c>
      <c r="M61" s="1" t="n">
        <f aca="false">L61/H61-1</f>
        <v>0.00151377841170142</v>
      </c>
      <c r="N61" s="1" t="n">
        <f aca="false">F61*(1+M61)</f>
        <v>78.9923962446661</v>
      </c>
      <c r="O61" s="1" t="n">
        <f aca="false">N61/N60-1</f>
        <v>0.0510065498308521</v>
      </c>
      <c r="P61" s="1" t="n">
        <f aca="false">F61/F60-1</f>
        <v>0.0500019968848595</v>
      </c>
    </row>
    <row r="62" customFormat="false" ht="12" hidden="false" customHeight="true" outlineLevel="0" collapsed="false">
      <c r="C62" s="1" t="n">
        <v>2028</v>
      </c>
      <c r="D62" s="1" t="n">
        <f aca="false">AVERAGE($D$49:$D$57)</f>
        <v>5427.32790763481</v>
      </c>
      <c r="E62" s="16" t="n">
        <f aca="false">D62*F62</f>
        <v>449473.115761824</v>
      </c>
      <c r="F62" s="17" t="n">
        <f aca="false">WEO_Data!C36</f>
        <v>82.81665</v>
      </c>
      <c r="G62" s="17" t="n">
        <f aca="false">TREND($G$36:$G$57,$C$36:$C$57,C62)</f>
        <v>-0.0707387484007285</v>
      </c>
      <c r="H62" s="1" t="n">
        <f aca="false">EXP(G62)*E62^$B$2</f>
        <v>88.6594135113419</v>
      </c>
      <c r="I62" s="18" t="n">
        <f aca="false">Investment!C4</f>
        <v>1756.17368014315</v>
      </c>
      <c r="J62" s="1" t="n">
        <f aca="false">J61*(1-$B$3)+I62</f>
        <v>3568.39229478604</v>
      </c>
      <c r="K62" s="15" t="n">
        <f aca="false">E62+J62</f>
        <v>453041.50805661</v>
      </c>
      <c r="L62" s="1" t="n">
        <f aca="false">EXP(G62)*K62^$B$2</f>
        <v>88.9051358493787</v>
      </c>
      <c r="M62" s="1" t="n">
        <f aca="false">L62/H62-1</f>
        <v>0.00277153128252228</v>
      </c>
      <c r="N62" s="1" t="n">
        <f aca="false">F62*(1+M62)</f>
        <v>83.0461789361887</v>
      </c>
      <c r="O62" s="1" t="n">
        <f aca="false">N62/N61-1</f>
        <v>0.0513186443789684</v>
      </c>
      <c r="P62" s="1" t="n">
        <f aca="false">F62/F61-1</f>
        <v>0.05</v>
      </c>
    </row>
    <row r="63" customFormat="false" ht="12" hidden="false" customHeight="true" outlineLevel="0" collapsed="false">
      <c r="C63" s="1" t="n">
        <v>2029</v>
      </c>
      <c r="D63" s="1" t="n">
        <f aca="false">AVERAGE($D$49:$D$57)</f>
        <v>5427.32790763481</v>
      </c>
      <c r="E63" s="16" t="n">
        <f aca="false">D63*F63</f>
        <v>471946.771549915</v>
      </c>
      <c r="F63" s="17" t="n">
        <f aca="false">WEO_Data!C37</f>
        <v>86.9574825</v>
      </c>
      <c r="G63" s="17" t="n">
        <f aca="false">TREND($G$36:$G$57,$C$36:$C$57,C63)</f>
        <v>-0.0266800623026171</v>
      </c>
      <c r="H63" s="1" t="n">
        <f aca="false">EXP(G63)*E63^$B$2</f>
        <v>94.2487400266572</v>
      </c>
      <c r="I63" s="18" t="n">
        <f aca="false">Investment!C5</f>
        <v>2221.19470098522</v>
      </c>
      <c r="J63" s="1" t="n">
        <f aca="false">J62*(1-$B$3)+I63</f>
        <v>5709.09605759866</v>
      </c>
      <c r="K63" s="15" t="n">
        <f aca="false">E63+J63</f>
        <v>477655.867607514</v>
      </c>
      <c r="L63" s="1" t="n">
        <f aca="false">EXP(G63)*K63^$B$2</f>
        <v>94.6462229273656</v>
      </c>
      <c r="M63" s="1" t="n">
        <f aca="false">L63/H63-1</f>
        <v>0.00421738158617258</v>
      </c>
      <c r="N63" s="1" t="n">
        <f aca="false">F63*(1+M63)</f>
        <v>87.3242153854754</v>
      </c>
      <c r="O63" s="1" t="n">
        <f aca="false">N63/N62-1</f>
        <v>0.0515139468677288</v>
      </c>
      <c r="P63" s="1" t="n">
        <f aca="false">F63/F62-1</f>
        <v>0.05</v>
      </c>
    </row>
    <row r="64" customFormat="false" ht="12" hidden="false" customHeight="true" outlineLevel="0" collapsed="false">
      <c r="C64" s="1" t="n">
        <v>2030</v>
      </c>
      <c r="D64" s="1" t="n">
        <f aca="false">AVERAGE($D$49:$D$57)</f>
        <v>5427.32790763481</v>
      </c>
      <c r="E64" s="16" t="n">
        <f aca="false">D64*F64</f>
        <v>495544.110127411</v>
      </c>
      <c r="F64" s="17" t="n">
        <f aca="false">WEO_Data!C38</f>
        <v>91.305356625</v>
      </c>
      <c r="G64" s="17" t="n">
        <f aca="false">TREND($G$36:$G$57,$C$36:$C$57,C64)</f>
        <v>0.0173786237954801</v>
      </c>
      <c r="H64" s="1" t="n">
        <f aca="false">EXP(G64)*E64^$B$2</f>
        <v>100.19043263213</v>
      </c>
      <c r="I64" s="18" t="n">
        <f aca="false">Investment!C6</f>
        <v>2122.46787645573</v>
      </c>
      <c r="J64" s="1" t="n">
        <f aca="false">J63*(1-$B$3)+I64</f>
        <v>7702.78591307697</v>
      </c>
      <c r="K64" s="15" t="n">
        <f aca="false">E64+J64</f>
        <v>503246.896040488</v>
      </c>
      <c r="L64" s="1" t="n">
        <f aca="false">EXP(G64)*K64^$B$2</f>
        <v>100.732781729602</v>
      </c>
      <c r="M64" s="1" t="n">
        <f aca="false">L64/H64-1</f>
        <v>0.00541318250878597</v>
      </c>
      <c r="N64" s="1" t="n">
        <f aca="false">F64*(1+M64)</f>
        <v>91.7996091844409</v>
      </c>
      <c r="O64" s="1" t="n">
        <f aca="false">N64/N63-1</f>
        <v>0.0512503179010513</v>
      </c>
      <c r="P64" s="1" t="n">
        <f aca="false">F64/F63-1</f>
        <v>0.05</v>
      </c>
    </row>
    <row r="65" customFormat="false" ht="12" hidden="false" customHeight="true" outlineLevel="0" collapsed="false">
      <c r="C65" s="1" t="n">
        <v>2031</v>
      </c>
      <c r="D65" s="1" t="n">
        <f aca="false">AVERAGE($D$49:$D$57)</f>
        <v>5427.32790763481</v>
      </c>
      <c r="E65" s="16" t="n">
        <f aca="false">D65*F65</f>
        <v>520321.315633782</v>
      </c>
      <c r="F65" s="17" t="n">
        <f aca="false">WEO_Data!C39</f>
        <v>95.87062445625</v>
      </c>
      <c r="G65" s="17" t="n">
        <f aca="false">TREND($G$36:$G$57,$C$36:$C$57,C65)</f>
        <v>0.0614373098935772</v>
      </c>
      <c r="H65" s="1" t="n">
        <f aca="false">EXP(G65)*E65^$B$2</f>
        <v>106.506705428362</v>
      </c>
      <c r="I65" s="18" t="n">
        <f aca="false">Investment!C7</f>
        <v>1524.52458527675</v>
      </c>
      <c r="J65" s="1" t="n">
        <f aca="false">J64*(1-$B$3)+I65</f>
        <v>9053.56153426359</v>
      </c>
      <c r="K65" s="15" t="n">
        <f aca="false">E65+J65</f>
        <v>529374.877168045</v>
      </c>
      <c r="L65" s="1" t="n">
        <f aca="false">EXP(G65)*K65^$B$2</f>
        <v>107.15169590848</v>
      </c>
      <c r="M65" s="1" t="n">
        <f aca="false">L65/H65-1</f>
        <v>0.00605586735148433</v>
      </c>
      <c r="N65" s="1" t="n">
        <f aca="false">F65*(1+M65)</f>
        <v>96.4512042408611</v>
      </c>
      <c r="O65" s="1" t="n">
        <f aca="false">N65/N64-1</f>
        <v>0.0506711858334199</v>
      </c>
      <c r="P65" s="1" t="n">
        <f aca="false">F65/F64-1</f>
        <v>0.05</v>
      </c>
    </row>
    <row r="66" customFormat="false" ht="12" hidden="false" customHeight="true" outlineLevel="0" collapsed="false">
      <c r="C66" s="1" t="n">
        <v>2032</v>
      </c>
      <c r="D66" s="1" t="n">
        <f aca="false">AVERAGE($D$49:$D$57)</f>
        <v>5427.32790763481</v>
      </c>
      <c r="E66" s="16" t="n">
        <f aca="false">D66*F66</f>
        <v>546337.381415471</v>
      </c>
      <c r="F66" s="17" t="n">
        <f aca="false">WEO_Data!C40</f>
        <v>100.664155679063</v>
      </c>
      <c r="G66" s="17" t="n">
        <f aca="false">TREND($G$36:$G$57,$C$36:$C$57,C66)</f>
        <v>0.105495995991689</v>
      </c>
      <c r="H66" s="1" t="n">
        <f aca="false">EXP(G66)*E66^$B$2</f>
        <v>113.221172952259</v>
      </c>
      <c r="I66" s="18" t="n">
        <f aca="false">Investment!C8</f>
        <v>738.176310559893</v>
      </c>
      <c r="J66" s="1" t="n">
        <f aca="false">J65*(1-$B$3)+I66</f>
        <v>9587.51992215812</v>
      </c>
      <c r="K66" s="15" t="n">
        <f aca="false">E66+J66</f>
        <v>555924.901337629</v>
      </c>
      <c r="L66" s="1" t="n">
        <f aca="false">EXP(G66)*K66^$B$2</f>
        <v>113.912654837963</v>
      </c>
      <c r="M66" s="1" t="n">
        <f aca="false">L66/H66-1</f>
        <v>0.00610735490256742</v>
      </c>
      <c r="N66" s="1" t="n">
        <f aca="false">F66*(1+M66)</f>
        <v>101.278947403762</v>
      </c>
      <c r="O66" s="1" t="n">
        <f aca="false">N66/N65-1</f>
        <v>0.050053736507476</v>
      </c>
      <c r="P66" s="1" t="n">
        <f aca="false">F66/F65-1</f>
        <v>0.05</v>
      </c>
    </row>
    <row r="67" customFormat="false" ht="12" hidden="false" customHeight="true" outlineLevel="0" collapsed="false">
      <c r="C67" s="1" t="n">
        <v>2033</v>
      </c>
      <c r="D67" s="1" t="n">
        <f aca="false">AVERAGE($D$49:$D$57)</f>
        <v>5427.32790763481</v>
      </c>
      <c r="E67" s="16" t="n">
        <f aca="false">D67*F67</f>
        <v>573654.250486244</v>
      </c>
      <c r="F67" s="17" t="n">
        <f aca="false">WEO_Data!C41</f>
        <v>105.697363463016</v>
      </c>
      <c r="G67" s="17" t="n">
        <f aca="false">TREND($G$36:$G$57,$C$36:$C$57,C67)</f>
        <v>0.149554682089786</v>
      </c>
      <c r="H67" s="1" t="n">
        <f aca="false">EXP(G67)*E67^$B$2</f>
        <v>120.358938464277</v>
      </c>
      <c r="I67" s="18" t="n">
        <f aca="false">Investment!C9</f>
        <v>352.605976897002</v>
      </c>
      <c r="J67" s="1" t="n">
        <f aca="false">J66*(1-$B$3)+I67</f>
        <v>9723.8636695882</v>
      </c>
      <c r="K67" s="15" t="n">
        <f aca="false">E67+J67</f>
        <v>583378.114155833</v>
      </c>
      <c r="L67" s="1" t="n">
        <f aca="false">EXP(G67)*K67^$B$2</f>
        <v>121.06910152633</v>
      </c>
      <c r="M67" s="1" t="n">
        <f aca="false">L67/H67-1</f>
        <v>0.00590037658286646</v>
      </c>
      <c r="N67" s="1" t="n">
        <f aca="false">F67*(1+M67)</f>
        <v>106.321017711264</v>
      </c>
      <c r="O67" s="1" t="n">
        <f aca="false">N67/N66-1</f>
        <v>0.0497839920018208</v>
      </c>
      <c r="P67" s="1" t="n">
        <f aca="false">F67/F66-1</f>
        <v>0.05</v>
      </c>
    </row>
    <row r="68" customFormat="false" ht="12" hidden="false" customHeight="true" outlineLevel="0" collapsed="false">
      <c r="C68" s="1" t="n">
        <v>2034</v>
      </c>
      <c r="D68" s="1" t="n">
        <f aca="false">AVERAGE($D$49:$D$57)</f>
        <v>5427.32790763481</v>
      </c>
      <c r="E68" s="16" t="n">
        <f aca="false">D68*F68</f>
        <v>602336.963010557</v>
      </c>
      <c r="F68" s="17" t="n">
        <f aca="false">WEO_Data!C42</f>
        <v>110.982231636166</v>
      </c>
      <c r="G68" s="17" t="n">
        <f aca="false">TREND($G$36:$G$57,$C$36:$C$57,C68)</f>
        <v>0.193613368187897</v>
      </c>
      <c r="H68" s="1" t="n">
        <f aca="false">EXP(G68)*E68^$B$2</f>
        <v>127.946687801548</v>
      </c>
      <c r="I68" s="1" t="n">
        <v>0</v>
      </c>
      <c r="J68" s="1" t="n">
        <f aca="false">J67*(1-$B$3)+I68</f>
        <v>9504.52598337829</v>
      </c>
      <c r="K68" s="15" t="n">
        <f aca="false">E68+J68</f>
        <v>611841.488993935</v>
      </c>
      <c r="L68" s="1" t="n">
        <f aca="false">EXP(G68)*K68^$B$2</f>
        <v>128.649718581315</v>
      </c>
      <c r="M68" s="1" t="n">
        <f aca="false">L68/H68-1</f>
        <v>0.00549471652487754</v>
      </c>
      <c r="N68" s="1" t="n">
        <f aca="false">F68*(1+M68)</f>
        <v>111.592047538305</v>
      </c>
      <c r="O68" s="1" t="n">
        <f aca="false">N68/N67-1</f>
        <v>0.0495765554215863</v>
      </c>
      <c r="P68" s="1" t="n">
        <f aca="false">F68/F67-1</f>
        <v>0.05</v>
      </c>
    </row>
    <row r="69" customFormat="false" ht="12" hidden="false" customHeight="true" outlineLevel="0" collapsed="false">
      <c r="C69" s="1" t="n">
        <v>2035</v>
      </c>
      <c r="D69" s="1" t="n">
        <f aca="false">AVERAGE($D$49:$D$57)</f>
        <v>5427.32790763481</v>
      </c>
      <c r="E69" s="16" t="n">
        <f aca="false">D69*F69</f>
        <v>632453.811161085</v>
      </c>
      <c r="F69" s="17" t="n">
        <f aca="false">WEO_Data!C43</f>
        <v>116.531343217975</v>
      </c>
      <c r="G69" s="17" t="n">
        <f aca="false">TREND($G$36:$G$57,$C$36:$C$57,C69)</f>
        <v>0.237672054285994</v>
      </c>
      <c r="H69" s="1" t="n">
        <f aca="false">EXP(G69)*E69^$B$2</f>
        <v>136.012789147733</v>
      </c>
      <c r="I69" s="1" t="n">
        <v>0</v>
      </c>
      <c r="J69" s="1" t="n">
        <f aca="false">J68*(1-$B$3)+I69</f>
        <v>9290.13581825944</v>
      </c>
      <c r="K69" s="15" t="n">
        <f aca="false">E69+J69</f>
        <v>641743.946979344</v>
      </c>
      <c r="L69" s="1" t="n">
        <f aca="false">EXP(G69)*K69^$B$2</f>
        <v>136.708741407641</v>
      </c>
      <c r="M69" s="1" t="n">
        <f aca="false">L69/H69-1</f>
        <v>0.00511681485446158</v>
      </c>
      <c r="N69" s="1" t="n">
        <f aca="false">F69*(1+M69)</f>
        <v>117.127612525963</v>
      </c>
      <c r="O69" s="1" t="n">
        <f aca="false">N69/N68-1</f>
        <v>0.0496053716171596</v>
      </c>
      <c r="P69" s="1" t="n">
        <f aca="false">F69/F68-1</f>
        <v>0.05</v>
      </c>
    </row>
    <row r="70" customFormat="false" ht="12" hidden="false" customHeight="true" outlineLevel="0" collapsed="false">
      <c r="C70" s="1" t="n">
        <v>2036</v>
      </c>
      <c r="D70" s="1" t="n">
        <f aca="false">AVERAGE($D$49:$D$57)</f>
        <v>5427.32790763481</v>
      </c>
      <c r="E70" s="16" t="n">
        <f aca="false">D70*F70</f>
        <v>664076.501719139</v>
      </c>
      <c r="F70" s="17" t="n">
        <f aca="false">WEO_Data!C44</f>
        <v>122.357910378874</v>
      </c>
      <c r="G70" s="17" t="n">
        <f aca="false">TREND($G$36:$G$57,$C$36:$C$57,C70)</f>
        <v>0.281730740384106</v>
      </c>
      <c r="H70" s="1" t="n">
        <f aca="false">EXP(G70)*E70^$B$2</f>
        <v>144.587399092657</v>
      </c>
      <c r="I70" s="1" t="n">
        <v>0</v>
      </c>
      <c r="J70" s="1" t="n">
        <f aca="false">J69*(1-$B$3)+I70</f>
        <v>9080.58157478256</v>
      </c>
      <c r="K70" s="15" t="n">
        <f aca="false">E70+J70</f>
        <v>673157.083293921</v>
      </c>
      <c r="L70" s="1" t="n">
        <f aca="false">EXP(G70)*K70^$B$2</f>
        <v>145.276327610243</v>
      </c>
      <c r="M70" s="1" t="n">
        <f aca="false">L70/H70-1</f>
        <v>0.00476478947618886</v>
      </c>
      <c r="N70" s="1" t="n">
        <f aca="false">F70*(1+M70)</f>
        <v>122.940920062575</v>
      </c>
      <c r="O70" s="1" t="n">
        <f aca="false">N70/N69-1</f>
        <v>0.0496322550357096</v>
      </c>
      <c r="P70" s="1" t="n">
        <f aca="false">F70/F69-1</f>
        <v>0.05</v>
      </c>
    </row>
    <row r="71" customFormat="false" ht="12" hidden="false" customHeight="true" outlineLevel="0" collapsed="false">
      <c r="C71" s="1" t="n">
        <v>2037</v>
      </c>
      <c r="D71" s="1" t="n">
        <f aca="false">AVERAGE($D$49:$D$57)</f>
        <v>5427.32790763481</v>
      </c>
      <c r="E71" s="16" t="n">
        <f aca="false">D71*F71</f>
        <v>697280.326805096</v>
      </c>
      <c r="F71" s="17" t="n">
        <f aca="false">WEO_Data!C45</f>
        <v>128.475805897817</v>
      </c>
      <c r="G71" s="17" t="n">
        <f aca="false">TREND($G$36:$G$57,$C$36:$C$57,C71)</f>
        <v>0.325789426482203</v>
      </c>
      <c r="H71" s="1" t="n">
        <f aca="false">EXP(G71)*E71^$B$2</f>
        <v>153.702575378201</v>
      </c>
      <c r="I71" s="1" t="n">
        <v>0</v>
      </c>
      <c r="J71" s="1" t="n">
        <f aca="false">J70*(1-$B$3)+I71</f>
        <v>8875.75417080709</v>
      </c>
      <c r="K71" s="15" t="n">
        <f aca="false">E71+J71</f>
        <v>706156.080975903</v>
      </c>
      <c r="L71" s="1" t="n">
        <f aca="false">EXP(G71)*K71^$B$2</f>
        <v>154.384535817304</v>
      </c>
      <c r="M71" s="1" t="n">
        <f aca="false">L71/H71-1</f>
        <v>0.00443688362036321</v>
      </c>
      <c r="N71" s="1" t="n">
        <f aca="false">F71*(1+M71)</f>
        <v>129.045838096618</v>
      </c>
      <c r="O71" s="1" t="n">
        <f aca="false">N71/N70-1</f>
        <v>0.0496573315941968</v>
      </c>
      <c r="P71" s="1" t="n">
        <f aca="false">F71/F70-1</f>
        <v>0.05</v>
      </c>
    </row>
    <row r="72" customFormat="false" ht="12" hidden="false" customHeight="true" outlineLevel="0" collapsed="false">
      <c r="C72" s="1" t="n">
        <v>2038</v>
      </c>
      <c r="D72" s="1" t="n">
        <f aca="false">AVERAGE($D$49:$D$57)</f>
        <v>5427.32790763481</v>
      </c>
      <c r="E72" s="16" t="n">
        <f aca="false">D72*F72</f>
        <v>732144.343145351</v>
      </c>
      <c r="F72" s="17" t="n">
        <f aca="false">WEO_Data!C46</f>
        <v>134.899596192708</v>
      </c>
      <c r="G72" s="17" t="n">
        <f aca="false">TREND($G$36:$G$57,$C$36:$C$57,C72)</f>
        <v>0.369848112580314</v>
      </c>
      <c r="H72" s="1" t="n">
        <f aca="false">EXP(G72)*E72^$B$2</f>
        <v>163.392396752033</v>
      </c>
      <c r="I72" s="1" t="n">
        <v>0</v>
      </c>
      <c r="J72" s="1" t="n">
        <f aca="false">J71*(1-$B$3)+I72</f>
        <v>8675.54698471897</v>
      </c>
      <c r="K72" s="15" t="n">
        <f aca="false">E72+J72</f>
        <v>740819.89013007</v>
      </c>
      <c r="L72" s="1" t="n">
        <f aca="false">EXP(G72)*K72^$B$2</f>
        <v>164.06744554383</v>
      </c>
      <c r="M72" s="1" t="n">
        <f aca="false">L72/H72-1</f>
        <v>0.00413145779862156</v>
      </c>
      <c r="N72" s="1" t="n">
        <f aca="false">F72*(1+M72)</f>
        <v>135.456928181429</v>
      </c>
      <c r="O72" s="1" t="n">
        <f aca="false">N72/N71-1</f>
        <v>0.0496807194976028</v>
      </c>
      <c r="P72" s="1" t="n">
        <f aca="false">F72/F71-1</f>
        <v>0.05</v>
      </c>
    </row>
    <row r="73" customFormat="false" ht="12" hidden="false" customHeight="true" outlineLevel="0" collapsed="false">
      <c r="C73" s="1" t="n">
        <v>2039</v>
      </c>
      <c r="D73" s="1" t="n">
        <f aca="false">AVERAGE($D$49:$D$57)</f>
        <v>5427.32790763481</v>
      </c>
      <c r="E73" s="16" t="n">
        <f aca="false">D73*F73</f>
        <v>768751.560302618</v>
      </c>
      <c r="F73" s="17" t="n">
        <f aca="false">WEO_Data!C47</f>
        <v>141.644576002343</v>
      </c>
      <c r="G73" s="17" t="n">
        <f aca="false">TREND($G$36:$G$57,$C$36:$C$57,C73)</f>
        <v>0.413906798678411</v>
      </c>
      <c r="H73" s="1" t="n">
        <f aca="false">EXP(G73)*E73^$B$2</f>
        <v>173.693090377195</v>
      </c>
      <c r="I73" s="1" t="n">
        <v>0</v>
      </c>
      <c r="J73" s="1" t="n">
        <f aca="false">J72*(1-$B$3)+I73</f>
        <v>8479.85579992943</v>
      </c>
      <c r="K73" s="15" t="n">
        <f aca="false">E73+J73</f>
        <v>777231.416102547</v>
      </c>
      <c r="L73" s="1" t="n">
        <f aca="false">EXP(G73)*K73^$B$2</f>
        <v>174.361284610417</v>
      </c>
      <c r="M73" s="1" t="n">
        <f aca="false">L73/H73-1</f>
        <v>0.0038469822361471</v>
      </c>
      <c r="N73" s="1" t="n">
        <f aca="false">F73*(1+M73)</f>
        <v>142.189480170071</v>
      </c>
      <c r="O73" s="1" t="n">
        <f aca="false">N73/N72-1</f>
        <v>0.0497025296456171</v>
      </c>
      <c r="P73" s="1" t="n">
        <f aca="false">F73/F72-1</f>
        <v>0.05</v>
      </c>
    </row>
    <row r="74" customFormat="false" ht="12" hidden="false" customHeight="true" outlineLevel="0" collapsed="false">
      <c r="C74" s="1" t="n">
        <v>2040</v>
      </c>
      <c r="D74" s="1" t="n">
        <f aca="false">AVERAGE($D$49:$D$57)</f>
        <v>5427.32790763481</v>
      </c>
      <c r="E74" s="16" t="n">
        <f aca="false">D74*F74</f>
        <v>807189.138317749</v>
      </c>
      <c r="F74" s="17" t="n">
        <f aca="false">WEO_Data!C48</f>
        <v>148.726804802461</v>
      </c>
      <c r="G74" s="17" t="n">
        <f aca="false">TREND($G$36:$G$57,$C$36:$C$57,C74)</f>
        <v>0.457965484776508</v>
      </c>
      <c r="H74" s="1" t="n">
        <f aca="false">EXP(G74)*E74^$B$2</f>
        <v>184.643167273969</v>
      </c>
      <c r="I74" s="1" t="n">
        <v>0</v>
      </c>
      <c r="J74" s="1" t="n">
        <f aca="false">J73*(1-$B$3)+I74</f>
        <v>8288.57875062574</v>
      </c>
      <c r="K74" s="15" t="n">
        <f aca="false">E74+J74</f>
        <v>815477.717068375</v>
      </c>
      <c r="L74" s="1" t="n">
        <f aca="false">EXP(G74)*K74^$B$2</f>
        <v>185.304564593681</v>
      </c>
      <c r="M74" s="1" t="n">
        <f aca="false">L74/H74-1</f>
        <v>0.00358202975759792</v>
      </c>
      <c r="N74" s="1" t="n">
        <f aca="false">F74*(1+M74)</f>
        <v>149.259548643016</v>
      </c>
      <c r="O74" s="1" t="n">
        <f aca="false">N74/N73-1</f>
        <v>0.0497228660269946</v>
      </c>
      <c r="P74" s="1" t="n">
        <f aca="false">F74/F73-1</f>
        <v>0.05</v>
      </c>
    </row>
    <row r="75" customFormat="false" ht="12" hidden="false" customHeight="true" outlineLevel="0" collapsed="false">
      <c r="C75" s="1" t="n">
        <v>2041</v>
      </c>
      <c r="D75" s="1" t="n">
        <f aca="false">AVERAGE($D$49:$D$57)</f>
        <v>5427.32790763481</v>
      </c>
      <c r="E75" s="16" t="n">
        <f aca="false">D75*F75</f>
        <v>847548.595233636</v>
      </c>
      <c r="F75" s="17" t="n">
        <f aca="false">WEO_Data!C49</f>
        <v>156.163145042584</v>
      </c>
      <c r="G75" s="17" t="n">
        <f aca="false">TREND($G$36:$G$57,$C$36:$C$57,C75)</f>
        <v>0.50202417087462</v>
      </c>
      <c r="H75" s="1" t="n">
        <f aca="false">EXP(G75)*E75^$B$2</f>
        <v>196.283566300341</v>
      </c>
      <c r="I75" s="1" t="n">
        <v>0</v>
      </c>
      <c r="J75" s="1" t="n">
        <f aca="false">J74*(1-$B$3)+I75</f>
        <v>8101.61626874554</v>
      </c>
      <c r="K75" s="15" t="n">
        <f aca="false">E75+J75</f>
        <v>855650.211502382</v>
      </c>
      <c r="L75" s="1" t="n">
        <f aca="false">EXP(G75)*K75^$B$2</f>
        <v>196.938224814683</v>
      </c>
      <c r="M75" s="1" t="n">
        <f aca="false">L75/H75-1</f>
        <v>0.00333526910418858</v>
      </c>
      <c r="N75" s="1" t="n">
        <f aca="false">F75*(1+M75)</f>
        <v>156.683991155457</v>
      </c>
      <c r="O75" s="1" t="n">
        <f aca="false">N75/N74-1</f>
        <v>0.0497418261005107</v>
      </c>
      <c r="P75" s="1" t="n">
        <f aca="false">F75/F74-1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25</v>
      </c>
      <c r="C1" s="20" t="s">
        <v>26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304.5150917602</v>
      </c>
      <c r="D2" s="15" t="n">
        <f aca="false">PWT!B8</f>
        <v>196366.453125</v>
      </c>
      <c r="E2" s="1" t="n">
        <f aca="false">C2/D2</f>
        <v>0.00155074905572774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383.641663608596</v>
      </c>
      <c r="D3" s="15" t="n">
        <f aca="false">PWT!B9</f>
        <v>194417.84375</v>
      </c>
      <c r="E3" s="1" t="n">
        <f aca="false">C3/D3</f>
        <v>0.00197328422231612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516.397121222809</v>
      </c>
      <c r="D4" s="15" t="n">
        <f aca="false">PWT!B10</f>
        <v>194516.296875</v>
      </c>
      <c r="E4" s="1" t="n">
        <f aca="false">C4/D4</f>
        <v>0.00265477561273262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661.603834429231</v>
      </c>
      <c r="D5" s="15" t="n">
        <f aca="false">PWT!B11</f>
        <v>194964.5625</v>
      </c>
      <c r="E5" s="1" t="n">
        <f aca="false">C5/D5</f>
        <v>0.00339345687208788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631.70100088782</v>
      </c>
      <c r="D6" s="15" t="n">
        <f aca="false">PWT!B12</f>
        <v>195327.078125</v>
      </c>
      <c r="E6" s="1" t="n">
        <f aca="false">C6/D6</f>
        <v>0.00323406773372999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706.983726789065</v>
      </c>
      <c r="D7" s="15" t="n">
        <f aca="false">PWT!B13</f>
        <v>196512.453125</v>
      </c>
      <c r="E7" s="1" t="n">
        <f aca="false">C7/D7</f>
        <v>0.00359765356111736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790.112565198609</v>
      </c>
      <c r="D8" s="15" t="n">
        <f aca="false">PWT!B14</f>
        <v>197317.59375</v>
      </c>
      <c r="E8" s="1" t="n">
        <f aca="false">C8/D8</f>
        <v>0.00400426819617351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932.916219671159</v>
      </c>
      <c r="D9" s="15" t="n">
        <f aca="false">PWT!B15</f>
        <v>199678.921875</v>
      </c>
      <c r="E9" s="1" t="n">
        <f aca="false">C9/D9</f>
        <v>0.00467208161437875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976.818537799271</v>
      </c>
      <c r="D10" s="15" t="n">
        <f aca="false">PWT!B16</f>
        <v>202658.8125</v>
      </c>
      <c r="E10" s="1" t="n">
        <f aca="false">C10/D10</f>
        <v>0.0048200151069141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1113.45005859263</v>
      </c>
      <c r="D11" s="15" t="n">
        <f aca="false">PWT!B17</f>
        <v>206400.5</v>
      </c>
      <c r="E11" s="1" t="n">
        <f aca="false">C11/D11</f>
        <v>0.00539460930856577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1306.37308413224</v>
      </c>
      <c r="D12" s="15" t="n">
        <f aca="false">PWT!B18</f>
        <v>209660.25</v>
      </c>
      <c r="E12" s="1" t="n">
        <f aca="false">C12/D12</f>
        <v>0.00623090492419159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1617.02996625711</v>
      </c>
      <c r="D13" s="15" t="n">
        <f aca="false">PWT!B19</f>
        <v>213821.375</v>
      </c>
      <c r="E13" s="1" t="n">
        <f aca="false">C13/D13</f>
        <v>0.00756252720878401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1758.0492676717</v>
      </c>
      <c r="D14" s="15" t="n">
        <f aca="false">PWT!B20</f>
        <v>215825.90625</v>
      </c>
      <c r="E14" s="1" t="n">
        <f aca="false">C14/D14</f>
        <v>0.00814568231505665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1751.36668488131</v>
      </c>
      <c r="D15" s="15" t="n">
        <f aca="false">PWT!B21</f>
        <v>214505.90625</v>
      </c>
      <c r="E15" s="1" t="n">
        <f aca="false">C15/D15</f>
        <v>0.00816465483631088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2046.41323466733</v>
      </c>
      <c r="D16" s="15" t="n">
        <f aca="false">PWT!B22</f>
        <v>215740.28125</v>
      </c>
      <c r="E16" s="1" t="n">
        <f aca="false">C16/D16</f>
        <v>0.00948554077528037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2350.51240590543</v>
      </c>
      <c r="D17" s="15" t="n">
        <f aca="false">PWT!B23</f>
        <v>218333.703125</v>
      </c>
      <c r="E17" s="1" t="n">
        <f aca="false">C17/D17</f>
        <v>0.0107656874420333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2643.60288796874</v>
      </c>
      <c r="D18" s="15" t="n">
        <f aca="false">PWT!B24</f>
        <v>221570.09375</v>
      </c>
      <c r="E18" s="1" t="n">
        <f aca="false">C18/D18</f>
        <v>0.0119312261110091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1555.93215231816</v>
      </c>
      <c r="D19" s="15" t="n">
        <f aca="false">PWT!B25</f>
        <v>223431.875</v>
      </c>
      <c r="E19" s="1" t="n">
        <f aca="false">C19/D19</f>
        <v>0.00696378774209436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2984.8904686878</v>
      </c>
      <c r="D20" s="15" t="n">
        <f aca="false">PWT!B26</f>
        <v>227911.96875</v>
      </c>
      <c r="E20" s="1" t="n">
        <f aca="false">C20/D20</f>
        <v>0.0130966815172483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3657.28067254249</v>
      </c>
      <c r="D21" s="15" t="n">
        <f aca="false">PWT!B27</f>
        <v>234164.859375</v>
      </c>
      <c r="E21" s="1" t="n">
        <f aca="false">C21/D21</f>
        <v>0.015618400994513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4004.82871985304</v>
      </c>
      <c r="D22" s="15" t="n">
        <f aca="false">PWT!B28</f>
        <v>241138.375</v>
      </c>
      <c r="E22" s="1" t="n">
        <f aca="false">C22/D22</f>
        <v>0.0166080107318175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4492.92133490825</v>
      </c>
      <c r="D23" s="15" t="n">
        <f aca="false">PWT!B29</f>
        <v>248033.09375</v>
      </c>
      <c r="E23" s="1" t="n">
        <f aca="false">C23/D23</f>
        <v>0.0181142010809122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4843.61644028627</v>
      </c>
      <c r="D24" s="15" t="n">
        <f aca="false">PWT!B30</f>
        <v>254809.796875</v>
      </c>
      <c r="E24" s="1" t="n">
        <f aca="false">C24/D24</f>
        <v>0.0190087528018492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5452.95737935004</v>
      </c>
      <c r="D25" s="15" t="n">
        <f aca="false">PWT!B31</f>
        <v>264125.5625</v>
      </c>
      <c r="E25" s="1" t="n">
        <f aca="false">C25/D25</f>
        <v>0.0206453223525082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6152.76926161805</v>
      </c>
      <c r="D26" s="15" t="n">
        <f aca="false">PWT!B32</f>
        <v>272031.436842411</v>
      </c>
      <c r="E26" s="1" t="n">
        <f aca="false">C26/D26</f>
        <v>0.0226178611304486</v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7072.62534889823</v>
      </c>
      <c r="D27" s="15" t="n">
        <f aca="false">PWT!B33</f>
        <v>280173.951851202</v>
      </c>
      <c r="E27" s="1" t="n">
        <f aca="false">C27/D27</f>
        <v>0.0252436934346218</v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7661.44847488107</v>
      </c>
      <c r="D28" s="15" t="n">
        <f aca="false">PWT!B34</f>
        <v>288560.190715728</v>
      </c>
      <c r="E28" s="1" t="n">
        <f aca="false">C28/D28</f>
        <v>0.0265506078848855</v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9410.65784371035</v>
      </c>
      <c r="D29" s="15" t="n">
        <f aca="false">PWT!B35</f>
        <v>297197.448641191</v>
      </c>
      <c r="E29" s="1" t="n">
        <f aca="false">C29/D29</f>
        <v>0.0316646656515276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32</v>
      </c>
      <c r="B1" s="1" t="s">
        <v>33</v>
      </c>
      <c r="C1" s="1" t="s">
        <v>34</v>
      </c>
    </row>
    <row r="2" customFormat="false" ht="12" hidden="false" customHeight="true" outlineLevel="0" collapsed="false">
      <c r="A2" s="15" t="n">
        <v>1990</v>
      </c>
      <c r="B2" s="15" t="n">
        <v>217572.265625</v>
      </c>
      <c r="C2" s="1" t="n">
        <v>0.03687534</v>
      </c>
    </row>
    <row r="3" customFormat="false" ht="12" hidden="false" customHeight="true" outlineLevel="0" collapsed="false">
      <c r="A3" s="15" t="n">
        <v>1991</v>
      </c>
      <c r="B3" s="15" t="n">
        <v>219328.421875</v>
      </c>
      <c r="C3" s="1" t="n">
        <v>0.03683197</v>
      </c>
    </row>
    <row r="4" customFormat="false" ht="12" hidden="false" customHeight="true" outlineLevel="0" collapsed="false">
      <c r="A4" s="15" t="n">
        <v>1992</v>
      </c>
      <c r="B4" s="15" t="n">
        <v>215882.453125</v>
      </c>
      <c r="C4" s="1" t="n">
        <v>0.03668823</v>
      </c>
    </row>
    <row r="5" customFormat="false" ht="12" hidden="false" customHeight="true" outlineLevel="0" collapsed="false">
      <c r="A5" s="15" t="n">
        <v>1993</v>
      </c>
      <c r="B5" s="15" t="n">
        <v>207684.890625</v>
      </c>
      <c r="C5" s="1" t="n">
        <v>0.03656033</v>
      </c>
    </row>
    <row r="6" customFormat="false" ht="12" hidden="false" customHeight="true" outlineLevel="0" collapsed="false">
      <c r="A6" s="15" t="n">
        <v>1994</v>
      </c>
      <c r="B6" s="15" t="n">
        <v>202188.8125</v>
      </c>
      <c r="C6" s="1" t="n">
        <v>0.03644988</v>
      </c>
    </row>
    <row r="7" customFormat="false" ht="12" hidden="false" customHeight="true" outlineLevel="0" collapsed="false">
      <c r="A7" s="15" t="n">
        <v>1995</v>
      </c>
      <c r="B7" s="15" t="n">
        <v>198953.859375</v>
      </c>
      <c r="C7" s="1" t="n">
        <v>0.03634877</v>
      </c>
    </row>
    <row r="8" customFormat="false" ht="12" hidden="false" customHeight="true" outlineLevel="0" collapsed="false">
      <c r="A8" s="15" t="n">
        <v>1996</v>
      </c>
      <c r="B8" s="15" t="n">
        <v>196366.453125</v>
      </c>
      <c r="C8" s="1" t="n">
        <v>0.03635272</v>
      </c>
    </row>
    <row r="9" customFormat="false" ht="12" hidden="false" customHeight="true" outlineLevel="0" collapsed="false">
      <c r="A9" s="15" t="n">
        <v>1997</v>
      </c>
      <c r="B9" s="15" t="n">
        <v>194417.84375</v>
      </c>
      <c r="C9" s="1" t="n">
        <v>0.03631127</v>
      </c>
    </row>
    <row r="10" customFormat="false" ht="12" hidden="false" customHeight="true" outlineLevel="0" collapsed="false">
      <c r="A10" s="15" t="n">
        <v>1998</v>
      </c>
      <c r="B10" s="15" t="n">
        <v>194516.296875</v>
      </c>
      <c r="C10" s="1" t="n">
        <v>0.03631018</v>
      </c>
    </row>
    <row r="11" customFormat="false" ht="12" hidden="false" customHeight="true" outlineLevel="0" collapsed="false">
      <c r="A11" s="15" t="n">
        <v>1999</v>
      </c>
      <c r="B11" s="15" t="n">
        <v>194964.5625</v>
      </c>
      <c r="C11" s="1" t="n">
        <v>0.0363604</v>
      </c>
    </row>
    <row r="12" customFormat="false" ht="12" hidden="false" customHeight="true" outlineLevel="0" collapsed="false">
      <c r="A12" s="15" t="n">
        <v>2000</v>
      </c>
      <c r="B12" s="15" t="n">
        <v>195327.078125</v>
      </c>
      <c r="C12" s="1" t="n">
        <v>0.03643305</v>
      </c>
    </row>
    <row r="13" customFormat="false" ht="12" hidden="false" customHeight="true" outlineLevel="0" collapsed="false">
      <c r="A13" s="15" t="n">
        <v>2001</v>
      </c>
      <c r="B13" s="15" t="n">
        <v>196512.453125</v>
      </c>
      <c r="C13" s="1" t="n">
        <v>0.0364992</v>
      </c>
    </row>
    <row r="14" customFormat="false" ht="12" hidden="false" customHeight="true" outlineLevel="0" collapsed="false">
      <c r="A14" s="15" t="n">
        <v>2002</v>
      </c>
      <c r="B14" s="15" t="n">
        <v>197317.59375</v>
      </c>
      <c r="C14" s="1" t="n">
        <v>0.03653836</v>
      </c>
    </row>
    <row r="15" customFormat="false" ht="12" hidden="false" customHeight="true" outlineLevel="0" collapsed="false">
      <c r="A15" s="15" t="n">
        <v>2003</v>
      </c>
      <c r="B15" s="15" t="n">
        <v>199678.921875</v>
      </c>
      <c r="C15" s="1" t="n">
        <v>0.03668081</v>
      </c>
    </row>
    <row r="16" customFormat="false" ht="12" hidden="false" customHeight="true" outlineLevel="0" collapsed="false">
      <c r="A16" s="15" t="n">
        <v>2004</v>
      </c>
      <c r="B16" s="15" t="n">
        <v>202658.8125</v>
      </c>
      <c r="C16" s="1" t="n">
        <v>0.03680791</v>
      </c>
    </row>
    <row r="17" customFormat="false" ht="12" hidden="false" customHeight="true" outlineLevel="0" collapsed="false">
      <c r="A17" s="15" t="n">
        <v>2005</v>
      </c>
      <c r="B17" s="15" t="n">
        <v>206400.5</v>
      </c>
      <c r="C17" s="1" t="n">
        <v>0.03692063</v>
      </c>
    </row>
    <row r="18" customFormat="false" ht="12" hidden="false" customHeight="true" outlineLevel="0" collapsed="false">
      <c r="A18" s="15" t="n">
        <v>2006</v>
      </c>
      <c r="B18" s="15" t="n">
        <v>209660.25</v>
      </c>
      <c r="C18" s="1" t="n">
        <v>0.03716842</v>
      </c>
    </row>
    <row r="19" customFormat="false" ht="12" hidden="false" customHeight="true" outlineLevel="0" collapsed="false">
      <c r="A19" s="15" t="n">
        <v>2007</v>
      </c>
      <c r="B19" s="15" t="n">
        <v>213821.375</v>
      </c>
      <c r="C19" s="1" t="n">
        <v>0.0374642</v>
      </c>
    </row>
    <row r="20" customFormat="false" ht="12" hidden="false" customHeight="true" outlineLevel="0" collapsed="false">
      <c r="A20" s="15" t="n">
        <v>2008</v>
      </c>
      <c r="B20" s="15" t="n">
        <v>215825.90625</v>
      </c>
      <c r="C20" s="1" t="n">
        <v>0.03784236</v>
      </c>
    </row>
    <row r="21" customFormat="false" ht="12" hidden="false" customHeight="true" outlineLevel="0" collapsed="false">
      <c r="A21" s="15" t="n">
        <v>2009</v>
      </c>
      <c r="B21" s="15" t="n">
        <v>214505.90625</v>
      </c>
      <c r="C21" s="1" t="n">
        <v>0.03812862</v>
      </c>
    </row>
    <row r="22" customFormat="false" ht="12" hidden="false" customHeight="true" outlineLevel="0" collapsed="false">
      <c r="A22" s="15" t="n">
        <v>2010</v>
      </c>
      <c r="B22" s="15" t="n">
        <v>215740.28125</v>
      </c>
      <c r="C22" s="1" t="n">
        <v>0.03832617</v>
      </c>
    </row>
    <row r="23" customFormat="false" ht="12" hidden="false" customHeight="true" outlineLevel="0" collapsed="false">
      <c r="A23" s="15" t="n">
        <v>2011</v>
      </c>
      <c r="B23" s="15" t="n">
        <v>218333.703125</v>
      </c>
      <c r="C23" s="1" t="n">
        <v>0.03859257</v>
      </c>
    </row>
    <row r="24" customFormat="false" ht="12" hidden="false" customHeight="true" outlineLevel="0" collapsed="false">
      <c r="A24" s="15" t="n">
        <v>2012</v>
      </c>
      <c r="B24" s="15" t="n">
        <v>221570.09375</v>
      </c>
      <c r="C24" s="1" t="n">
        <v>0.03871814</v>
      </c>
    </row>
    <row r="25" customFormat="false" ht="12" hidden="false" customHeight="true" outlineLevel="0" collapsed="false">
      <c r="A25" s="15" t="n">
        <v>2013</v>
      </c>
      <c r="B25" s="15" t="n">
        <v>223431.875</v>
      </c>
      <c r="C25" s="1" t="n">
        <v>0.03889691</v>
      </c>
    </row>
    <row r="26" customFormat="false" ht="12" hidden="false" customHeight="true" outlineLevel="0" collapsed="false">
      <c r="A26" s="15" t="n">
        <v>2014</v>
      </c>
      <c r="B26" s="15" t="n">
        <v>227911.96875</v>
      </c>
      <c r="C26" s="1" t="n">
        <v>0.03921521</v>
      </c>
    </row>
    <row r="27" customFormat="false" ht="12" hidden="false" customHeight="true" outlineLevel="0" collapsed="false">
      <c r="A27" s="15" t="n">
        <v>2015</v>
      </c>
      <c r="B27" s="15" t="n">
        <v>234164.859375</v>
      </c>
      <c r="C27" s="1" t="n">
        <v>0.03960841</v>
      </c>
    </row>
    <row r="28" customFormat="false" ht="12" hidden="false" customHeight="true" outlineLevel="0" collapsed="false">
      <c r="A28" s="15" t="n">
        <v>2016</v>
      </c>
      <c r="B28" s="15" t="n">
        <v>241138.375</v>
      </c>
      <c r="C28" s="1" t="n">
        <v>0.0399696</v>
      </c>
    </row>
    <row r="29" customFormat="false" ht="12" hidden="false" customHeight="true" outlineLevel="0" collapsed="false">
      <c r="A29" s="15" t="n">
        <v>2017</v>
      </c>
      <c r="B29" s="15" t="n">
        <v>248033.09375</v>
      </c>
      <c r="C29" s="1" t="n">
        <v>0.04024869</v>
      </c>
    </row>
    <row r="30" customFormat="false" ht="12" hidden="false" customHeight="true" outlineLevel="0" collapsed="false">
      <c r="A30" s="15" t="n">
        <v>2018</v>
      </c>
      <c r="B30" s="15" t="n">
        <v>254809.796875</v>
      </c>
      <c r="C30" s="1" t="n">
        <v>0.04037795</v>
      </c>
    </row>
    <row r="31" customFormat="false" ht="12" hidden="false" customHeight="true" outlineLevel="0" collapsed="false">
      <c r="A31" s="15" t="n">
        <v>2019</v>
      </c>
      <c r="B31" s="15" t="n">
        <v>264125.5625</v>
      </c>
      <c r="C31" s="1" t="n">
        <v>0.04053107</v>
      </c>
    </row>
    <row r="32" customFormat="false" ht="12" hidden="false" customHeight="true" outlineLevel="0" collapsed="false">
      <c r="A32" s="15" t="n">
        <v>2020</v>
      </c>
      <c r="B32" s="15" t="n">
        <f aca="false">B31*($B$31/$B$26)^(1/5)</f>
        <v>272031.436842411</v>
      </c>
      <c r="C32" s="1" t="n">
        <f aca="false">$C$31</f>
        <v>0.04053107</v>
      </c>
    </row>
    <row r="33" customFormat="false" ht="12" hidden="false" customHeight="true" outlineLevel="0" collapsed="false">
      <c r="A33" s="15" t="n">
        <v>2021</v>
      </c>
      <c r="B33" s="15" t="n">
        <f aca="false">B32*($B$31/$B$26)^(1/5)</f>
        <v>280173.951851202</v>
      </c>
      <c r="C33" s="1" t="n">
        <f aca="false">$C$31</f>
        <v>0.04053107</v>
      </c>
    </row>
    <row r="34" customFormat="false" ht="12" hidden="false" customHeight="true" outlineLevel="0" collapsed="false">
      <c r="A34" s="15" t="n">
        <v>2022</v>
      </c>
      <c r="B34" s="15" t="n">
        <f aca="false">B33*($B$31/$B$26)^(1/5)</f>
        <v>288560.190715728</v>
      </c>
      <c r="C34" s="1" t="n">
        <f aca="false">$C$31</f>
        <v>0.04053107</v>
      </c>
    </row>
    <row r="35" customFormat="false" ht="12" hidden="false" customHeight="true" outlineLevel="0" collapsed="false">
      <c r="A35" s="15" t="n">
        <v>2023</v>
      </c>
      <c r="B35" s="15" t="n">
        <f aca="false">B34*($B$31/$B$26)^(1/5)</f>
        <v>297197.448641191</v>
      </c>
      <c r="C35" s="1" t="n">
        <f aca="false">$C$31</f>
        <v>0.04053107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B1" s="1" t="s">
        <v>35</v>
      </c>
      <c r="C1" s="1" t="n">
        <v>915</v>
      </c>
      <c r="D1" s="1" t="n">
        <v>915</v>
      </c>
    </row>
    <row r="2" customFormat="false" ht="15" hidden="false" customHeight="true" outlineLevel="0" collapsed="false">
      <c r="B2" s="1" t="s">
        <v>36</v>
      </c>
      <c r="C2" s="1" t="s">
        <v>37</v>
      </c>
      <c r="D2" s="1" t="s">
        <v>38</v>
      </c>
    </row>
    <row r="3" customFormat="false" ht="15" hidden="false" customHeight="true" outlineLevel="0" collapsed="false">
      <c r="B3" s="1" t="s">
        <v>39</v>
      </c>
      <c r="C3" s="1" t="s">
        <v>40</v>
      </c>
      <c r="D3" s="1" t="s">
        <v>40</v>
      </c>
    </row>
    <row r="4" customFormat="false" ht="15" hidden="false" customHeight="true" outlineLevel="0" collapsed="false">
      <c r="B4" s="1" t="s">
        <v>41</v>
      </c>
      <c r="C4" s="1" t="s">
        <v>42</v>
      </c>
      <c r="D4" s="1" t="s">
        <v>42</v>
      </c>
    </row>
    <row r="5" customFormat="false" ht="15" hidden="false" customHeight="true" outlineLevel="0" collapsed="false">
      <c r="B5" s="1" t="s">
        <v>43</v>
      </c>
      <c r="C5" s="1" t="s">
        <v>44</v>
      </c>
      <c r="D5" s="1" t="s">
        <v>45</v>
      </c>
    </row>
    <row r="6" customFormat="false" ht="15" hidden="false" customHeight="true" outlineLevel="0" collapsed="false">
      <c r="B6" s="1" t="s">
        <v>46</v>
      </c>
      <c r="C6" s="1" t="s">
        <v>47</v>
      </c>
      <c r="D6" s="1" t="s">
        <v>43</v>
      </c>
    </row>
    <row r="7" customFormat="false" ht="15" hidden="false" customHeight="true" outlineLevel="0" collapsed="false">
      <c r="B7" s="1" t="s">
        <v>48</v>
      </c>
      <c r="C7" s="1" t="s">
        <v>49</v>
      </c>
      <c r="D7" s="1" t="s">
        <v>50</v>
      </c>
    </row>
    <row r="8" customFormat="false" ht="15" hidden="false" customHeight="true" outlineLevel="0" collapsed="false">
      <c r="B8" s="1" t="n">
        <v>2000</v>
      </c>
      <c r="C8" s="1" t="n">
        <v>16.963</v>
      </c>
      <c r="D8" s="1" t="n">
        <v>1.865</v>
      </c>
    </row>
    <row r="9" customFormat="false" ht="15" hidden="false" customHeight="true" outlineLevel="0" collapsed="false">
      <c r="B9" s="1" t="n">
        <v>2001</v>
      </c>
      <c r="C9" s="1" t="n">
        <v>17.772</v>
      </c>
      <c r="D9" s="1" t="n">
        <v>4.769</v>
      </c>
    </row>
    <row r="10" customFormat="false" ht="15" hidden="false" customHeight="true" outlineLevel="0" collapsed="false">
      <c r="B10" s="1" t="n">
        <v>2002</v>
      </c>
      <c r="C10" s="1" t="n">
        <v>18.747</v>
      </c>
      <c r="D10" s="1" t="n">
        <v>5.487</v>
      </c>
    </row>
    <row r="11" customFormat="false" ht="15" hidden="false" customHeight="true" outlineLevel="0" collapsed="false">
      <c r="B11" s="1" t="n">
        <v>2003</v>
      </c>
      <c r="C11" s="1" t="n">
        <v>20.852</v>
      </c>
      <c r="D11" s="1" t="n">
        <v>11.228</v>
      </c>
    </row>
    <row r="12" customFormat="false" ht="15" hidden="false" customHeight="true" outlineLevel="0" collapsed="false">
      <c r="B12" s="1" t="n">
        <v>2004</v>
      </c>
      <c r="C12" s="1" t="n">
        <v>22.061</v>
      </c>
      <c r="D12" s="1" t="n">
        <v>5.796</v>
      </c>
    </row>
    <row r="13" customFormat="false" ht="15" hidden="false" customHeight="true" outlineLevel="0" collapsed="false">
      <c r="B13" s="1" t="n">
        <v>2005</v>
      </c>
      <c r="C13" s="1" t="n">
        <v>24.176</v>
      </c>
      <c r="D13" s="1" t="n">
        <v>9.588</v>
      </c>
    </row>
    <row r="14" customFormat="false" ht="15" hidden="false" customHeight="true" outlineLevel="0" collapsed="false">
      <c r="B14" s="1" t="n">
        <v>2006</v>
      </c>
      <c r="C14" s="1" t="n">
        <v>26.454</v>
      </c>
      <c r="D14" s="1" t="n">
        <v>9.42</v>
      </c>
    </row>
    <row r="15" customFormat="false" ht="15" hidden="false" customHeight="true" outlineLevel="0" collapsed="false">
      <c r="B15" s="1" t="n">
        <v>2007</v>
      </c>
      <c r="C15" s="1" t="n">
        <v>29.781</v>
      </c>
      <c r="D15" s="1" t="n">
        <v>12.579</v>
      </c>
    </row>
    <row r="16" customFormat="false" ht="15" hidden="false" customHeight="true" outlineLevel="0" collapsed="false">
      <c r="B16" s="1" t="n">
        <v>2008</v>
      </c>
      <c r="C16" s="1" t="n">
        <v>30.502</v>
      </c>
      <c r="D16" s="1" t="n">
        <v>2.419</v>
      </c>
    </row>
    <row r="17" customFormat="false" ht="15" hidden="false" customHeight="true" outlineLevel="0" collapsed="false">
      <c r="B17" s="1" t="n">
        <v>2009</v>
      </c>
      <c r="C17" s="1" t="n">
        <v>29.388</v>
      </c>
      <c r="D17" s="1" t="n">
        <v>-3.651</v>
      </c>
    </row>
    <row r="18" customFormat="false" ht="15" hidden="false" customHeight="true" outlineLevel="0" collapsed="false">
      <c r="B18" s="1" t="n">
        <v>2010</v>
      </c>
      <c r="C18" s="1" t="n">
        <v>31.428</v>
      </c>
      <c r="D18" s="1" t="n">
        <v>6.942</v>
      </c>
    </row>
    <row r="19" customFormat="false" ht="15" hidden="false" customHeight="true" outlineLevel="0" collapsed="false">
      <c r="B19" s="1" t="n">
        <v>2011</v>
      </c>
      <c r="C19" s="1" t="n">
        <v>33.927</v>
      </c>
      <c r="D19" s="1" t="n">
        <v>7.949</v>
      </c>
    </row>
    <row r="20" customFormat="false" ht="15" hidden="false" customHeight="true" outlineLevel="0" collapsed="false">
      <c r="B20" s="1" t="n">
        <v>2012</v>
      </c>
      <c r="C20" s="1" t="n">
        <v>36.159</v>
      </c>
      <c r="D20" s="1" t="n">
        <v>6.579</v>
      </c>
    </row>
    <row r="21" customFormat="false" ht="15" hidden="false" customHeight="true" outlineLevel="0" collapsed="false">
      <c r="B21" s="1" t="n">
        <v>2013</v>
      </c>
      <c r="C21" s="1" t="n">
        <v>38.015</v>
      </c>
      <c r="D21" s="1" t="n">
        <v>5.134</v>
      </c>
    </row>
    <row r="22" customFormat="false" ht="15" hidden="false" customHeight="true" outlineLevel="0" collapsed="false">
      <c r="B22" s="1" t="n">
        <v>2014</v>
      </c>
      <c r="C22" s="1" t="n">
        <v>39.57</v>
      </c>
      <c r="D22" s="1" t="n">
        <v>4.091</v>
      </c>
    </row>
    <row r="23" customFormat="false" ht="15" hidden="false" customHeight="true" outlineLevel="0" collapsed="false">
      <c r="B23" s="1" t="n">
        <v>2015</v>
      </c>
      <c r="C23" s="1" t="n">
        <v>40.896</v>
      </c>
      <c r="D23" s="1" t="n">
        <v>3.351</v>
      </c>
    </row>
    <row r="24" customFormat="false" ht="15" hidden="false" customHeight="true" outlineLevel="0" collapsed="false">
      <c r="B24" s="1" t="n">
        <v>2016</v>
      </c>
      <c r="C24" s="1" t="n">
        <v>42.307</v>
      </c>
      <c r="D24" s="1" t="n">
        <v>3.45</v>
      </c>
    </row>
    <row r="25" customFormat="false" ht="15" hidden="false" customHeight="true" outlineLevel="0" collapsed="false">
      <c r="B25" s="1" t="n">
        <v>2017</v>
      </c>
      <c r="C25" s="1" t="n">
        <v>44.49</v>
      </c>
      <c r="D25" s="1" t="n">
        <v>5.161</v>
      </c>
    </row>
    <row r="26" customFormat="false" ht="15" hidden="false" customHeight="true" outlineLevel="0" collapsed="false">
      <c r="B26" s="1" t="n">
        <v>2018</v>
      </c>
      <c r="C26" s="1" t="n">
        <v>47.187</v>
      </c>
      <c r="D26" s="1" t="n">
        <v>6.062</v>
      </c>
    </row>
    <row r="27" customFormat="false" ht="15" hidden="false" customHeight="true" outlineLevel="0" collapsed="false">
      <c r="B27" s="1" t="n">
        <v>2019</v>
      </c>
      <c r="C27" s="1" t="n">
        <v>49.726</v>
      </c>
      <c r="D27" s="1" t="n">
        <v>5.38</v>
      </c>
    </row>
    <row r="28" customFormat="false" ht="15" hidden="false" customHeight="true" outlineLevel="0" collapsed="false">
      <c r="B28" s="1" t="n">
        <v>2020</v>
      </c>
      <c r="C28" s="1" t="n">
        <v>46.598</v>
      </c>
      <c r="D28" s="1" t="n">
        <v>-6.291</v>
      </c>
    </row>
    <row r="29" customFormat="false" ht="15" hidden="false" customHeight="true" outlineLevel="0" collapsed="false">
      <c r="B29" s="1" t="n">
        <v>2021</v>
      </c>
      <c r="C29" s="1" t="n">
        <v>51.558</v>
      </c>
      <c r="D29" s="1" t="n">
        <v>10.644</v>
      </c>
    </row>
    <row r="30" customFormat="false" ht="15" hidden="false" customHeight="true" outlineLevel="0" collapsed="false">
      <c r="B30" s="1" t="n">
        <v>2022</v>
      </c>
      <c r="C30" s="1" t="n">
        <v>57.208</v>
      </c>
      <c r="D30" s="1" t="n">
        <v>10.96</v>
      </c>
    </row>
    <row r="31" customFormat="false" ht="15" hidden="false" customHeight="true" outlineLevel="0" collapsed="false">
      <c r="B31" s="1" t="n">
        <v>2023</v>
      </c>
      <c r="C31" s="1" t="n">
        <v>61.689</v>
      </c>
      <c r="D31" s="1" t="n">
        <v>7.832</v>
      </c>
    </row>
    <row r="32" customFormat="false" ht="15" hidden="false" customHeight="true" outlineLevel="0" collapsed="false">
      <c r="B32" s="1" t="n">
        <v>2024</v>
      </c>
      <c r="C32" s="1" t="n">
        <v>67.505</v>
      </c>
      <c r="D32" s="1" t="n">
        <v>9.429</v>
      </c>
    </row>
    <row r="33" customFormat="false" ht="15" hidden="false" customHeight="true" outlineLevel="0" collapsed="false">
      <c r="B33" s="1" t="n">
        <v>2025</v>
      </c>
      <c r="C33" s="1" t="n">
        <v>71.54</v>
      </c>
      <c r="D33" s="1" t="n">
        <v>5.977</v>
      </c>
    </row>
    <row r="34" customFormat="false" ht="15" hidden="false" customHeight="true" outlineLevel="0" collapsed="false">
      <c r="B34" s="1" t="n">
        <v>2026</v>
      </c>
      <c r="C34" s="1" t="n">
        <v>75.117</v>
      </c>
      <c r="D34" s="1" t="n">
        <v>5</v>
      </c>
    </row>
    <row r="35" customFormat="false" ht="15" hidden="false" customHeight="true" outlineLevel="0" collapsed="false">
      <c r="B35" s="1" t="n">
        <v>2027</v>
      </c>
      <c r="C35" s="1" t="n">
        <v>78.873</v>
      </c>
      <c r="D35" s="1" t="n">
        <v>5</v>
      </c>
    </row>
    <row r="36" customFormat="false" ht="15" hidden="false" customHeight="true" outlineLevel="0" collapsed="false">
      <c r="B36" s="1" t="n">
        <v>2028</v>
      </c>
      <c r="C36" s="1" t="n">
        <f aca="false">C35*(1+D36/100)</f>
        <v>82.81665</v>
      </c>
      <c r="D36" s="1" t="n">
        <f aca="false">D35</f>
        <v>5</v>
      </c>
    </row>
    <row r="37" customFormat="false" ht="15" hidden="false" customHeight="true" outlineLevel="0" collapsed="false">
      <c r="B37" s="1" t="n">
        <v>2029</v>
      </c>
      <c r="C37" s="1" t="n">
        <f aca="false">C36*(1+D37/100)</f>
        <v>86.9574825</v>
      </c>
      <c r="D37" s="1" t="n">
        <f aca="false">D36</f>
        <v>5</v>
      </c>
    </row>
    <row r="38" customFormat="false" ht="15" hidden="false" customHeight="true" outlineLevel="0" collapsed="false">
      <c r="B38" s="1" t="n">
        <v>2030</v>
      </c>
      <c r="C38" s="1" t="n">
        <f aca="false">C37*(1+D38/100)</f>
        <v>91.305356625</v>
      </c>
      <c r="D38" s="1" t="n">
        <f aca="false">D37</f>
        <v>5</v>
      </c>
    </row>
    <row r="39" customFormat="false" ht="15" hidden="false" customHeight="true" outlineLevel="0" collapsed="false">
      <c r="B39" s="1" t="n">
        <v>2031</v>
      </c>
      <c r="C39" s="1" t="n">
        <f aca="false">C38*(1+D39/100)</f>
        <v>95.87062445625</v>
      </c>
      <c r="D39" s="1" t="n">
        <f aca="false">D38</f>
        <v>5</v>
      </c>
    </row>
    <row r="40" customFormat="false" ht="15" hidden="false" customHeight="true" outlineLevel="0" collapsed="false">
      <c r="B40" s="1" t="n">
        <v>2032</v>
      </c>
      <c r="C40" s="1" t="n">
        <f aca="false">C39*(1+D40/100)</f>
        <v>100.664155679063</v>
      </c>
      <c r="D40" s="1" t="n">
        <f aca="false">D39</f>
        <v>5</v>
      </c>
    </row>
    <row r="41" customFormat="false" ht="15" hidden="false" customHeight="true" outlineLevel="0" collapsed="false">
      <c r="B41" s="1" t="n">
        <v>2033</v>
      </c>
      <c r="C41" s="1" t="n">
        <f aca="false">C40*(1+D41/100)</f>
        <v>105.697363463016</v>
      </c>
      <c r="D41" s="1" t="n">
        <f aca="false">D40</f>
        <v>5</v>
      </c>
    </row>
    <row r="42" customFormat="false" ht="15" hidden="false" customHeight="true" outlineLevel="0" collapsed="false">
      <c r="B42" s="1" t="n">
        <v>2034</v>
      </c>
      <c r="C42" s="1" t="n">
        <f aca="false">C41*(1+D42/100)</f>
        <v>110.982231636166</v>
      </c>
      <c r="D42" s="1" t="n">
        <f aca="false">D41</f>
        <v>5</v>
      </c>
    </row>
    <row r="43" customFormat="false" ht="15" hidden="false" customHeight="true" outlineLevel="0" collapsed="false">
      <c r="B43" s="1" t="n">
        <v>2035</v>
      </c>
      <c r="C43" s="1" t="n">
        <f aca="false">C42*(1+D43/100)</f>
        <v>116.531343217975</v>
      </c>
      <c r="D43" s="1" t="n">
        <f aca="false">D42</f>
        <v>5</v>
      </c>
    </row>
    <row r="44" customFormat="false" ht="15" hidden="false" customHeight="true" outlineLevel="0" collapsed="false">
      <c r="B44" s="1" t="n">
        <v>2036</v>
      </c>
      <c r="C44" s="1" t="n">
        <f aca="false">C43*(1+D44/100)</f>
        <v>122.357910378874</v>
      </c>
      <c r="D44" s="1" t="n">
        <f aca="false">D43</f>
        <v>5</v>
      </c>
    </row>
    <row r="45" customFormat="false" ht="15" hidden="false" customHeight="true" outlineLevel="0" collapsed="false">
      <c r="B45" s="1" t="n">
        <v>2037</v>
      </c>
      <c r="C45" s="1" t="n">
        <f aca="false">C44*(1+D45/100)</f>
        <v>128.475805897817</v>
      </c>
      <c r="D45" s="1" t="n">
        <f aca="false">D44</f>
        <v>5</v>
      </c>
    </row>
    <row r="46" customFormat="false" ht="15" hidden="false" customHeight="true" outlineLevel="0" collapsed="false">
      <c r="B46" s="1" t="n">
        <v>2038</v>
      </c>
      <c r="C46" s="1" t="n">
        <f aca="false">C45*(1+D46/100)</f>
        <v>134.899596192708</v>
      </c>
      <c r="D46" s="1" t="n">
        <f aca="false">D45</f>
        <v>5</v>
      </c>
    </row>
    <row r="47" customFormat="false" ht="15" hidden="false" customHeight="true" outlineLevel="0" collapsed="false">
      <c r="B47" s="1" t="n">
        <v>2039</v>
      </c>
      <c r="C47" s="1" t="n">
        <f aca="false">C46*(1+D47/100)</f>
        <v>141.644576002343</v>
      </c>
      <c r="D47" s="1" t="n">
        <f aca="false">D46</f>
        <v>5</v>
      </c>
    </row>
    <row r="48" customFormat="false" ht="15" hidden="false" customHeight="true" outlineLevel="0" collapsed="false">
      <c r="B48" s="1" t="n">
        <v>2040</v>
      </c>
      <c r="C48" s="1" t="n">
        <f aca="false">C47*(1+D48/100)</f>
        <v>148.726804802461</v>
      </c>
      <c r="D48" s="1" t="n">
        <f aca="false">D47</f>
        <v>5</v>
      </c>
    </row>
    <row r="49" customFormat="false" ht="15" hidden="false" customHeight="true" outlineLevel="0" collapsed="false">
      <c r="B49" s="1" t="n">
        <v>2041</v>
      </c>
      <c r="C49" s="1" t="n">
        <f aca="false">C48*(1+D49/100)</f>
        <v>156.163145042584</v>
      </c>
      <c r="D49" s="1" t="n">
        <f aca="false">D48</f>
        <v>5</v>
      </c>
    </row>
    <row r="50" customFormat="false" ht="15" hidden="false" customHeight="true" outlineLevel="0" collapsed="false">
      <c r="B50" s="1" t="n">
        <v>2042</v>
      </c>
      <c r="C50" s="1" t="n">
        <f aca="false">C49*(1+D50/100)</f>
        <v>163.971302294713</v>
      </c>
      <c r="D50" s="1" t="n">
        <f aca="false">D49</f>
        <v>5</v>
      </c>
    </row>
    <row r="51" customFormat="false" ht="15" hidden="false" customHeight="true" outlineLevel="0" collapsed="false">
      <c r="B51" s="1" t="n">
        <v>2043</v>
      </c>
      <c r="C51" s="1" t="n">
        <f aca="false">C50*(1+D51/100)</f>
        <v>172.169867409449</v>
      </c>
      <c r="D51" s="1" t="n">
        <f aca="false">D50</f>
        <v>5</v>
      </c>
    </row>
    <row r="52" customFormat="false" ht="15" hidden="false" customHeight="true" outlineLevel="0" collapsed="false">
      <c r="B52" s="1" t="s">
        <v>51</v>
      </c>
      <c r="C52" s="1" t="n">
        <v>2024</v>
      </c>
      <c r="D52" s="1" t="n">
        <v>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2026-09-20T09:18:02Z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