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 t="n"/>
      <c r="K6" s="4" t="n"/>
      <c r="N6" s="5" t="n"/>
    </row>
    <row r="7">
      <c r="C7" t="n">
        <v>2003</v>
      </c>
      <c r="D7" s="19" t="n"/>
      <c r="K7" s="4" t="n"/>
      <c r="N7" s="5" t="n"/>
    </row>
    <row r="8">
      <c r="C8" t="n">
        <v>2004</v>
      </c>
      <c r="D8" s="19" t="n"/>
      <c r="K8" s="4" t="n"/>
      <c r="N8" s="5" t="n"/>
    </row>
    <row r="9">
      <c r="C9" t="n">
        <v>2005</v>
      </c>
      <c r="D9" s="19" t="n"/>
      <c r="K9" s="4" t="n"/>
      <c r="N9" s="5" t="n"/>
    </row>
    <row r="10">
      <c r="C10" t="n">
        <v>2006</v>
      </c>
      <c r="D10" s="19" t="n"/>
      <c r="K10" s="4" t="n"/>
      <c r="N10" s="5" t="n"/>
    </row>
    <row r="11">
      <c r="C11" t="n">
        <v>2007</v>
      </c>
      <c r="D11" s="19" t="n"/>
      <c r="K11" s="4" t="n"/>
      <c r="N11" s="5" t="n"/>
    </row>
    <row r="12">
      <c r="C12" t="n">
        <v>2008</v>
      </c>
      <c r="D12" s="19" t="n"/>
      <c r="K12" s="4" t="n"/>
      <c r="N12" s="5" t="n"/>
    </row>
    <row r="13">
      <c r="C13" t="n">
        <v>2009</v>
      </c>
      <c r="D13" s="19" t="n"/>
      <c r="K13" s="4" t="n"/>
      <c r="N13" s="5" t="n"/>
    </row>
    <row r="14">
      <c r="C14" t="n">
        <v>2010</v>
      </c>
      <c r="D14" s="19" t="n"/>
      <c r="K14" s="4" t="n"/>
      <c r="N14" s="5" t="n"/>
    </row>
    <row r="15">
      <c r="C15" t="n">
        <v>2011</v>
      </c>
      <c r="D15" s="19" t="n"/>
      <c r="K15" s="4" t="n"/>
      <c r="N15" s="5" t="n"/>
    </row>
    <row r="16">
      <c r="C16" t="n">
        <v>2012</v>
      </c>
      <c r="D16" s="19" t="n"/>
      <c r="K16" s="4" t="n"/>
      <c r="N16" s="5" t="n"/>
    </row>
    <row r="17">
      <c r="C17" t="n">
        <v>2013</v>
      </c>
      <c r="D17" s="19" t="n"/>
      <c r="K17" s="4" t="n"/>
      <c r="N17" s="5" t="n"/>
    </row>
    <row r="18">
      <c r="C18" t="n">
        <v>2014</v>
      </c>
      <c r="D18" s="19" t="n"/>
      <c r="K18" s="4" t="n"/>
      <c r="N18" s="5" t="n"/>
    </row>
    <row r="19">
      <c r="C19" t="n">
        <v>2015</v>
      </c>
      <c r="D19" s="19" t="n"/>
      <c r="K19" s="4" t="n"/>
      <c r="N19" s="5" t="n"/>
    </row>
    <row r="20">
      <c r="C20" t="n">
        <v>2016</v>
      </c>
      <c r="D20" s="19" t="n"/>
      <c r="K20" s="4" t="n"/>
      <c r="N20" s="5" t="n"/>
    </row>
    <row r="21">
      <c r="C21" t="n">
        <v>2017</v>
      </c>
      <c r="D21" s="19" t="n"/>
      <c r="K21" s="4" t="n"/>
      <c r="N21" s="5" t="n"/>
    </row>
    <row r="22">
      <c r="C22" t="n">
        <v>2018</v>
      </c>
      <c r="D22" s="19" t="n"/>
      <c r="K22" s="4" t="n"/>
      <c r="N22" s="5" t="n"/>
    </row>
    <row r="23">
      <c r="C23" t="n">
        <v>2019</v>
      </c>
      <c r="D23" s="19" t="n"/>
      <c r="K23" s="4" t="n"/>
      <c r="N23" s="5" t="n"/>
    </row>
    <row r="24">
      <c r="C24" t="n">
        <v>2020</v>
      </c>
      <c r="D24" s="19" t="n"/>
      <c r="K24" s="4" t="n"/>
      <c r="N24" s="5" t="n"/>
    </row>
    <row r="25">
      <c r="C25" t="n">
        <v>2021</v>
      </c>
      <c r="D25" s="19" t="n"/>
      <c r="K25" s="4" t="n"/>
      <c r="N25" s="5" t="n"/>
    </row>
    <row r="26">
      <c r="C26" t="n">
        <v>2022</v>
      </c>
      <c r="D26" s="19" t="n"/>
      <c r="K26" s="4" t="n"/>
      <c r="N26" s="5" t="n"/>
    </row>
    <row r="27">
      <c r="C27" t="n">
        <v>2023</v>
      </c>
      <c r="D27" s="19" t="n"/>
      <c r="K27" s="6" t="n"/>
      <c r="L27" s="7" t="n"/>
      <c r="M27" s="7" t="n"/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'PWT'!B8</f>
        <v/>
      </c>
      <c r="E2">
        <f>C2/D2</f>
        <v/>
      </c>
    </row>
    <row r="3">
      <c r="A3" s="18" t="n">
        <v>35795</v>
      </c>
      <c r="B3" t="n">
        <v>1997</v>
      </c>
      <c r="C3" t="n">
        <v>383641663.608596</v>
      </c>
      <c r="D3" s="19">
        <f>'PWT'!B9</f>
        <v/>
      </c>
      <c r="E3">
        <f>C3/D3</f>
        <v/>
      </c>
    </row>
    <row r="4">
      <c r="A4" s="18" t="n">
        <v>36160</v>
      </c>
      <c r="B4" t="n">
        <v>1998</v>
      </c>
      <c r="C4" t="n">
        <v>516397121.222809</v>
      </c>
      <c r="D4" s="19">
        <f>'PWT'!B10</f>
        <v/>
      </c>
      <c r="E4">
        <f>C4/D4</f>
        <v/>
      </c>
    </row>
    <row r="5">
      <c r="A5" s="18" t="n">
        <v>36525</v>
      </c>
      <c r="B5" t="n">
        <v>1999</v>
      </c>
      <c r="C5" t="n">
        <v>661603834.429231</v>
      </c>
      <c r="D5" s="19">
        <f>'PWT'!B11</f>
        <v/>
      </c>
      <c r="E5">
        <f>C5/D5</f>
        <v/>
      </c>
    </row>
    <row r="6">
      <c r="A6" s="18" t="n">
        <v>36891</v>
      </c>
      <c r="B6" t="n">
        <v>2000</v>
      </c>
      <c r="C6" t="n">
        <v>631701000.88782</v>
      </c>
      <c r="D6" s="19">
        <f>'PWT'!B12</f>
        <v/>
      </c>
      <c r="E6">
        <f>C6/D6</f>
        <v/>
      </c>
    </row>
    <row r="7">
      <c r="A7" s="18" t="n">
        <v>37256</v>
      </c>
      <c r="B7" t="n">
        <v>2001</v>
      </c>
      <c r="C7" t="n">
        <v>706983726.789065</v>
      </c>
      <c r="D7" s="19">
        <f>'PWT'!B13</f>
        <v/>
      </c>
      <c r="E7">
        <f>C7/D7</f>
        <v/>
      </c>
    </row>
    <row r="8">
      <c r="A8" s="18" t="n">
        <v>37621</v>
      </c>
      <c r="B8" t="n">
        <v>2002</v>
      </c>
      <c r="C8" t="n">
        <v>790112565.198609</v>
      </c>
      <c r="D8" s="19">
        <f>'PWT'!B14</f>
        <v/>
      </c>
      <c r="E8">
        <f>C8/D8</f>
        <v/>
      </c>
    </row>
    <row r="9">
      <c r="A9" s="18" t="n">
        <v>37986</v>
      </c>
      <c r="B9" t="n">
        <v>2003</v>
      </c>
      <c r="C9" t="n">
        <v>932916219.671159</v>
      </c>
      <c r="D9" s="19">
        <f>'PWT'!B15</f>
        <v/>
      </c>
      <c r="E9">
        <f>C9/D9</f>
        <v/>
      </c>
    </row>
    <row r="10">
      <c r="A10" s="18" t="n">
        <v>38352</v>
      </c>
      <c r="B10" t="n">
        <v>2004</v>
      </c>
      <c r="C10" t="n">
        <v>976818537.799271</v>
      </c>
      <c r="D10" s="19">
        <f>'PWT'!B16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1113450058.59263</v>
      </c>
      <c r="D11" s="19">
        <f>'PWT'!B17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1306373084.13224</v>
      </c>
      <c r="D12" s="19">
        <f>'PWT'!B18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1617029966.25711</v>
      </c>
      <c r="D13" s="19">
        <f>'PWT'!B19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1758049267.6717</v>
      </c>
      <c r="D14" s="19">
        <f>'PWT'!B20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1751366684.88131</v>
      </c>
      <c r="D15" s="19">
        <f>'PWT'!B21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2046413234.66733</v>
      </c>
      <c r="D16" s="19">
        <f>'PWT'!B22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2350512405.90543</v>
      </c>
      <c r="D17" s="19">
        <f>'PWT'!B23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2643602887.96874</v>
      </c>
      <c r="D18" s="19">
        <f>'PWT'!B24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1555932152.31816</v>
      </c>
      <c r="D19" s="19">
        <f>'PWT'!B25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2984890468.6878</v>
      </c>
      <c r="D20" s="19">
        <f>'PWT'!B26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3657280672.54249</v>
      </c>
      <c r="D21" s="19">
        <f>'PWT'!B27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4004828719.85304</v>
      </c>
      <c r="D22" s="19">
        <f>'PWT'!B28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4492921334.90825</v>
      </c>
      <c r="D23" s="19">
        <f>'PWT'!B29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4843616440.28627</v>
      </c>
      <c r="D24" s="19">
        <f>'PWT'!B30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5452957379.35004</v>
      </c>
      <c r="D25" s="19">
        <f>'PWT'!B31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6152769261.61805</v>
      </c>
      <c r="D26" s="19">
        <f>'PWT'!B32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7072625348.89823</v>
      </c>
      <c r="D27" s="19">
        <f>'PWT'!B33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7661448474.88107</v>
      </c>
      <c r="D28" s="19">
        <f>'PWT'!B34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9410657843.71035</v>
      </c>
      <c r="D29" s="19">
        <f>'PWT'!B35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217572.265625</v>
      </c>
    </row>
    <row r="3">
      <c r="A3" s="19" t="n">
        <v>1991</v>
      </c>
      <c r="B3" s="19" t="n">
        <v>219328.421875</v>
      </c>
    </row>
    <row r="4">
      <c r="A4" s="19" t="n">
        <v>1992</v>
      </c>
      <c r="B4" s="19" t="n">
        <v>215882.453125</v>
      </c>
    </row>
    <row r="5">
      <c r="A5" s="19" t="n">
        <v>1993</v>
      </c>
      <c r="B5" s="19" t="n">
        <v>207684.890625</v>
      </c>
    </row>
    <row r="6">
      <c r="A6" s="19" t="n">
        <v>1994</v>
      </c>
      <c r="B6" s="19" t="n">
        <v>202188.8125</v>
      </c>
    </row>
    <row r="7">
      <c r="A7" s="19" t="n">
        <v>1995</v>
      </c>
      <c r="B7" s="19" t="n">
        <v>198953.859375</v>
      </c>
    </row>
    <row r="8">
      <c r="A8" s="19" t="n">
        <v>1996</v>
      </c>
      <c r="B8" s="19" t="n">
        <v>196366.453125</v>
      </c>
    </row>
    <row r="9">
      <c r="A9" s="19" t="n">
        <v>1997</v>
      </c>
      <c r="B9" s="19" t="n">
        <v>194417.84375</v>
      </c>
    </row>
    <row r="10">
      <c r="A10" s="19" t="n">
        <v>1998</v>
      </c>
      <c r="B10" s="19" t="n">
        <v>194516.296875</v>
      </c>
    </row>
    <row r="11">
      <c r="A11" s="19" t="n">
        <v>1999</v>
      </c>
      <c r="B11" s="19" t="n">
        <v>194964.5625</v>
      </c>
    </row>
    <row r="12">
      <c r="A12" s="19" t="n">
        <v>2000</v>
      </c>
      <c r="B12" s="19" t="n">
        <v>195327.078125</v>
      </c>
    </row>
    <row r="13">
      <c r="A13" s="19" t="n">
        <v>2001</v>
      </c>
      <c r="B13" s="19" t="n">
        <v>196512.453125</v>
      </c>
    </row>
    <row r="14">
      <c r="A14" s="19" t="n">
        <v>2002</v>
      </c>
      <c r="B14" s="19" t="n">
        <v>197317.59375</v>
      </c>
    </row>
    <row r="15">
      <c r="A15" s="19" t="n">
        <v>2003</v>
      </c>
      <c r="B15" s="19" t="n">
        <v>199678.921875</v>
      </c>
    </row>
    <row r="16">
      <c r="A16" s="19" t="n">
        <v>2004</v>
      </c>
      <c r="B16" s="19" t="n">
        <v>202658.8125</v>
      </c>
    </row>
    <row r="17">
      <c r="A17" s="19" t="n">
        <v>2005</v>
      </c>
      <c r="B17" s="19" t="n">
        <v>206400.5</v>
      </c>
    </row>
    <row r="18">
      <c r="A18" s="19" t="n">
        <v>2006</v>
      </c>
      <c r="B18" s="19" t="n">
        <v>209660.25</v>
      </c>
    </row>
    <row r="19">
      <c r="A19" s="19" t="n">
        <v>2007</v>
      </c>
      <c r="B19" s="19" t="n">
        <v>213821.375</v>
      </c>
    </row>
    <row r="20">
      <c r="A20" s="19" t="n">
        <v>2008</v>
      </c>
      <c r="B20" s="19" t="n">
        <v>215825.90625</v>
      </c>
    </row>
    <row r="21">
      <c r="A21" s="19" t="n">
        <v>2009</v>
      </c>
      <c r="B21" s="19" t="n">
        <v>214505.90625</v>
      </c>
    </row>
    <row r="22">
      <c r="A22" s="19" t="n">
        <v>2010</v>
      </c>
      <c r="B22" s="19" t="n">
        <v>215740.28125</v>
      </c>
    </row>
    <row r="23">
      <c r="A23" s="19" t="n">
        <v>2011</v>
      </c>
      <c r="B23" s="19" t="n">
        <v>218333.703125</v>
      </c>
    </row>
    <row r="24">
      <c r="A24" s="19" t="n">
        <v>2012</v>
      </c>
      <c r="B24" s="19" t="n">
        <v>221570.09375</v>
      </c>
    </row>
    <row r="25">
      <c r="A25" s="19" t="n">
        <v>2013</v>
      </c>
      <c r="B25" s="19" t="n">
        <v>223431.875</v>
      </c>
    </row>
    <row r="26">
      <c r="A26" s="19" t="n">
        <v>2014</v>
      </c>
      <c r="B26" s="19" t="n">
        <v>227911.96875</v>
      </c>
    </row>
    <row r="27">
      <c r="A27" s="19" t="n">
        <v>2015</v>
      </c>
      <c r="B27" s="19" t="n">
        <v>234164.859375</v>
      </c>
    </row>
    <row r="28">
      <c r="A28" s="19" t="n">
        <v>2016</v>
      </c>
      <c r="B28" s="19" t="n">
        <v>241138.375</v>
      </c>
    </row>
    <row r="29">
      <c r="A29" s="19" t="n">
        <v>2017</v>
      </c>
      <c r="B29" s="19" t="n">
        <v>248033.09375</v>
      </c>
    </row>
    <row r="30">
      <c r="A30" s="19" t="n">
        <v>2018</v>
      </c>
      <c r="B30" s="19" t="n">
        <v>254809.796875</v>
      </c>
    </row>
    <row r="31">
      <c r="A31" s="19" t="n">
        <v>2019</v>
      </c>
      <c r="B31" s="19" t="n">
        <v>264125.5625</v>
      </c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22802.8359375</v>
      </c>
      <c r="D8" t="n">
        <v>1.9</v>
      </c>
    </row>
    <row r="9">
      <c r="B9" t="n">
        <v>2001</v>
      </c>
      <c r="C9">
        <f>C8*(1+D9/100)</f>
        <v/>
      </c>
      <c r="D9" t="n">
        <v>4.8</v>
      </c>
    </row>
    <row r="10">
      <c r="B10" t="n">
        <v>2002</v>
      </c>
      <c r="C10">
        <f>C9*(1+D10/100)</f>
        <v/>
      </c>
      <c r="D10" t="n">
        <v>5.5</v>
      </c>
    </row>
    <row r="11">
      <c r="B11" t="n">
        <v>2003</v>
      </c>
      <c r="C11">
        <f>C10*(1+D11/100)</f>
        <v/>
      </c>
      <c r="D11" t="n">
        <v>11.2</v>
      </c>
    </row>
    <row r="12">
      <c r="B12" t="n">
        <v>2004</v>
      </c>
      <c r="C12">
        <f>C11*(1+D12/100)</f>
        <v/>
      </c>
      <c r="D12" t="n">
        <v>5.8</v>
      </c>
    </row>
    <row r="13">
      <c r="B13" t="n">
        <v>2005</v>
      </c>
      <c r="C13">
        <f>C12*(1+D13/100)</f>
        <v/>
      </c>
      <c r="D13" t="n">
        <v>9.6</v>
      </c>
    </row>
    <row r="14">
      <c r="B14" t="n">
        <v>2006</v>
      </c>
      <c r="C14">
        <f>C13*(1+D14/100)</f>
        <v/>
      </c>
      <c r="D14" t="n">
        <v>9.4</v>
      </c>
    </row>
    <row r="15">
      <c r="B15" t="n">
        <v>2007</v>
      </c>
      <c r="C15">
        <f>C14*(1+D15/100)</f>
        <v/>
      </c>
      <c r="D15" t="n">
        <v>12.6</v>
      </c>
    </row>
    <row r="16">
      <c r="B16" t="n">
        <v>2008</v>
      </c>
      <c r="C16">
        <f>C15*(1+D16/100)</f>
        <v/>
      </c>
      <c r="D16" t="n">
        <v>2.4</v>
      </c>
    </row>
    <row r="17">
      <c r="B17" t="n">
        <v>2009</v>
      </c>
      <c r="C17">
        <f>C16*(1+D17/100)</f>
        <v/>
      </c>
      <c r="D17" t="n">
        <v>-3.7</v>
      </c>
    </row>
    <row r="18">
      <c r="B18" t="n">
        <v>2010</v>
      </c>
      <c r="C18">
        <f>C17*(1+D18/100)</f>
        <v/>
      </c>
      <c r="D18" t="n">
        <v>6.9</v>
      </c>
    </row>
    <row r="19">
      <c r="B19" t="n">
        <v>2011</v>
      </c>
      <c r="C19">
        <f>C18*(1+D19/100)</f>
        <v/>
      </c>
      <c r="D19" t="n">
        <v>7.9</v>
      </c>
    </row>
    <row r="20">
      <c r="B20" t="n">
        <v>2012</v>
      </c>
      <c r="C20">
        <f>C19*(1+D20/100)</f>
        <v/>
      </c>
      <c r="D20" t="n">
        <v>6.6</v>
      </c>
    </row>
    <row r="21">
      <c r="B21" t="n">
        <v>2013</v>
      </c>
      <c r="C21">
        <f>C20*(1+D21/100)</f>
        <v/>
      </c>
      <c r="D21" t="n">
        <v>5.1</v>
      </c>
    </row>
    <row r="22">
      <c r="B22" t="n">
        <v>2014</v>
      </c>
      <c r="C22">
        <f>C21*(1+D22/100)</f>
        <v/>
      </c>
      <c r="D22" t="n">
        <v>4.1</v>
      </c>
    </row>
    <row r="23">
      <c r="B23" t="n">
        <v>2015</v>
      </c>
      <c r="C23">
        <f>C22*(1+D23/100)</f>
        <v/>
      </c>
      <c r="D23" t="n">
        <v>3.4</v>
      </c>
    </row>
    <row r="24">
      <c r="B24" t="n">
        <v>2016</v>
      </c>
      <c r="C24">
        <f>C23*(1+D24/100)</f>
        <v/>
      </c>
      <c r="D24" t="n">
        <v>3.4</v>
      </c>
    </row>
    <row r="25">
      <c r="B25" t="n">
        <v>2017</v>
      </c>
      <c r="C25">
        <f>C24*(1+D25/100)</f>
        <v/>
      </c>
      <c r="D25" t="n">
        <v>5.2</v>
      </c>
    </row>
    <row r="26">
      <c r="B26" t="n">
        <v>2018</v>
      </c>
      <c r="C26">
        <f>C25*(1+D26/100)</f>
        <v/>
      </c>
      <c r="D26" t="n">
        <v>6.1</v>
      </c>
    </row>
    <row r="27">
      <c r="B27" t="n">
        <v>2019</v>
      </c>
      <c r="C27">
        <f>C26*(1+D27/100)</f>
        <v/>
      </c>
      <c r="D27" t="n">
        <v>5.4</v>
      </c>
    </row>
    <row r="28">
      <c r="B28" t="n">
        <v>2020</v>
      </c>
      <c r="C28">
        <f>C27*(1+D28/100)</f>
        <v/>
      </c>
      <c r="D28" t="n">
        <v>-6.3</v>
      </c>
    </row>
    <row r="29">
      <c r="B29" t="n">
        <v>2021</v>
      </c>
      <c r="C29">
        <f>C28*(1+D29/100)</f>
        <v/>
      </c>
      <c r="D29" t="n">
        <v>10.6</v>
      </c>
    </row>
    <row r="30">
      <c r="B30" t="n">
        <v>2022</v>
      </c>
      <c r="C30">
        <f>C29*(1+D30/100)</f>
        <v/>
      </c>
      <c r="D30" t="n">
        <v>11</v>
      </c>
    </row>
    <row r="31">
      <c r="B31" t="n">
        <v>2023</v>
      </c>
      <c r="C31">
        <f>C30*(1+D31/100)</f>
        <v/>
      </c>
      <c r="D31" t="n">
        <v>7.8</v>
      </c>
    </row>
    <row r="32">
      <c r="B32" t="n">
        <v>2024</v>
      </c>
      <c r="C32">
        <f>C31*(1+D32/100)</f>
        <v/>
      </c>
      <c r="D32" t="n">
        <v>9.699999999999999</v>
      </c>
    </row>
    <row r="33">
      <c r="B33" t="n">
        <v>2025</v>
      </c>
      <c r="C33">
        <f>C32*(1+D33/100)</f>
        <v/>
      </c>
      <c r="D33" t="n">
        <v>7.5</v>
      </c>
    </row>
    <row r="34">
      <c r="B34" t="n">
        <v>2026</v>
      </c>
      <c r="C34">
        <f>C33*(1+D34/100)</f>
        <v/>
      </c>
      <c r="D34" t="n">
        <v>5.3</v>
      </c>
    </row>
    <row r="35">
      <c r="B35" t="n">
        <v>2027</v>
      </c>
      <c r="C35">
        <f>C34*(1+D35/100)</f>
        <v/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2026-10-07T05:53:41Z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