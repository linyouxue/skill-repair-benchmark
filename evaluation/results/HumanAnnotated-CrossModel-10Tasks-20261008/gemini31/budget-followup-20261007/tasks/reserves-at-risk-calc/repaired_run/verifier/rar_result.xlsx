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Gold price" sheetId="2" state="visible" r:id="rId2"/>
    <sheet xmlns:r="http://schemas.openxmlformats.org/officeDocument/2006/relationships" name="Total Reserves" sheetId="3" state="visible" r:id="rId3"/>
    <sheet xmlns:r="http://schemas.openxmlformats.org/officeDocument/2006/relationships" name="Value" sheetId="4" state="visible" r:id="rId4"/>
    <sheet xmlns:r="http://schemas.openxmlformats.org/officeDocument/2006/relationships"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C4*SQRT(12/3)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 Republic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3326.695333333333</v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 Republic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XLOOKUP(C20&amp;"*", 'Total Reserves'!$C$8:$R$8, 'Total Reserves'!$C$17:$R$17, "", 2)</f>
        <v/>
      </c>
      <c r="D23">
        <f>XLOOKUP(D20&amp;"*", 'Total Reserves'!$C$8:$R$8, 'Total Reserves'!$C$17:$R$17, "", 2)</f>
        <v/>
      </c>
      <c r="E23">
        <f>XLOOKUP(E20&amp;"*", 'Total Reserves'!$C$8:$R$8, 'Total Reserves'!$C$17:$R$17, "", 2)</f>
        <v/>
      </c>
      <c r="F23">
        <f>XLOOKUP(F20&amp;"*", 'Total Reserves'!$C$8:$R$8, 'Total Reserves'!$C$17:$R$17, "", 2)</f>
        <v/>
      </c>
      <c r="G23">
        <f>XLOOKUP(G20&amp;"*", 'Total Reserves'!$C$8:$R$8, 'Total Reserves'!$C$17:$R$17, "", 2)</f>
        <v/>
      </c>
      <c r="H23">
        <f>XLOOKUP(H20&amp;"*", 'Total Reserves'!$C$8:$R$8, 'Total Reserves'!$C$17:$R$17, "", 2)</f>
        <v/>
      </c>
      <c r="I23">
        <f>XLOOKUP(I20&amp;"*", 'Total Reserves'!$C$8:$R$8, 'Total Reserves'!$C$17:$R$17, "", 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410.11</v>
      </c>
    </row>
    <row r="3">
      <c r="A3" s="6" t="inlineStr">
        <is>
          <t>1990M2</t>
        </is>
      </c>
      <c r="B3" t="n">
        <v>416.81</v>
      </c>
      <c r="C3">
        <f>LN(B3/B2)*100</f>
        <v/>
      </c>
    </row>
    <row r="4">
      <c r="A4" s="6" t="inlineStr">
        <is>
          <t>1990M3</t>
        </is>
      </c>
      <c r="B4" t="n">
        <v>393.06</v>
      </c>
      <c r="C4">
        <f>LN(B4/B3)*100</f>
        <v/>
      </c>
      <c r="D4">
        <f>STDEV.S(C2:C4)</f>
        <v/>
      </c>
    </row>
    <row r="5">
      <c r="A5" s="6" t="inlineStr">
        <is>
          <t>1990M4</t>
        </is>
      </c>
      <c r="B5" t="n">
        <v>374.24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369.05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352.33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362.53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394.73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389.32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380.74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381.73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376.95</v>
      </c>
      <c r="C13">
        <f>LN(B13/B12)*100</f>
        <v/>
      </c>
      <c r="D13">
        <f>STDEV.S(C11:C13)</f>
        <v/>
      </c>
      <c r="E13">
        <f>STDEV.S(C2:C13)</f>
        <v/>
      </c>
    </row>
    <row r="14">
      <c r="A14" s="6" t="inlineStr">
        <is>
          <t>1991M1</t>
        </is>
      </c>
      <c r="B14" t="n">
        <v>383.64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363.83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363.34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358.38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356.95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366.72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367.69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356.31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358.69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360.17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361.73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354.45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353.91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344.34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338.62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337.24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340.81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352.72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343.06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345.43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344.38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335.02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334.82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329.01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329.31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330.08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342.15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367.18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371.89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392.19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378.84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355.28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364.18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373.83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386.88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381.91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384.13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377.27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381.43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385.64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385.49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380.36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391.58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389.77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384.39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379.29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378.55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376.64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382.12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391.03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385.22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387.56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386.23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383.67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383.06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383.14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385.31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387.44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399.45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404.76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396.21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392.85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391.93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383.47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387.35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383.14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377.85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369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355.11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346.58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351.81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344.47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343.84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340.76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324.1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324.01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322.82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324.87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306.04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288.74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289.1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295.94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299.1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292.32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292.87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284.11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295.93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294.12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291.68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287.08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287.33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285.96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282.62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276.44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256.08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256.69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264.74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310.72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283.07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284.32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299.86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286.39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279.69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275.19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281.59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274.47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273.68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270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266.01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265.49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261.87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263.03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260.48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272.36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270.23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267.53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272.39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283.42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283.06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276.16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275.85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281.51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294.06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310.26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319.14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316.56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319.07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331.92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355.683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351.02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359.768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404.878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383.779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392.373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400.51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442.079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433.85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421.873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430.657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424.479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437.93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456.048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469.898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476.666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610.653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675.393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633.71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598.186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585.78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629.7910000000001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631.1660000000001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679.3680000000001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667.3099999999999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655.66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665.38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665.4109999999999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712.653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806.248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803.203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922.298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888.663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889.4880000000001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939.772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829.932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806.62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760.8630000000001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858.6900000000001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928.645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1127.036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1134.724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1117.963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1095.413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1113.337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1148.688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1192.966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1215.81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1342.024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1390.553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1360.46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1374.68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1423.26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1480.89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1512.58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1529.36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1572.75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1759.01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1772.14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1666.43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1739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1639.97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1654.05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1744.82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1675.95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1649.2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1589.04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1598.76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1594.29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1630.31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1744.81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1746.58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1684.762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1671.84782608696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1627.57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1593.08619047619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1487.85727272727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1414.02695652174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1343.35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1285.51565217391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1351.74181818182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1348.6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1316.58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1275.86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1221.5119047619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1244.27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1299.58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1298.45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1288.74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1279.1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1310.59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1295.13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1236.55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1222.49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1175.33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1200.62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1250.75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1227.08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1178.63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1198.93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1198.63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1128.31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1117.93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1124.77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1086.44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1075.74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1097.91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1245.14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1260.95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1336.66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1340.17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1326.61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1266.55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1238.35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1157.36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1192.1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1234.2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1231.42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1266.88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1246.04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1260.26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1236.84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1283.04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1314.07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1281.9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1264.45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1331.3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1330.73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1324.66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1334.76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1303.45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1237.71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1201.71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1198.39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1220.65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1250.4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1320.07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1285.91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1283.7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1412.89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1500.41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1510.58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1494.81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1470.79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1479.13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1683.17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1715.91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1846.51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1968.63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1921.92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1866.3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1858.42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1718.23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1760.04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1850.26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1834.57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1807.84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1785.28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1775.14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1821.76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1790.43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1816.02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1856.3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1947.83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1936.86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1848.5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1836.57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1732.74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1764.56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1680.78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1664.45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1725.07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1797.55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1897.71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1854.54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1912.73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1999.77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1992.13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1942.9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1951.02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1918.7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1915.95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1916.25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1984.11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2026.18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2034.04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2023.24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2158.01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2331.45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2351.13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2326.44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2398.2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2470.15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2570.55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2690.08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2651.13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2648.01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2812.5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2848.5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3122.800048828125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3319.10009765625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3288.89990234375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3307.699951171875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3293.199951171875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3516.10009765625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3873.199951171875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2026-01-10T02:12:20Z</dcterms:created>
  <dcterms:modified xmlns:dcterms="http://purl.org/dc/terms/" xmlns:xsi="http://www.w3.org/2001/XMLSchema-instance" xsi:type="dcterms:W3CDTF">2026-10-07T07:29:25Z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2026-01-10T02:12:23Z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ab89b2e5-d89f-44c6-8e7d-cc245484291e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