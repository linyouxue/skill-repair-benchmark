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vestment" sheetId="2" state="visible" r:id="rId2"/>
    <sheet xmlns:r="http://schemas.openxmlformats.org/officeDocument/2006/relationships" name="CFC data" sheetId="3" state="visible" r:id="rId3"/>
    <sheet xmlns:r="http://schemas.openxmlformats.org/officeDocument/2006/relationships" name="PWT" sheetId="4" state="visible" r:id="rId4"/>
    <sheet xmlns:r="http://schemas.openxmlformats.org/officeDocument/2006/relationships"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>
        <f>'PWT'!B8</f>
        <v/>
      </c>
      <c r="E2">
        <f>C2/D2</f>
        <v/>
      </c>
    </row>
    <row r="3">
      <c r="A3" s="18" t="n">
        <v>35795</v>
      </c>
      <c r="B3" t="n">
        <v>1997</v>
      </c>
      <c r="D3" s="19">
        <f>'PWT'!B9</f>
        <v/>
      </c>
      <c r="E3">
        <f>C3/D3</f>
        <v/>
      </c>
    </row>
    <row r="4">
      <c r="A4" s="18" t="n">
        <v>36160</v>
      </c>
      <c r="B4" t="n">
        <v>1998</v>
      </c>
      <c r="C4" t="n">
        <v>516.397</v>
      </c>
      <c r="D4" s="19">
        <f>'PWT'!B10</f>
        <v/>
      </c>
      <c r="E4">
        <f>C4/D4</f>
        <v/>
      </c>
    </row>
    <row r="5">
      <c r="A5" s="18" t="n">
        <v>36525</v>
      </c>
      <c r="B5" t="n">
        <v>1999</v>
      </c>
      <c r="C5" t="n">
        <v>661.604</v>
      </c>
      <c r="D5" s="19">
        <f>'PWT'!B11</f>
        <v/>
      </c>
      <c r="E5">
        <f>C5/D5</f>
        <v/>
      </c>
    </row>
    <row r="6">
      <c r="A6" s="18" t="n">
        <v>36891</v>
      </c>
      <c r="B6" t="n">
        <v>2000</v>
      </c>
      <c r="C6" t="n">
        <v>631.701</v>
      </c>
      <c r="D6" s="19">
        <f>'PWT'!B12</f>
        <v/>
      </c>
      <c r="E6">
        <f>C6/D6</f>
        <v/>
      </c>
    </row>
    <row r="7">
      <c r="A7" s="18" t="n">
        <v>37256</v>
      </c>
      <c r="B7" t="n">
        <v>2001</v>
      </c>
      <c r="C7" t="n">
        <v>706.984</v>
      </c>
      <c r="D7" s="19">
        <f>'PWT'!B13</f>
        <v/>
      </c>
      <c r="E7">
        <f>C7/D7</f>
        <v/>
      </c>
    </row>
    <row r="8">
      <c r="A8" s="18" t="n">
        <v>37621</v>
      </c>
      <c r="B8" t="n">
        <v>2002</v>
      </c>
      <c r="C8" t="n">
        <v>790.1130000000001</v>
      </c>
      <c r="D8" s="19">
        <f>'PWT'!B14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</v>
      </c>
      <c r="D9" s="19">
        <f>'PWT'!B15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</v>
      </c>
      <c r="D10" s="19">
        <f>'PWT'!B16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1113.4501</v>
      </c>
      <c r="D11" s="19">
        <f>'PWT'!B17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1306.3731</v>
      </c>
      <c r="D12" s="19">
        <f>'PWT'!B18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1617.03</v>
      </c>
      <c r="D13" s="19">
        <f>'PWT'!B19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1758.0493</v>
      </c>
      <c r="D14" s="19">
        <f>'PWT'!B20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1751.3667</v>
      </c>
      <c r="D15" s="19">
        <f>'PWT'!B21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</v>
      </c>
      <c r="D16" s="19">
        <f>'PWT'!B22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</v>
      </c>
      <c r="D17" s="19">
        <f>'PWT'!B23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2643.6029</v>
      </c>
      <c r="D18" s="19">
        <f>'PWT'!B24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1555.9322</v>
      </c>
      <c r="D19" s="19">
        <f>'PWT'!B25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2984.8905</v>
      </c>
      <c r="D20" s="19">
        <f>'PWT'!B26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3657.2807</v>
      </c>
      <c r="D21" s="19">
        <f>'PWT'!B27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</v>
      </c>
      <c r="D22" s="19">
        <f>'PWT'!B28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</v>
      </c>
      <c r="D23" s="19">
        <f>'PWT'!B29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</v>
      </c>
      <c r="D24" s="19">
        <f>'PWT'!B30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5452.9574</v>
      </c>
      <c r="D25" s="19">
        <f>'PWT'!B31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6152.7693</v>
      </c>
      <c r="D26" s="19">
        <f>'PWT'!B32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</v>
      </c>
      <c r="D27" s="19">
        <f>'PWT'!B33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7661.4485</v>
      </c>
      <c r="D28" s="19">
        <f>'PWT'!B34</f>
        <v/>
      </c>
      <c r="E28">
        <f>C28/D28</f>
        <v/>
      </c>
    </row>
    <row r="29">
      <c r="A29" s="18" t="n">
        <v>45291</v>
      </c>
      <c r="B29" t="n">
        <v>2023</v>
      </c>
      <c r="C29" t="n">
        <v>7579.2283</v>
      </c>
      <c r="D29" s="19">
        <f>'PWT'!B35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217572.265625</v>
      </c>
    </row>
    <row r="3">
      <c r="A3" s="19" t="n">
        <v>1991</v>
      </c>
      <c r="B3" s="19" t="n">
        <v>219328.421875</v>
      </c>
    </row>
    <row r="4">
      <c r="A4" s="19" t="n">
        <v>1992</v>
      </c>
      <c r="B4" s="19" t="n">
        <v>215882.453125</v>
      </c>
    </row>
    <row r="5">
      <c r="A5" s="19" t="n">
        <v>1993</v>
      </c>
      <c r="B5" s="19" t="n">
        <v>207684.890625</v>
      </c>
    </row>
    <row r="6">
      <c r="A6" s="19" t="n">
        <v>1994</v>
      </c>
      <c r="B6" s="19" t="n">
        <v>202188.8125</v>
      </c>
    </row>
    <row r="7">
      <c r="A7" s="19" t="n">
        <v>1995</v>
      </c>
      <c r="B7" s="19" t="n">
        <v>198953.859375</v>
      </c>
    </row>
    <row r="8">
      <c r="A8" s="19" t="n">
        <v>1996</v>
      </c>
      <c r="B8" s="19" t="n">
        <v>196366.453125</v>
      </c>
    </row>
    <row r="9">
      <c r="A9" s="19" t="n">
        <v>1997</v>
      </c>
      <c r="B9" s="19" t="n">
        <v>194417.84375</v>
      </c>
    </row>
    <row r="10">
      <c r="A10" s="19" t="n">
        <v>1998</v>
      </c>
      <c r="B10" s="19" t="n">
        <v>194516.296875</v>
      </c>
    </row>
    <row r="11">
      <c r="A11" s="19" t="n">
        <v>1999</v>
      </c>
      <c r="B11" s="19" t="n">
        <v>194964.5625</v>
      </c>
    </row>
    <row r="12">
      <c r="A12" s="19" t="n">
        <v>2000</v>
      </c>
      <c r="B12" s="19" t="n">
        <v>195327.078125</v>
      </c>
    </row>
    <row r="13">
      <c r="A13" s="19" t="n">
        <v>2001</v>
      </c>
      <c r="B13" s="19" t="n">
        <v>196512.453125</v>
      </c>
    </row>
    <row r="14">
      <c r="A14" s="19" t="n">
        <v>2002</v>
      </c>
      <c r="B14" s="19" t="n">
        <v>197317.59375</v>
      </c>
    </row>
    <row r="15">
      <c r="A15" s="19" t="n">
        <v>2003</v>
      </c>
      <c r="B15" s="19" t="n">
        <v>199678.921875</v>
      </c>
    </row>
    <row r="16">
      <c r="A16" s="19" t="n">
        <v>2004</v>
      </c>
      <c r="B16" s="19" t="n">
        <v>202658.8125</v>
      </c>
    </row>
    <row r="17">
      <c r="A17" s="19" t="n">
        <v>2005</v>
      </c>
      <c r="B17" s="19" t="n">
        <v>206400.5</v>
      </c>
    </row>
    <row r="18">
      <c r="A18" s="19" t="n">
        <v>2006</v>
      </c>
      <c r="B18" s="19" t="n">
        <v>209660.25</v>
      </c>
    </row>
    <row r="19">
      <c r="A19" s="19" t="n">
        <v>2007</v>
      </c>
      <c r="B19" s="19" t="n">
        <v>213821.375</v>
      </c>
    </row>
    <row r="20">
      <c r="A20" s="19" t="n">
        <v>2008</v>
      </c>
      <c r="B20" s="19" t="n">
        <v>215825.90625</v>
      </c>
    </row>
    <row r="21">
      <c r="A21" s="19" t="n">
        <v>2009</v>
      </c>
      <c r="B21" s="19" t="n">
        <v>214505.90625</v>
      </c>
    </row>
    <row r="22">
      <c r="A22" s="19" t="n">
        <v>2010</v>
      </c>
      <c r="B22" s="19" t="n">
        <v>215740.28125</v>
      </c>
    </row>
    <row r="23">
      <c r="A23" s="19" t="n">
        <v>2011</v>
      </c>
      <c r="B23" s="19" t="n">
        <v>218333.703125</v>
      </c>
    </row>
    <row r="24">
      <c r="A24" s="19" t="n">
        <v>2012</v>
      </c>
      <c r="B24" s="19" t="n">
        <v>221570.09375</v>
      </c>
    </row>
    <row r="25">
      <c r="A25" s="19" t="n">
        <v>2013</v>
      </c>
      <c r="B25" s="19" t="n">
        <v>223431.875</v>
      </c>
    </row>
    <row r="26">
      <c r="A26" s="19" t="n">
        <v>2014</v>
      </c>
      <c r="B26" s="19" t="n">
        <v>227911.96875</v>
      </c>
    </row>
    <row r="27">
      <c r="A27" s="19" t="n">
        <v>2015</v>
      </c>
      <c r="B27" s="19" t="n">
        <v>234164.859375</v>
      </c>
    </row>
    <row r="28">
      <c r="A28" s="19" t="n">
        <v>2016</v>
      </c>
      <c r="B28" s="19" t="n">
        <v>241138.375</v>
      </c>
    </row>
    <row r="29">
      <c r="A29" s="19" t="n">
        <v>2017</v>
      </c>
      <c r="B29" s="19" t="n">
        <v>248033.09375</v>
      </c>
    </row>
    <row r="30">
      <c r="A30" s="19" t="n">
        <v>2018</v>
      </c>
      <c r="B30" s="19" t="n">
        <v>254809.796875</v>
      </c>
    </row>
    <row r="31">
      <c r="A31" s="19" t="n">
        <v>2019</v>
      </c>
      <c r="B31" s="19" t="n">
        <v>264125.5625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6549.95</v>
      </c>
      <c r="D8" t="n">
        <v>1.8</v>
      </c>
    </row>
    <row r="9">
      <c r="B9" t="n">
        <v>2001</v>
      </c>
      <c r="C9" t="n">
        <v>6858.98</v>
      </c>
      <c r="D9" t="n">
        <v>4.7</v>
      </c>
    </row>
    <row r="10">
      <c r="B10" t="n">
        <v>2002</v>
      </c>
      <c r="C10" t="n">
        <v>7233.15</v>
      </c>
      <c r="D10" t="n">
        <v>5.5</v>
      </c>
    </row>
    <row r="11">
      <c r="B11" t="n">
        <v>2003</v>
      </c>
      <c r="C11" t="n">
        <v>8038.5</v>
      </c>
      <c r="D11" t="n">
        <v>11.1</v>
      </c>
    </row>
    <row r="12">
      <c r="B12" t="n">
        <v>2004</v>
      </c>
      <c r="C12" t="n">
        <v>8509.73</v>
      </c>
      <c r="D12" t="n">
        <v>5.9</v>
      </c>
    </row>
    <row r="13">
      <c r="B13" t="n">
        <v>2005</v>
      </c>
      <c r="C13" t="n">
        <v>9329.83</v>
      </c>
      <c r="D13" t="n">
        <v>9.6</v>
      </c>
    </row>
    <row r="14">
      <c r="B14" t="n">
        <v>2006</v>
      </c>
      <c r="C14" t="n">
        <v>10204.09</v>
      </c>
      <c r="D14" t="n">
        <v>9.4</v>
      </c>
    </row>
    <row r="15">
      <c r="B15" t="n">
        <v>2007</v>
      </c>
      <c r="C15" t="n">
        <v>11488.75</v>
      </c>
      <c r="D15" t="n">
        <v>12.6</v>
      </c>
    </row>
    <row r="16">
      <c r="B16" t="n">
        <v>2008</v>
      </c>
      <c r="C16" t="n">
        <v>11762.61</v>
      </c>
      <c r="D16" t="n">
        <v>2.4</v>
      </c>
    </row>
    <row r="17">
      <c r="B17" t="n">
        <v>2009</v>
      </c>
      <c r="C17" t="n">
        <v>11327.24</v>
      </c>
      <c r="D17" t="n">
        <v>-3.7</v>
      </c>
    </row>
    <row r="18">
      <c r="B18" t="n">
        <v>2010</v>
      </c>
      <c r="C18" t="n">
        <v>12030.13</v>
      </c>
      <c r="D18" t="n">
        <v>6.2</v>
      </c>
    </row>
    <row r="19">
      <c r="B19" t="n">
        <v>2011</v>
      </c>
      <c r="C19" t="n">
        <v>12920.61</v>
      </c>
      <c r="D19" t="n">
        <v>7.4</v>
      </c>
    </row>
    <row r="20">
      <c r="B20" t="n">
        <v>2012</v>
      </c>
      <c r="C20" t="n">
        <v>13876.19</v>
      </c>
      <c r="D20" t="n">
        <v>7.4</v>
      </c>
    </row>
    <row r="21">
      <c r="B21" t="n">
        <v>2013</v>
      </c>
      <c r="C21" t="n">
        <v>14376.17</v>
      </c>
      <c r="D21" t="n">
        <v>3.6</v>
      </c>
    </row>
    <row r="22">
      <c r="B22" t="n">
        <v>2014</v>
      </c>
      <c r="C22" t="n">
        <v>15004.91</v>
      </c>
      <c r="D22" t="n">
        <v>4.4</v>
      </c>
    </row>
    <row r="23">
      <c r="B23" t="n">
        <v>2015</v>
      </c>
      <c r="C23" t="n">
        <v>15456.24</v>
      </c>
      <c r="D23" t="n">
        <v>3</v>
      </c>
    </row>
    <row r="24">
      <c r="B24" t="n">
        <v>2016</v>
      </c>
      <c r="C24" t="n">
        <v>15904.75</v>
      </c>
      <c r="D24" t="n">
        <v>2.9</v>
      </c>
    </row>
    <row r="25">
      <c r="B25" t="n">
        <v>2017</v>
      </c>
      <c r="C25" t="n">
        <v>16661.35</v>
      </c>
      <c r="D25" t="n">
        <v>4.8</v>
      </c>
    </row>
    <row r="26">
      <c r="B26" t="n">
        <v>2018</v>
      </c>
      <c r="C26" t="n">
        <v>17454.49</v>
      </c>
      <c r="D26" t="n">
        <v>4.8</v>
      </c>
    </row>
    <row r="27">
      <c r="B27" t="n">
        <v>2019</v>
      </c>
      <c r="C27" t="n">
        <v>18322.95</v>
      </c>
      <c r="D27" t="n">
        <v>5</v>
      </c>
    </row>
    <row r="28">
      <c r="B28" t="n">
        <v>2020</v>
      </c>
      <c r="C28" t="n">
        <v>17079.23</v>
      </c>
      <c r="D28" t="n">
        <v>-6.8</v>
      </c>
    </row>
    <row r="29">
      <c r="B29" t="n">
        <v>2021</v>
      </c>
      <c r="C29" t="n">
        <v>18873.34</v>
      </c>
      <c r="D29" t="n">
        <v>10.5</v>
      </c>
    </row>
    <row r="30">
      <c r="B30" t="n">
        <v>2022</v>
      </c>
      <c r="C30" t="n">
        <v>20836.87</v>
      </c>
      <c r="D30" t="n">
        <v>10.4</v>
      </c>
    </row>
    <row r="31">
      <c r="B31" t="n">
        <v>2023</v>
      </c>
      <c r="C31" t="n">
        <v>22400.99</v>
      </c>
      <c r="D31" t="n">
        <v>7.5</v>
      </c>
    </row>
    <row r="32">
      <c r="B32" t="n">
        <v>2024</v>
      </c>
      <c r="C32" t="n">
        <v>23602.83</v>
      </c>
      <c r="D32" t="n">
        <v>5.4</v>
      </c>
    </row>
    <row r="33">
      <c r="B33" t="n">
        <v>2025</v>
      </c>
      <c r="C33" t="n">
        <v>24716.48</v>
      </c>
      <c r="D33" t="n">
        <v>4.7</v>
      </c>
    </row>
    <row r="34">
      <c r="B34" t="n">
        <v>2026</v>
      </c>
      <c r="C34" t="n">
        <v>25828.61</v>
      </c>
      <c r="D34" t="n">
        <v>4.5</v>
      </c>
    </row>
    <row r="35">
      <c r="B35" t="n">
        <v>2027</v>
      </c>
      <c r="C35" t="n">
        <v>26990.87</v>
      </c>
      <c r="D35" t="n">
        <v>4.5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D36</f>
        <v/>
      </c>
    </row>
    <row r="38">
      <c r="B38" t="n">
        <v>2030</v>
      </c>
      <c r="C38">
        <f>C37*(1+D38/100)</f>
        <v/>
      </c>
      <c r="D38">
        <f>D37</f>
        <v/>
      </c>
    </row>
    <row r="39">
      <c r="B39" t="n">
        <v>2031</v>
      </c>
      <c r="C39">
        <f>C38*(1+D39/100)</f>
        <v/>
      </c>
      <c r="D39">
        <f>D38</f>
        <v/>
      </c>
    </row>
    <row r="40">
      <c r="B40" t="n">
        <v>2032</v>
      </c>
      <c r="C40">
        <f>C39*(1+D40/100)</f>
        <v/>
      </c>
      <c r="D40">
        <f>D39</f>
        <v/>
      </c>
    </row>
    <row r="41">
      <c r="B41" t="n">
        <v>2033</v>
      </c>
      <c r="C41">
        <f>C40*(1+D41/100)</f>
        <v/>
      </c>
      <c r="D41">
        <f>D40</f>
        <v/>
      </c>
    </row>
    <row r="42">
      <c r="B42" t="n">
        <v>2034</v>
      </c>
      <c r="C42">
        <f>C41*(1+D42/100)</f>
        <v/>
      </c>
      <c r="D42">
        <f>D41</f>
        <v/>
      </c>
    </row>
    <row r="43">
      <c r="B43" t="n">
        <v>2035</v>
      </c>
      <c r="C43">
        <f>C42*(1+D43/100)</f>
        <v/>
      </c>
      <c r="D43">
        <f>D42</f>
        <v/>
      </c>
    </row>
    <row r="44">
      <c r="B44" t="n">
        <v>2036</v>
      </c>
      <c r="C44">
        <f>C43*(1+D44/100)</f>
        <v/>
      </c>
      <c r="D44">
        <f>D43</f>
        <v/>
      </c>
    </row>
    <row r="45">
      <c r="B45" t="n">
        <v>2037</v>
      </c>
      <c r="C45">
        <f>C44*(1+D45/100)</f>
        <v/>
      </c>
      <c r="D45">
        <f>D44</f>
        <v/>
      </c>
    </row>
    <row r="46">
      <c r="B46" t="n">
        <v>2038</v>
      </c>
      <c r="C46">
        <f>C45*(1+D46/100)</f>
        <v/>
      </c>
      <c r="D46">
        <f>D45</f>
        <v/>
      </c>
    </row>
    <row r="47">
      <c r="B47" t="n">
        <v>2039</v>
      </c>
      <c r="C47">
        <f>C46*(1+D47/100)</f>
        <v/>
      </c>
      <c r="D47">
        <f>D46</f>
        <v/>
      </c>
    </row>
    <row r="48">
      <c r="B48" t="n">
        <v>2040</v>
      </c>
      <c r="C48">
        <f>C47*(1+D48/100)</f>
        <v/>
      </c>
      <c r="D48">
        <f>D47</f>
        <v/>
      </c>
    </row>
    <row r="49">
      <c r="B49" t="n">
        <v>2041</v>
      </c>
      <c r="C49">
        <f>C48*(1+D49/100)</f>
        <v/>
      </c>
      <c r="D49">
        <f>D48</f>
        <v/>
      </c>
    </row>
    <row r="50">
      <c r="B50" t="n">
        <v>2042</v>
      </c>
      <c r="C50">
        <f>C49*(1+D50/100)</f>
        <v/>
      </c>
      <c r="D50">
        <f>D49</f>
        <v/>
      </c>
    </row>
    <row r="51">
      <c r="B51" t="n">
        <v>2043</v>
      </c>
      <c r="C51">
        <f>C50*(1+D51/100)</f>
        <v/>
      </c>
      <c r="D51">
        <f>D50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2026-01-19T01:35:29Z</dcterms:created>
  <dcterms:modified xmlns:dcterms="http://purl.org/dc/terms/" xmlns:xsi="http://www.w3.org/2001/XMLSchema-instance" xsi:type="dcterms:W3CDTF">2026-10-07T09:45:41Z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2026-01-19T03:31:25Z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56772174-05a0-49ce-8b7c-60ea98bff72c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