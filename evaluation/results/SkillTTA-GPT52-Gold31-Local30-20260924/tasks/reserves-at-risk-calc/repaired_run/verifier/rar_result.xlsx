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nswer" sheetId="1" state="visible" r:id="rId3"/>
    <sheet name="Gold price" sheetId="2" state="visible" r:id="rId4"/>
    <sheet name="Total Reserves" sheetId="3" state="visible" r:id="rId5"/>
    <sheet name="Value" sheetId="4" state="visible" r:id="rId6"/>
    <sheet name="Volume" sheetId="5" state="visible" r:id="rId7"/>
  </sheets>
  <definedNames>
    <definedName function="false" hidden="false" name="BoxPlot" vbProcedure="false">"BoxPlot"</definedName>
    <definedName function="false" hidden="false" name="Bubble" vbProcedure="false">"Bubble"</definedName>
    <definedName function="false" hidden="false" name="Candlestick" vbProcedure="false">"Candlestick"</definedName>
    <definedName function="false" hidden="false" name="Chart" vbProcedure="false">"Chart"</definedName>
    <definedName function="false" hidden="false" name="ChartImage" vbProcedure="false">"ChartImage"</definedName>
    <definedName function="false" hidden="false" name="ColumnRange" vbProcedure="false">"ColumnRange"</definedName>
    <definedName function="false" hidden="false" name="Dumbbell" vbProcedure="false">"Dumbbell"</definedName>
    <definedName function="false" hidden="false" name="Heatmap" vbProcedure="false">"Heatmap"</definedName>
    <definedName function="false" hidden="false" name="Histogram" vbProcedure="false">"Histogram"</definedName>
    <definedName function="false" hidden="false" name="IQ_CH" vbProcedure="false">110000</definedName>
    <definedName function="false" hidden="false" name="IQ_CQ" vbProcedure="false">5000</definedName>
    <definedName function="false" hidden="false" name="IQ_CY" vbProcedure="false">10000</definedName>
    <definedName function="false" hidden="false" name="IQ_DAILY" vbProcedure="false">500000</definedName>
    <definedName function="false" hidden="true" name="IQ_DNTM" vbProcedure="false">700000</definedName>
    <definedName function="false" hidden="false" name="IQ_FH" vbProcedure="false">100000</definedName>
    <definedName function="false" hidden="false" name="IQ_FQ" vbProcedure="false">500</definedName>
    <definedName function="false" hidden="true" name="IQ_FWD_CY" vbProcedure="false">10001</definedName>
    <definedName function="false" hidden="true" name="IQ_FWD_CY1" vbProcedure="false">10002</definedName>
    <definedName function="false" hidden="true" name="IQ_FWD_CY2" vbProcedure="false">10003</definedName>
    <definedName function="false" hidden="true" name="IQ_FWD_FY" vbProcedure="false">1001</definedName>
    <definedName function="false" hidden="true" name="IQ_FWD_FY1" vbProcedure="false">1002</definedName>
    <definedName function="false" hidden="true" name="IQ_FWD_FY2" vbProcedure="false">1003</definedName>
    <definedName function="false" hidden="true" name="IQ_FWD_Q" vbProcedure="false">501</definedName>
    <definedName function="false" hidden="true" name="IQ_FWD_Q1" vbProcedure="false">502</definedName>
    <definedName function="false" hidden="true" name="IQ_FWD_Q2" vbProcedure="false">503</definedName>
    <definedName function="false" hidden="false" name="IQ_FY" vbProcedure="false">1000</definedName>
    <definedName function="false" hidden="true" name="IQ_LATESTK" vbProcedure="false">1000</definedName>
    <definedName function="false" hidden="true" name="IQ_LATESTQ" vbProcedure="false">500</definedName>
    <definedName function="false" hidden="false" name="IQ_LTM" vbProcedure="false">2000</definedName>
    <definedName function="false" hidden="true" name="IQ_LTMMONTH" vbProcedure="false">120000</definedName>
    <definedName function="false" hidden="false" name="IQ_MONTH" vbProcedure="false">15000</definedName>
    <definedName function="false" hidden="true" name="IQ_MTD" vbProcedure="false">800000</definedName>
    <definedName function="false" hidden="true" name="IQ_NAMES_REVISION_DATE_" vbProcedure="false">45929.7054166667</definedName>
    <definedName function="false" hidden="false" name="IQ_NTM" vbProcedure="false">6000</definedName>
    <definedName function="false" hidden="true" name="IQ_QTD" vbProcedure="false">750000</definedName>
    <definedName function="false" hidden="true" name="IQ_TODAY" vbProcedure="false">0</definedName>
    <definedName function="false" hidden="false" name="IQ_WEEK" vbProcedure="false">50000</definedName>
    <definedName function="false" hidden="false" name="IQ_YTD" vbProcedure="false">3000</definedName>
    <definedName function="false" hidden="true" name="IQ_YTDMONTH" vbProcedure="false">130000</definedName>
    <definedName function="false" hidden="false" name="Map" vbProcedure="false">"Map"</definedName>
    <definedName function="false" hidden="false" name="OHLC" vbProcedure="false">"OHLC"</definedName>
    <definedName function="false" hidden="false" name="PieChart" vbProcedure="false">"PieChart"</definedName>
    <definedName function="false" hidden="false" name="Scatter" vbProcedure="false">"Scatter"</definedName>
    <definedName function="false" hidden="false" name="Series" vbProcedure="false">"Series"</definedName>
    <definedName function="false" hidden="false" name="Stripe" vbProcedure="false">"Stripe"</definedName>
    <definedName function="false" hidden="false" name="Table" vbProcedure="false">"Table"</definedName>
    <definedName function="false" hidden="false" name="TreeMap" vbProcedure="false">"TreeMap"</definedName>
    <definedName function="false" hidden="false" name="Waterfall" vbProcedure="false">"Waterfall"</definedName>
    <definedName function="false" hidden="false" name="_DLX1.USE" vbProcedure="false">#REF!</definedName>
    <definedName function="false" hidden="false" name="_DLX2.USE" vbProcedure="false">Value!$A$1:$R$9</definedName>
    <definedName function="false" hidden="false" name="_DLX3.USE" vbProcedure="false">Volume!$A$1:$L$9</definedName>
    <definedName function="false" hidden="false" name="_DLX4.USE" vbProcedure="false">'Total Reserves'!$A$1:$P$9</definedName>
    <definedName function="false" hidden="false" name="_DLX5.USE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<sst xmlns="http://schemas.openxmlformats.org/spreadsheetml/2006/main" count="878" uniqueCount="627">
  <si>
    <t xml:space="preserve">STEP 1</t>
  </si>
  <si>
    <t xml:space="preserve">Z-score (95% one-sided)</t>
  </si>
  <si>
    <t xml:space="preserve">3-month volatility</t>
  </si>
  <si>
    <t xml:space="preserve">3-month volatility annualized</t>
  </si>
  <si>
    <t xml:space="preserve">12-month volatility</t>
  </si>
  <si>
    <t xml:space="preserve">STEP 2</t>
  </si>
  <si>
    <t xml:space="preserve">Country</t>
  </si>
  <si>
    <t xml:space="preserve">Belarus</t>
  </si>
  <si>
    <t xml:space="preserve">Georgia</t>
  </si>
  <si>
    <t xml:space="preserve">Moldova</t>
  </si>
  <si>
    <t xml:space="preserve">Ukraine</t>
  </si>
  <si>
    <t xml:space="preserve">Uzbekistan</t>
  </si>
  <si>
    <t xml:space="preserve">Czechia</t>
  </si>
  <si>
    <t xml:space="preserve">Latvia</t>
  </si>
  <si>
    <t xml:space="preserve">Lithuania</t>
  </si>
  <si>
    <t xml:space="preserve">Slovakia</t>
  </si>
  <si>
    <t xml:space="preserve">Gold reserves 
(in millions of USD)</t>
  </si>
  <si>
    <t xml:space="preserve">Gold valuation exposure (95% one-sided shock)</t>
  </si>
  <si>
    <t xml:space="preserve">STEP 3</t>
  </si>
  <si>
    <t xml:space="preserve">Total Reserve</t>
  </si>
  <si>
    <t xml:space="preserve">RaR(in percent of total reserves)</t>
  </si>
  <si>
    <t xml:space="preserve">Gold, Fixing Committee of the London Bullion Market Association, London 3 PM fixed price, US$ per troy ounce</t>
  </si>
  <si>
    <t xml:space="preserve">Monthly log return</t>
  </si>
  <si>
    <t xml:space="preserve">1990M1</t>
  </si>
  <si>
    <t xml:space="preserve">1990M2</t>
  </si>
  <si>
    <t xml:space="preserve">1990M3</t>
  </si>
  <si>
    <t xml:space="preserve">1990M4</t>
  </si>
  <si>
    <t xml:space="preserve">1990M5</t>
  </si>
  <si>
    <t xml:space="preserve">1990M6</t>
  </si>
  <si>
    <t xml:space="preserve">1990M7</t>
  </si>
  <si>
    <t xml:space="preserve">1990M8</t>
  </si>
  <si>
    <t xml:space="preserve">1990M9</t>
  </si>
  <si>
    <t xml:space="preserve">1990M10</t>
  </si>
  <si>
    <t xml:space="preserve">1990M11</t>
  </si>
  <si>
    <t xml:space="preserve">1990M12</t>
  </si>
  <si>
    <t xml:space="preserve">1991M1</t>
  </si>
  <si>
    <t xml:space="preserve">1991M2</t>
  </si>
  <si>
    <t xml:space="preserve">1991M3</t>
  </si>
  <si>
    <t xml:space="preserve">1991M4</t>
  </si>
  <si>
    <t xml:space="preserve">1991M5</t>
  </si>
  <si>
    <t xml:space="preserve">1991M6</t>
  </si>
  <si>
    <t xml:space="preserve">1991M7</t>
  </si>
  <si>
    <t xml:space="preserve">1991M8</t>
  </si>
  <si>
    <t xml:space="preserve">1991M9</t>
  </si>
  <si>
    <t xml:space="preserve">1991M10</t>
  </si>
  <si>
    <t xml:space="preserve">1991M11</t>
  </si>
  <si>
    <t xml:space="preserve">1991M12</t>
  </si>
  <si>
    <t xml:space="preserve">1992M1</t>
  </si>
  <si>
    <t xml:space="preserve">1992M2</t>
  </si>
  <si>
    <t xml:space="preserve">1992M3</t>
  </si>
  <si>
    <t xml:space="preserve">1992M4</t>
  </si>
  <si>
    <t xml:space="preserve">1992M5</t>
  </si>
  <si>
    <t xml:space="preserve">1992M6</t>
  </si>
  <si>
    <t xml:space="preserve">1992M7</t>
  </si>
  <si>
    <t xml:space="preserve">1992M8</t>
  </si>
  <si>
    <t xml:space="preserve">1992M9</t>
  </si>
  <si>
    <t xml:space="preserve">1992M10</t>
  </si>
  <si>
    <t xml:space="preserve">1992M11</t>
  </si>
  <si>
    <t xml:space="preserve">1992M12</t>
  </si>
  <si>
    <t xml:space="preserve">1993M1</t>
  </si>
  <si>
    <t xml:space="preserve">1993M2</t>
  </si>
  <si>
    <t xml:space="preserve">1993M3</t>
  </si>
  <si>
    <t xml:space="preserve">1993M4</t>
  </si>
  <si>
    <t xml:space="preserve">1993M5</t>
  </si>
  <si>
    <t xml:space="preserve">1993M6</t>
  </si>
  <si>
    <t xml:space="preserve">1993M7</t>
  </si>
  <si>
    <t xml:space="preserve">1993M8</t>
  </si>
  <si>
    <t xml:space="preserve">1993M9</t>
  </si>
  <si>
    <t xml:space="preserve">1993M10</t>
  </si>
  <si>
    <t xml:space="preserve">1993M11</t>
  </si>
  <si>
    <t xml:space="preserve">1993M12</t>
  </si>
  <si>
    <t xml:space="preserve">1994M1</t>
  </si>
  <si>
    <t xml:space="preserve">1994M2</t>
  </si>
  <si>
    <t xml:space="preserve">1994M3</t>
  </si>
  <si>
    <t xml:space="preserve">1994M4</t>
  </si>
  <si>
    <t xml:space="preserve">1994M5</t>
  </si>
  <si>
    <t xml:space="preserve">1994M6</t>
  </si>
  <si>
    <t xml:space="preserve">1994M7</t>
  </si>
  <si>
    <t xml:space="preserve">1994M8</t>
  </si>
  <si>
    <t xml:space="preserve">1994M9</t>
  </si>
  <si>
    <t xml:space="preserve">1994M10</t>
  </si>
  <si>
    <t xml:space="preserve">1994M11</t>
  </si>
  <si>
    <t xml:space="preserve">1994M12</t>
  </si>
  <si>
    <t xml:space="preserve">1995M1</t>
  </si>
  <si>
    <t xml:space="preserve">1995M2</t>
  </si>
  <si>
    <t xml:space="preserve">1995M3</t>
  </si>
  <si>
    <t xml:space="preserve">1995M4</t>
  </si>
  <si>
    <t xml:space="preserve">1995M5</t>
  </si>
  <si>
    <t xml:space="preserve">1995M6</t>
  </si>
  <si>
    <t xml:space="preserve">1995M7</t>
  </si>
  <si>
    <t xml:space="preserve">1995M8</t>
  </si>
  <si>
    <t xml:space="preserve">1995M9</t>
  </si>
  <si>
    <t xml:space="preserve">1995M10</t>
  </si>
  <si>
    <t xml:space="preserve">1995M11</t>
  </si>
  <si>
    <t xml:space="preserve">1995M12</t>
  </si>
  <si>
    <t xml:space="preserve">1996M1</t>
  </si>
  <si>
    <t xml:space="preserve">1996M2</t>
  </si>
  <si>
    <t xml:space="preserve">1996M3</t>
  </si>
  <si>
    <t xml:space="preserve">1996M4</t>
  </si>
  <si>
    <t xml:space="preserve">1996M5</t>
  </si>
  <si>
    <t xml:space="preserve">1996M6</t>
  </si>
  <si>
    <t xml:space="preserve">1996M7</t>
  </si>
  <si>
    <t xml:space="preserve">1996M8</t>
  </si>
  <si>
    <t xml:space="preserve">1996M9</t>
  </si>
  <si>
    <t xml:space="preserve">1996M10</t>
  </si>
  <si>
    <t xml:space="preserve">1996M11</t>
  </si>
  <si>
    <t xml:space="preserve">1996M12</t>
  </si>
  <si>
    <t xml:space="preserve">1997M1</t>
  </si>
  <si>
    <t xml:space="preserve">1997M2</t>
  </si>
  <si>
    <t xml:space="preserve">1997M3</t>
  </si>
  <si>
    <t xml:space="preserve">1997M4</t>
  </si>
  <si>
    <t xml:space="preserve">1997M5</t>
  </si>
  <si>
    <t xml:space="preserve">1997M6</t>
  </si>
  <si>
    <t xml:space="preserve">1997M7</t>
  </si>
  <si>
    <t xml:space="preserve">1997M8</t>
  </si>
  <si>
    <t xml:space="preserve">1997M9</t>
  </si>
  <si>
    <t xml:space="preserve">1997M10</t>
  </si>
  <si>
    <t xml:space="preserve">1997M11</t>
  </si>
  <si>
    <t xml:space="preserve">1997M12</t>
  </si>
  <si>
    <t xml:space="preserve">1998M1</t>
  </si>
  <si>
    <t xml:space="preserve">1998M2</t>
  </si>
  <si>
    <t xml:space="preserve">1998M3</t>
  </si>
  <si>
    <t xml:space="preserve">1998M4</t>
  </si>
  <si>
    <t xml:space="preserve">1998M5</t>
  </si>
  <si>
    <t xml:space="preserve">1998M6</t>
  </si>
  <si>
    <t xml:space="preserve">1998M7</t>
  </si>
  <si>
    <t xml:space="preserve">1998M8</t>
  </si>
  <si>
    <t xml:space="preserve">1998M9</t>
  </si>
  <si>
    <t xml:space="preserve">1998M10</t>
  </si>
  <si>
    <t xml:space="preserve">1998M11</t>
  </si>
  <si>
    <t xml:space="preserve">1998M12</t>
  </si>
  <si>
    <t xml:space="preserve">1999M1</t>
  </si>
  <si>
    <t xml:space="preserve">1999M2</t>
  </si>
  <si>
    <t xml:space="preserve">1999M3</t>
  </si>
  <si>
    <t xml:space="preserve">1999M4</t>
  </si>
  <si>
    <t xml:space="preserve">1999M5</t>
  </si>
  <si>
    <t xml:space="preserve">1999M6</t>
  </si>
  <si>
    <t xml:space="preserve">1999M7</t>
  </si>
  <si>
    <t xml:space="preserve">1999M8</t>
  </si>
  <si>
    <t xml:space="preserve">1999M9</t>
  </si>
  <si>
    <t xml:space="preserve">1999M10</t>
  </si>
  <si>
    <t xml:space="preserve">1999M11</t>
  </si>
  <si>
    <t xml:space="preserve">1999M12</t>
  </si>
  <si>
    <t xml:space="preserve">2000M1</t>
  </si>
  <si>
    <t xml:space="preserve">2000M2</t>
  </si>
  <si>
    <t xml:space="preserve">2000M3</t>
  </si>
  <si>
    <t xml:space="preserve">2000M4</t>
  </si>
  <si>
    <t xml:space="preserve">2000M5</t>
  </si>
  <si>
    <t xml:space="preserve">2000M6</t>
  </si>
  <si>
    <t xml:space="preserve">2000M7</t>
  </si>
  <si>
    <t xml:space="preserve">2000M8</t>
  </si>
  <si>
    <t xml:space="preserve">2000M9</t>
  </si>
  <si>
    <t xml:space="preserve">2000M10</t>
  </si>
  <si>
    <t xml:space="preserve">2000M11</t>
  </si>
  <si>
    <t xml:space="preserve">2000M12</t>
  </si>
  <si>
    <t xml:space="preserve">2001M1</t>
  </si>
  <si>
    <t xml:space="preserve">2001M2</t>
  </si>
  <si>
    <t xml:space="preserve">2001M3</t>
  </si>
  <si>
    <t xml:space="preserve">2001M4</t>
  </si>
  <si>
    <t xml:space="preserve">2001M5</t>
  </si>
  <si>
    <t xml:space="preserve">2001M6</t>
  </si>
  <si>
    <t xml:space="preserve">2001M7</t>
  </si>
  <si>
    <t xml:space="preserve">2001M8</t>
  </si>
  <si>
    <t xml:space="preserve">2001M9</t>
  </si>
  <si>
    <t xml:space="preserve">2001M10</t>
  </si>
  <si>
    <t xml:space="preserve">2001M11</t>
  </si>
  <si>
    <t xml:space="preserve">2001M12</t>
  </si>
  <si>
    <t xml:space="preserve">2002M1</t>
  </si>
  <si>
    <t xml:space="preserve">2002M2</t>
  </si>
  <si>
    <t xml:space="preserve">2002M3</t>
  </si>
  <si>
    <t xml:space="preserve">2002M4</t>
  </si>
  <si>
    <t xml:space="preserve">2002M5</t>
  </si>
  <si>
    <t xml:space="preserve">2002M6</t>
  </si>
  <si>
    <t xml:space="preserve">2002M7</t>
  </si>
  <si>
    <t xml:space="preserve">2002M8</t>
  </si>
  <si>
    <t xml:space="preserve">2002M9</t>
  </si>
  <si>
    <t xml:space="preserve">2002M10</t>
  </si>
  <si>
    <t xml:space="preserve">2002M11</t>
  </si>
  <si>
    <t xml:space="preserve">2002M12</t>
  </si>
  <si>
    <t xml:space="preserve">2003M1</t>
  </si>
  <si>
    <t xml:space="preserve">2003M2</t>
  </si>
  <si>
    <t xml:space="preserve">2003M3</t>
  </si>
  <si>
    <t xml:space="preserve">2003M4</t>
  </si>
  <si>
    <t xml:space="preserve">2003M5</t>
  </si>
  <si>
    <t xml:space="preserve">2003M6</t>
  </si>
  <si>
    <t xml:space="preserve">2003M7</t>
  </si>
  <si>
    <t xml:space="preserve">2003M8</t>
  </si>
  <si>
    <t xml:space="preserve">2003M9</t>
  </si>
  <si>
    <t xml:space="preserve">2003M10</t>
  </si>
  <si>
    <t xml:space="preserve">2003M11</t>
  </si>
  <si>
    <t xml:space="preserve">2003M12</t>
  </si>
  <si>
    <t xml:space="preserve">2004M1</t>
  </si>
  <si>
    <t xml:space="preserve">2004M2</t>
  </si>
  <si>
    <t xml:space="preserve">2004M3</t>
  </si>
  <si>
    <t xml:space="preserve">2004M4</t>
  </si>
  <si>
    <t xml:space="preserve">2004M5</t>
  </si>
  <si>
    <t xml:space="preserve">2004M6</t>
  </si>
  <si>
    <t xml:space="preserve">2004M7</t>
  </si>
  <si>
    <t xml:space="preserve">2004M8</t>
  </si>
  <si>
    <t xml:space="preserve">2004M9</t>
  </si>
  <si>
    <t xml:space="preserve">2004M10</t>
  </si>
  <si>
    <t xml:space="preserve">2004M11</t>
  </si>
  <si>
    <t xml:space="preserve">2004M12</t>
  </si>
  <si>
    <t xml:space="preserve">2005M1</t>
  </si>
  <si>
    <t xml:space="preserve">2005M2</t>
  </si>
  <si>
    <t xml:space="preserve">2005M3</t>
  </si>
  <si>
    <t xml:space="preserve">2005M4</t>
  </si>
  <si>
    <t xml:space="preserve">2005M5</t>
  </si>
  <si>
    <t xml:space="preserve">2005M6</t>
  </si>
  <si>
    <t xml:space="preserve">2005M7</t>
  </si>
  <si>
    <t xml:space="preserve">2005M8</t>
  </si>
  <si>
    <t xml:space="preserve">2005M9</t>
  </si>
  <si>
    <t xml:space="preserve">2005M10</t>
  </si>
  <si>
    <t xml:space="preserve">2005M11</t>
  </si>
  <si>
    <t xml:space="preserve">2005M12</t>
  </si>
  <si>
    <t xml:space="preserve">2006M1</t>
  </si>
  <si>
    <t xml:space="preserve">2006M2</t>
  </si>
  <si>
    <t xml:space="preserve">2006M3</t>
  </si>
  <si>
    <t xml:space="preserve">2006M4</t>
  </si>
  <si>
    <t xml:space="preserve">2006M5</t>
  </si>
  <si>
    <t xml:space="preserve">2006M6</t>
  </si>
  <si>
    <t xml:space="preserve">2006M7</t>
  </si>
  <si>
    <t xml:space="preserve">2006M8</t>
  </si>
  <si>
    <t xml:space="preserve">2006M9</t>
  </si>
  <si>
    <t xml:space="preserve">2006M10</t>
  </si>
  <si>
    <t xml:space="preserve">2006M11</t>
  </si>
  <si>
    <t xml:space="preserve">2006M12</t>
  </si>
  <si>
    <t xml:space="preserve">2007M1</t>
  </si>
  <si>
    <t xml:space="preserve">2007M2</t>
  </si>
  <si>
    <t xml:space="preserve">2007M3</t>
  </si>
  <si>
    <t xml:space="preserve">2007M4</t>
  </si>
  <si>
    <t xml:space="preserve">2007M5</t>
  </si>
  <si>
    <t xml:space="preserve">2007M6</t>
  </si>
  <si>
    <t xml:space="preserve">2007M7</t>
  </si>
  <si>
    <t xml:space="preserve">2007M8</t>
  </si>
  <si>
    <t xml:space="preserve">2007M9</t>
  </si>
  <si>
    <t xml:space="preserve">2007M10</t>
  </si>
  <si>
    <t xml:space="preserve">2007M11</t>
  </si>
  <si>
    <t xml:space="preserve">2007M12</t>
  </si>
  <si>
    <t xml:space="preserve">2008M1</t>
  </si>
  <si>
    <t xml:space="preserve">2008M2</t>
  </si>
  <si>
    <t xml:space="preserve">2008M3</t>
  </si>
  <si>
    <t xml:space="preserve">2008M4</t>
  </si>
  <si>
    <t xml:space="preserve">2008M5</t>
  </si>
  <si>
    <t xml:space="preserve">2008M6</t>
  </si>
  <si>
    <t xml:space="preserve">2008M7</t>
  </si>
  <si>
    <t xml:space="preserve">2008M8</t>
  </si>
  <si>
    <t xml:space="preserve">2008M9</t>
  </si>
  <si>
    <t xml:space="preserve">2008M10</t>
  </si>
  <si>
    <t xml:space="preserve">2008M11</t>
  </si>
  <si>
    <t xml:space="preserve">2008M12</t>
  </si>
  <si>
    <t xml:space="preserve">2009M1</t>
  </si>
  <si>
    <t xml:space="preserve">2009M2</t>
  </si>
  <si>
    <t xml:space="preserve">2009M3</t>
  </si>
  <si>
    <t xml:space="preserve">2009M4</t>
  </si>
  <si>
    <t xml:space="preserve">2009M5</t>
  </si>
  <si>
    <t xml:space="preserve">2009M6</t>
  </si>
  <si>
    <t xml:space="preserve">2009M7</t>
  </si>
  <si>
    <t xml:space="preserve">2009M8</t>
  </si>
  <si>
    <t xml:space="preserve">2009M9</t>
  </si>
  <si>
    <t xml:space="preserve">2009M10</t>
  </si>
  <si>
    <t xml:space="preserve">2009M11</t>
  </si>
  <si>
    <t xml:space="preserve">2009M12</t>
  </si>
  <si>
    <t xml:space="preserve">2010M1</t>
  </si>
  <si>
    <t xml:space="preserve">2010M2</t>
  </si>
  <si>
    <t xml:space="preserve">2010M3</t>
  </si>
  <si>
    <t xml:space="preserve">2010M4</t>
  </si>
  <si>
    <t xml:space="preserve">2010M5</t>
  </si>
  <si>
    <t xml:space="preserve">2010M6</t>
  </si>
  <si>
    <t xml:space="preserve">2010M7</t>
  </si>
  <si>
    <t xml:space="preserve">2010M8</t>
  </si>
  <si>
    <t xml:space="preserve">2010M9</t>
  </si>
  <si>
    <t xml:space="preserve">2010M10</t>
  </si>
  <si>
    <t xml:space="preserve">2010M11</t>
  </si>
  <si>
    <t xml:space="preserve">2010M12</t>
  </si>
  <si>
    <t xml:space="preserve">2011M1</t>
  </si>
  <si>
    <t xml:space="preserve">2011M2</t>
  </si>
  <si>
    <t xml:space="preserve">2011M3</t>
  </si>
  <si>
    <t xml:space="preserve">2011M4</t>
  </si>
  <si>
    <t xml:space="preserve">2011M5</t>
  </si>
  <si>
    <t xml:space="preserve">2011M6</t>
  </si>
  <si>
    <t xml:space="preserve">2011M7</t>
  </si>
  <si>
    <t xml:space="preserve">2011M8</t>
  </si>
  <si>
    <t xml:space="preserve">2011M9</t>
  </si>
  <si>
    <t xml:space="preserve">2011M10</t>
  </si>
  <si>
    <t xml:space="preserve">2011M11</t>
  </si>
  <si>
    <t xml:space="preserve">2011M12</t>
  </si>
  <si>
    <t xml:space="preserve">2012M1</t>
  </si>
  <si>
    <t xml:space="preserve">2012M2</t>
  </si>
  <si>
    <t xml:space="preserve">2012M3</t>
  </si>
  <si>
    <t xml:space="preserve">2012M4</t>
  </si>
  <si>
    <t xml:space="preserve">2012M5</t>
  </si>
  <si>
    <t xml:space="preserve">2012M6</t>
  </si>
  <si>
    <t xml:space="preserve">2012M7</t>
  </si>
  <si>
    <t xml:space="preserve">2012M8</t>
  </si>
  <si>
    <t xml:space="preserve">2012M9</t>
  </si>
  <si>
    <t xml:space="preserve">2012M10</t>
  </si>
  <si>
    <t xml:space="preserve">2012M11</t>
  </si>
  <si>
    <t xml:space="preserve">2012M12</t>
  </si>
  <si>
    <t xml:space="preserve">2013M1</t>
  </si>
  <si>
    <t xml:space="preserve">2013M2</t>
  </si>
  <si>
    <t xml:space="preserve">2013M3</t>
  </si>
  <si>
    <t xml:space="preserve">2013M4</t>
  </si>
  <si>
    <t xml:space="preserve">2013M5</t>
  </si>
  <si>
    <t xml:space="preserve">2013M6</t>
  </si>
  <si>
    <t xml:space="preserve">2013M7</t>
  </si>
  <si>
    <t xml:space="preserve">2013M8</t>
  </si>
  <si>
    <t xml:space="preserve">2013M9</t>
  </si>
  <si>
    <t xml:space="preserve">2013M10</t>
  </si>
  <si>
    <t xml:space="preserve">2013M11</t>
  </si>
  <si>
    <t xml:space="preserve">2013M12</t>
  </si>
  <si>
    <t xml:space="preserve">2014M1</t>
  </si>
  <si>
    <t xml:space="preserve">2014M2</t>
  </si>
  <si>
    <t xml:space="preserve">2014M3</t>
  </si>
  <si>
    <t xml:space="preserve">2014M4</t>
  </si>
  <si>
    <t xml:space="preserve">2014M5</t>
  </si>
  <si>
    <t xml:space="preserve">2014M6</t>
  </si>
  <si>
    <t xml:space="preserve">2014M7</t>
  </si>
  <si>
    <t xml:space="preserve">2014M8</t>
  </si>
  <si>
    <t xml:space="preserve">2014M9</t>
  </si>
  <si>
    <t xml:space="preserve">2014M10</t>
  </si>
  <si>
    <t xml:space="preserve">2014M11</t>
  </si>
  <si>
    <t xml:space="preserve">2014M12</t>
  </si>
  <si>
    <t xml:space="preserve">2015M1</t>
  </si>
  <si>
    <t xml:space="preserve">2015M2</t>
  </si>
  <si>
    <t xml:space="preserve">2015M3</t>
  </si>
  <si>
    <t xml:space="preserve">2015M4</t>
  </si>
  <si>
    <t xml:space="preserve">2015M5</t>
  </si>
  <si>
    <t xml:space="preserve">2015M6</t>
  </si>
  <si>
    <t xml:space="preserve">2015M7</t>
  </si>
  <si>
    <t xml:space="preserve">2015M8</t>
  </si>
  <si>
    <t xml:space="preserve">2015M9</t>
  </si>
  <si>
    <t xml:space="preserve">2015M10</t>
  </si>
  <si>
    <t xml:space="preserve">2015M11</t>
  </si>
  <si>
    <t xml:space="preserve">2015M12</t>
  </si>
  <si>
    <t xml:space="preserve">2016M1</t>
  </si>
  <si>
    <t xml:space="preserve">2016M2</t>
  </si>
  <si>
    <t xml:space="preserve">2016M3</t>
  </si>
  <si>
    <t xml:space="preserve">2016M4</t>
  </si>
  <si>
    <t xml:space="preserve">2016M5</t>
  </si>
  <si>
    <t xml:space="preserve">2016M6</t>
  </si>
  <si>
    <t xml:space="preserve">2016M7</t>
  </si>
  <si>
    <t xml:space="preserve">2016M8</t>
  </si>
  <si>
    <t xml:space="preserve">2016M9</t>
  </si>
  <si>
    <t xml:space="preserve">2016M10</t>
  </si>
  <si>
    <t xml:space="preserve">2016M11</t>
  </si>
  <si>
    <t xml:space="preserve">2016M12</t>
  </si>
  <si>
    <t xml:space="preserve">2017M1</t>
  </si>
  <si>
    <t xml:space="preserve">2017M2</t>
  </si>
  <si>
    <t xml:space="preserve">2017M3</t>
  </si>
  <si>
    <t xml:space="preserve">2017M4</t>
  </si>
  <si>
    <t xml:space="preserve">2017M5</t>
  </si>
  <si>
    <t xml:space="preserve">2017M6</t>
  </si>
  <si>
    <t xml:space="preserve">2017M7</t>
  </si>
  <si>
    <t xml:space="preserve">2017M8</t>
  </si>
  <si>
    <t xml:space="preserve">2017M9</t>
  </si>
  <si>
    <t xml:space="preserve">2017M10</t>
  </si>
  <si>
    <t xml:space="preserve">2017M11</t>
  </si>
  <si>
    <t xml:space="preserve">2017M12</t>
  </si>
  <si>
    <t xml:space="preserve">2018M1</t>
  </si>
  <si>
    <t xml:space="preserve">2018M2</t>
  </si>
  <si>
    <t xml:space="preserve">2018M3</t>
  </si>
  <si>
    <t xml:space="preserve">2018M4</t>
  </si>
  <si>
    <t xml:space="preserve">2018M5</t>
  </si>
  <si>
    <t xml:space="preserve">2018M6</t>
  </si>
  <si>
    <t xml:space="preserve">2018M7</t>
  </si>
  <si>
    <t xml:space="preserve">2018M8</t>
  </si>
  <si>
    <t xml:space="preserve">2018M9</t>
  </si>
  <si>
    <t xml:space="preserve">2018M10</t>
  </si>
  <si>
    <t xml:space="preserve">2018M11</t>
  </si>
  <si>
    <t xml:space="preserve">2018M12</t>
  </si>
  <si>
    <t xml:space="preserve">2019M1</t>
  </si>
  <si>
    <t xml:space="preserve">2019M2</t>
  </si>
  <si>
    <t xml:space="preserve">2019M3</t>
  </si>
  <si>
    <t xml:space="preserve">2019M4</t>
  </si>
  <si>
    <t xml:space="preserve">2019M5</t>
  </si>
  <si>
    <t xml:space="preserve">2019M6</t>
  </si>
  <si>
    <t xml:space="preserve">2019M7</t>
  </si>
  <si>
    <t xml:space="preserve">2019M8</t>
  </si>
  <si>
    <t xml:space="preserve">2019M9</t>
  </si>
  <si>
    <t xml:space="preserve">2019M10</t>
  </si>
  <si>
    <t xml:space="preserve">2019M11</t>
  </si>
  <si>
    <t xml:space="preserve">2019M12</t>
  </si>
  <si>
    <t xml:space="preserve">2020M1</t>
  </si>
  <si>
    <t xml:space="preserve">2020M2</t>
  </si>
  <si>
    <t xml:space="preserve">2020M3</t>
  </si>
  <si>
    <t xml:space="preserve">2020M4</t>
  </si>
  <si>
    <t xml:space="preserve">2020M5</t>
  </si>
  <si>
    <t xml:space="preserve">2020M6</t>
  </si>
  <si>
    <t xml:space="preserve">2020M7</t>
  </si>
  <si>
    <t xml:space="preserve">2020M8</t>
  </si>
  <si>
    <t xml:space="preserve">2020M9</t>
  </si>
  <si>
    <t xml:space="preserve">2020M10</t>
  </si>
  <si>
    <t xml:space="preserve">2020M11</t>
  </si>
  <si>
    <t xml:space="preserve">2020M12</t>
  </si>
  <si>
    <t xml:space="preserve">2021M1</t>
  </si>
  <si>
    <t xml:space="preserve">2021M2</t>
  </si>
  <si>
    <t xml:space="preserve">2021M3</t>
  </si>
  <si>
    <t xml:space="preserve">2021M4</t>
  </si>
  <si>
    <t xml:space="preserve">2021M5</t>
  </si>
  <si>
    <t xml:space="preserve">2021M6</t>
  </si>
  <si>
    <t xml:space="preserve">2021M7</t>
  </si>
  <si>
    <t xml:space="preserve">2021M8</t>
  </si>
  <si>
    <t xml:space="preserve">2021M9</t>
  </si>
  <si>
    <t xml:space="preserve">2021M10</t>
  </si>
  <si>
    <t xml:space="preserve">2021M11</t>
  </si>
  <si>
    <t xml:space="preserve">2021M12</t>
  </si>
  <si>
    <t xml:space="preserve">2022M1</t>
  </si>
  <si>
    <t xml:space="preserve">2022M2</t>
  </si>
  <si>
    <t xml:space="preserve">2022M3</t>
  </si>
  <si>
    <t xml:space="preserve">2022M4</t>
  </si>
  <si>
    <t xml:space="preserve">2022M5</t>
  </si>
  <si>
    <t xml:space="preserve">2022M6</t>
  </si>
  <si>
    <t xml:space="preserve">2022M7</t>
  </si>
  <si>
    <t xml:space="preserve">2022M8</t>
  </si>
  <si>
    <t xml:space="preserve">2022M9</t>
  </si>
  <si>
    <t xml:space="preserve">2022M10</t>
  </si>
  <si>
    <t xml:space="preserve">2022M11</t>
  </si>
  <si>
    <t xml:space="preserve">2022M12</t>
  </si>
  <si>
    <t xml:space="preserve">2023M1</t>
  </si>
  <si>
    <t xml:space="preserve">2023M2</t>
  </si>
  <si>
    <t xml:space="preserve">2023M3</t>
  </si>
  <si>
    <t xml:space="preserve">2023M4</t>
  </si>
  <si>
    <t xml:space="preserve">2023M5</t>
  </si>
  <si>
    <t xml:space="preserve">2023M6</t>
  </si>
  <si>
    <t xml:space="preserve">2023M7</t>
  </si>
  <si>
    <t xml:space="preserve">2023M8</t>
  </si>
  <si>
    <t xml:space="preserve">2023M9</t>
  </si>
  <si>
    <t xml:space="preserve">2023M10</t>
  </si>
  <si>
    <t xml:space="preserve">2023M11</t>
  </si>
  <si>
    <t xml:space="preserve">2023M12</t>
  </si>
  <si>
    <t xml:space="preserve">2024M1</t>
  </si>
  <si>
    <t xml:space="preserve">2024M2</t>
  </si>
  <si>
    <t xml:space="preserve">2024M3</t>
  </si>
  <si>
    <t xml:space="preserve">2024M4</t>
  </si>
  <si>
    <t xml:space="preserve">2024M5</t>
  </si>
  <si>
    <t xml:space="preserve">2024M6</t>
  </si>
  <si>
    <t xml:space="preserve">2024M7</t>
  </si>
  <si>
    <t xml:space="preserve">2024M8</t>
  </si>
  <si>
    <t xml:space="preserve">2024M9</t>
  </si>
  <si>
    <t xml:space="preserve">2024M10</t>
  </si>
  <si>
    <t xml:space="preserve">2024M11</t>
  </si>
  <si>
    <t xml:space="preserve">2024M12</t>
  </si>
  <si>
    <t xml:space="preserve">2025M1</t>
  </si>
  <si>
    <t xml:space="preserve">2025M2</t>
  </si>
  <si>
    <t xml:space="preserve">2025M3</t>
  </si>
  <si>
    <t xml:space="preserve">2025M4</t>
  </si>
  <si>
    <t xml:space="preserve">2025M5</t>
  </si>
  <si>
    <t xml:space="preserve">2025M6</t>
  </si>
  <si>
    <t xml:space="preserve">2025M7</t>
  </si>
  <si>
    <t xml:space="preserve">2025M8</t>
  </si>
  <si>
    <t xml:space="preserve">2025M9</t>
  </si>
  <si>
    <t xml:space="preserve">.DESC</t>
  </si>
  <si>
    <t xml:space="preserve">Armenia: Gross International Reserves (EOP, NSA, Mil.US$)</t>
  </si>
  <si>
    <t xml:space="preserve">Belarus: International Reserves: Total Reserves (NSA, EOP, Mil.US$)</t>
  </si>
  <si>
    <t xml:space="preserve">Georgia: Official Reserve Assets (EOP, Mil.US$)</t>
  </si>
  <si>
    <t xml:space="preserve">Kazakhstan: Gross International Reserves (NSA, EOP, Mil.US$)</t>
  </si>
  <si>
    <t xml:space="preserve">Kyrgyz Republic: Gross International Reserves (EOP, NSA, Mil.US$)</t>
  </si>
  <si>
    <t xml:space="preserve">Moldova: Official Reserve Assets (EOP, NSA, Mil.US$)</t>
  </si>
  <si>
    <t xml:space="preserve">Uzbekistan: Official Reserve Assets (EOP, NSA, Mil.US$)</t>
  </si>
  <si>
    <t xml:space="preserve">Czechia International Reserves (EOP, NSA, Mil.US$)</t>
  </si>
  <si>
    <t xml:space="preserve">Latvia: Official Foreign Reserves (EOP, NSA, Mil.US$)</t>
  </si>
  <si>
    <t xml:space="preserve">Serbia: Official Reserve Assets (EOP, NSA, Mil.EUR)</t>
  </si>
  <si>
    <t xml:space="preserve">Montenegro: Official Reserve Assets (EOP, NSA, Mil.US$)</t>
  </si>
  <si>
    <t xml:space="preserve">Lithuania: Foreign Reserves (EOP, NSA, Mil.US$)</t>
  </si>
  <si>
    <t xml:space="preserve">Croatia: Official Reserve Assets DISC(EOP, NSA, Mil.US$)</t>
  </si>
  <si>
    <t xml:space="preserve">Poland: Official Reserve Assets (EOP, NSA, Mil.PLN)</t>
  </si>
  <si>
    <t xml:space="preserve">.T1</t>
  </si>
  <si>
    <t xml:space="preserve">2003 &lt;- Jan-2003</t>
  </si>
  <si>
    <t xml:space="preserve">2002 &lt;- Dec-2002</t>
  </si>
  <si>
    <t xml:space="preserve">1995 &lt;- Oct-1995</t>
  </si>
  <si>
    <t xml:space="preserve">1993 &lt;- Dec-1993</t>
  </si>
  <si>
    <t xml:space="preserve">2002 &lt;- Jan-2002</t>
  </si>
  <si>
    <t xml:space="preserve">2000 &lt;- Jan-2000</t>
  </si>
  <si>
    <t xml:space="preserve">2013 &lt;- Jan-2013</t>
  </si>
  <si>
    <t xml:space="preserve">1993 &lt;- Jan-1993</t>
  </si>
  <si>
    <t xml:space="preserve">1996 &lt;- Dec-1996</t>
  </si>
  <si>
    <t xml:space="preserve">2004 &lt;- Jan-2004</t>
  </si>
  <si>
    <t xml:space="preserve">2010 &lt;- Jan-2010</t>
  </si>
  <si>
    <t xml:space="preserve">1992 &lt;- Dec-1992</t>
  </si>
  <si>
    <t xml:space="preserve">1999 &lt;- Dec-1999</t>
  </si>
  <si>
    <t xml:space="preserve">.TN</t>
  </si>
  <si>
    <t xml:space="preserve">2025 &lt;- Dec-2025</t>
  </si>
  <si>
    <t xml:space="preserve">2024 &lt;- Nov-2025</t>
  </si>
  <si>
    <t xml:space="preserve">2022 &lt;- Dec-2022</t>
  </si>
  <si>
    <t xml:space="preserve">.LSOURCE</t>
  </si>
  <si>
    <t xml:space="preserve">Central Bank of Armenia</t>
  </si>
  <si>
    <t xml:space="preserve">National Bank of the Republic of Belarus</t>
  </si>
  <si>
    <t xml:space="preserve">National Bank of Georgia</t>
  </si>
  <si>
    <t xml:space="preserve">National Bank of Kazakhstan</t>
  </si>
  <si>
    <t xml:space="preserve">National Bank of the Kyrgyz Republic</t>
  </si>
  <si>
    <t xml:space="preserve">National Bank of Moldova</t>
  </si>
  <si>
    <t xml:space="preserve">Central Bank of Uzbekistan/Haver Analytics</t>
  </si>
  <si>
    <t xml:space="preserve">Czech National Bank</t>
  </si>
  <si>
    <t xml:space="preserve">Bank of Latvia</t>
  </si>
  <si>
    <t xml:space="preserve">National Bank of Serbia</t>
  </si>
  <si>
    <t xml:space="preserve">Central Bank of Montenegro</t>
  </si>
  <si>
    <t xml:space="preserve">Bank of Lithuania</t>
  </si>
  <si>
    <t xml:space="preserve">Discontinued</t>
  </si>
  <si>
    <t xml:space="preserve">National Bank of Poland</t>
  </si>
  <si>
    <t xml:space="preserve">.AGG</t>
  </si>
  <si>
    <t xml:space="preserve">End of Period</t>
  </si>
  <si>
    <t xml:space="preserve">.DTLM</t>
  </si>
  <si>
    <t xml:space="preserve">Jan-12-2026 11:19</t>
  </si>
  <si>
    <t xml:space="preserve">Jan-06-2026 01:32</t>
  </si>
  <si>
    <t xml:space="preserve">Jan-06-2026 07:37</t>
  </si>
  <si>
    <t xml:space="preserve">Jan-14-2026 02:19</t>
  </si>
  <si>
    <t xml:space="preserve">Dec-08-2025 07:29</t>
  </si>
  <si>
    <t xml:space="preserve">Jan-07-2026 08:45</t>
  </si>
  <si>
    <t xml:space="preserve">Jan-07-2026 09:41</t>
  </si>
  <si>
    <t xml:space="preserve">Jan-07-2026 04:18</t>
  </si>
  <si>
    <t xml:space="preserve">Jan-07-2026 04:55</t>
  </si>
  <si>
    <t xml:space="preserve">Dec-30-2025 11:14</t>
  </si>
  <si>
    <t xml:space="preserve">Dec-23-2025 11:52</t>
  </si>
  <si>
    <t xml:space="preserve">Jan-09-2026 12:08</t>
  </si>
  <si>
    <t xml:space="preserve">Feb-20-2023 04:47</t>
  </si>
  <si>
    <t xml:space="preserve">Dec-19-2025 08:02</t>
  </si>
  <si>
    <t xml:space="preserve">.DATA_TYPE</t>
  </si>
  <si>
    <t xml:space="preserve">US$</t>
  </si>
  <si>
    <t xml:space="preserve">?</t>
  </si>
  <si>
    <t xml:space="preserve">LocCur</t>
  </si>
  <si>
    <t xml:space="preserve">.GRPDESC</t>
  </si>
  <si>
    <t xml:space="preserve">Armenia: International Reserves, Monthly</t>
  </si>
  <si>
    <t xml:space="preserve">Belarus: Foreign Reserves, NBB, Monthly</t>
  </si>
  <si>
    <t xml:space="preserve">Georgia: International Reserves, NBG, Monthly</t>
  </si>
  <si>
    <t xml:space="preserve">Kazakhstan: International Reserves, NBK, Monthly</t>
  </si>
  <si>
    <t xml:space="preserve">Kyrgyz Republic: Gross International Reserves, NBKR, Monthly</t>
  </si>
  <si>
    <t xml:space="preserve">Moldova: International Reserves, NBM, Monthly</t>
  </si>
  <si>
    <t xml:space="preserve">Uzbekistan: Economic Indicators, CBU/H, Monthly</t>
  </si>
  <si>
    <t xml:space="preserve">Czech Republic: International Reserves, CNB, Monthly</t>
  </si>
  <si>
    <t xml:space="preserve">Latvia: International Reserves, Bank of Latvia, Monthly</t>
  </si>
  <si>
    <t xml:space="preserve">Serbia: International Reserves and Foreign Liquidity, NBS, Monthly</t>
  </si>
  <si>
    <t xml:space="preserve">Montenegro: Offical Reserves, CBM, Monthly</t>
  </si>
  <si>
    <t xml:space="preserve">Lithuania: Foreign Reserves, BoL, Monthly</t>
  </si>
  <si>
    <t xml:space="preserve">Central/Eastern Europe: Discontinued Series, Monthly</t>
  </si>
  <si>
    <t xml:space="preserve">Poland: Foreign Currency Liquidity, Monthly, National Bank of Poland</t>
  </si>
  <si>
    <t xml:space="preserve">.GEO</t>
  </si>
  <si>
    <t xml:space="preserve">911</t>
  </si>
  <si>
    <t xml:space="preserve">913</t>
  </si>
  <si>
    <t xml:space="preserve">915</t>
  </si>
  <si>
    <t xml:space="preserve">916</t>
  </si>
  <si>
    <t xml:space="preserve">917</t>
  </si>
  <si>
    <t xml:space="preserve">921</t>
  </si>
  <si>
    <t xml:space="preserve">927</t>
  </si>
  <si>
    <t xml:space="preserve">935</t>
  </si>
  <si>
    <t xml:space="preserve">941</t>
  </si>
  <si>
    <t xml:space="preserve">942</t>
  </si>
  <si>
    <t xml:space="preserve">943</t>
  </si>
  <si>
    <t xml:space="preserve">946</t>
  </si>
  <si>
    <t xml:space="preserve">960</t>
  </si>
  <si>
    <t xml:space="preserve">964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</si>
  <si>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</si>
  <si>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</si>
  <si>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</si>
  <si>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</si>
  <si>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</si>
  <si>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</si>
  <si>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</si>
  <si>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</si>
  <si>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</si>
  <si>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Armenia: International Reserves: Gold (EOP, NSA, Mil.US$)</t>
  </si>
  <si>
    <t xml:space="preserve">Belarus: International Reserves: Gold (NSA, EOP, Mil.US$)</t>
  </si>
  <si>
    <t xml:space="preserve">Albania: Reserve Assets: Monetary Gold (EOP, NSA, Mil.US$)</t>
  </si>
  <si>
    <t xml:space="preserve">Georgia: Official Reserve Assets: Gold (EOP, Mil.US$)</t>
  </si>
  <si>
    <t xml:space="preserve">Kazakhstan: Gold Reserves (NSA, EOP, Mil.US$)</t>
  </si>
  <si>
    <t xml:space="preserve">Kyrgyz Rep: Official Reserve Assets: Gold Including Gold Deposits (EOP, Mil.US$)</t>
  </si>
  <si>
    <t xml:space="preserve">Bulgaria: Off Res Assets: Gold [incl Gold Dep &amp; Gold Swapped] (NSA,EOP,Mil.US$)</t>
  </si>
  <si>
    <t xml:space="preserve">Moldova: International Reserves: Gold (EOP, NSA, Mil.US$)</t>
  </si>
  <si>
    <t xml:space="preserve">Russia:Official Res Assets:Gold [Valued at Curr Quots of CBR] (EOP,Mil.US$)</t>
  </si>
  <si>
    <t xml:space="preserve">Ukraine: Foreign Reserves: Gold (EOP, Mil.USD)</t>
  </si>
  <si>
    <t xml:space="preserve">Uzbekistan: International Reserves: Gold (EOP, NSA, Mil.US$)</t>
  </si>
  <si>
    <t xml:space="preserve">Czechia International Reserves: Gold (EOP, NSA, Mil.US$)</t>
  </si>
  <si>
    <t xml:space="preserve">Latvia: Official Foreign Reserves: Gold (EOP, NSA, Mil.US$)</t>
  </si>
  <si>
    <t xml:space="preserve">Serbia: Official Reserve Assets: Gold [Incl Deposits &amp; Swaps](EOP, NSA, Mil.EUR)</t>
  </si>
  <si>
    <t xml:space="preserve">Lithuania: Foreign Reserves: Gold incl Gold Deps &amp; Swapped (EOP, Mil.US$)</t>
  </si>
  <si>
    <t xml:space="preserve">Poland: Official Reserve Assets: Gold [Incl Deposits &amp; Swaps](EOP, NSA, Mil.PLN)</t>
  </si>
  <si>
    <t xml:space="preserve">2003 &lt;- Dec-2003</t>
  </si>
  <si>
    <t xml:space="preserve">2009 &lt;- Jan-2009</t>
  </si>
  <si>
    <t xml:space="preserve">2003 &lt;- Sep-2003</t>
  </si>
  <si>
    <t xml:space="preserve">2016 &lt;- Jan-2016</t>
  </si>
  <si>
    <t xml:space="preserve">2000 &lt;- Apr-2000</t>
  </si>
  <si>
    <t xml:space="preserve">Bank of Albania/Haver Analytics</t>
  </si>
  <si>
    <t xml:space="preserve">Bulgarian National Bank</t>
  </si>
  <si>
    <t xml:space="preserve">Central Bank of the Russian Federation</t>
  </si>
  <si>
    <t xml:space="preserve">National Bank of Ukraine</t>
  </si>
  <si>
    <t xml:space="preserve">Dec-05-2025 07:14</t>
  </si>
  <si>
    <t xml:space="preserve">Dec-31-2025 05:29</t>
  </si>
  <si>
    <t xml:space="preserve">Dec-09-2025 03:47</t>
  </si>
  <si>
    <t xml:space="preserve">Dec-08-2025 06:03</t>
  </si>
  <si>
    <t xml:space="preserve">Dec-15-2025 05:21</t>
  </si>
  <si>
    <t xml:space="preserve">Dec-19-2025 08:04</t>
  </si>
  <si>
    <t xml:space="preserve">Jan-07-2026 10:00</t>
  </si>
  <si>
    <t xml:space="preserve">Albania: Foreign Reserves, BOA/Haver, Monthly</t>
  </si>
  <si>
    <t xml:space="preserve">Kyrgyz Republic: International Reserves, NBKR, Monthly</t>
  </si>
  <si>
    <t xml:space="preserve">Bulgaria: Foreign Reserves, BNB, Monthly</t>
  </si>
  <si>
    <t xml:space="preserve">Russia: Foreign Reserves, CBRF, Monthly</t>
  </si>
  <si>
    <t xml:space="preserve">Ukraine: Foreign Reserves, NBU, Monthly</t>
  </si>
  <si>
    <t xml:space="preserve">914</t>
  </si>
  <si>
    <t xml:space="preserve">918</t>
  </si>
  <si>
    <t xml:space="preserve">922</t>
  </si>
  <si>
    <t xml:space="preserve">926</t>
  </si>
  <si>
    <t xml:space="preserve">Albania: Gold: Volume In Millions of Fine Troy Ounces (EOP,NSA, Mil.US$)</t>
  </si>
  <si>
    <t xml:space="preserve">Kyrgyz Republic: Official Reserve Assets: Gold Volume (EOP, Thous.Troy Ounce)</t>
  </si>
  <si>
    <t xml:space="preserve">Russia: Official Reserve Assets: Gold [Volume] (EOP, Mil.Troy Ounce)</t>
  </si>
  <si>
    <t xml:space="preserve">Uzbekistan: Intl Reserves: Gold [Volume] (EOP, NSA, Mil.Fine Troy Ounces)</t>
  </si>
  <si>
    <t xml:space="preserve">Czechia Intl Reserves: Gold Volume (EOP, NSA, Mil.Troy.Oz)</t>
  </si>
  <si>
    <t xml:space="preserve">Slovakia: Official Reserve Assets: Volume of Gold (EOP,NSA,Mil.Fine Troy Ounces)</t>
  </si>
  <si>
    <t xml:space="preserve">Latvia: Foreign Reserves: Gold Bullion (EOP, NSA, Mil.Troy.Oz)</t>
  </si>
  <si>
    <t xml:space="preserve">Serbia: Official Reserve Assets: Volume of Gold (EOP, NSA, Mil.Fine Troy Ounces)</t>
  </si>
  <si>
    <t xml:space="preserve">Poland: Official Reserve Assets: Volume of Gold (EOP, NSA, Mil.Fine Troy Ounces)</t>
  </si>
  <si>
    <t xml:space="preserve">Romania: Foreign Reserves: Gold (EOP, Mil.Fine Troy Ounces)</t>
  </si>
  <si>
    <t xml:space="preserve">2014 &lt;- Jan-2014</t>
  </si>
  <si>
    <t xml:space="preserve">2004 &lt;- Dec-2004</t>
  </si>
  <si>
    <t xml:space="preserve">2000 &lt;- Mar-2000</t>
  </si>
  <si>
    <t xml:space="preserve">2007 &lt;- Jan-2007</t>
  </si>
  <si>
    <t xml:space="preserve">1979 &lt;- Jan-1979</t>
  </si>
  <si>
    <t xml:space="preserve">National Bank of Slovakia</t>
  </si>
  <si>
    <t xml:space="preserve">Banca Nationala a Romaniei</t>
  </si>
  <si>
    <t xml:space="preserve">Jan-06-2026 17:13</t>
  </si>
  <si>
    <t xml:space="preserve">Jan-05-2026 08:22</t>
  </si>
  <si>
    <t xml:space="preserve">Jan-07-2026 04:54</t>
  </si>
  <si>
    <t xml:space="preserve">Dec-11-2025 03:15</t>
  </si>
  <si>
    <t xml:space="preserve">Units</t>
  </si>
  <si>
    <t xml:space="preserve">Slovakia: Foreign Reserves, NBS, Monthly</t>
  </si>
  <si>
    <t xml:space="preserve">Romania: Foreign Reserves, BNR, Monthly</t>
  </si>
  <si>
    <t xml:space="preserve">936</t>
  </si>
  <si>
    <t xml:space="preserve">968</t>
  </si>
</sst>
</file>

<file path=xl/styles.xml><?xml version="1.0" encoding="utf-8"?>
<styleSheet xmlns="http://schemas.openxmlformats.org/spreadsheetml/2006/main">
  <numFmts count="54">
    <numFmt numFmtId="164" formatCode="General"/>
    <numFmt numFmtId="165" formatCode="&quot;   &quot;@"/>
    <numFmt numFmtId="166" formatCode="&quot;      &quot;@"/>
    <numFmt numFmtId="167" formatCode="&quot;         &quot;@"/>
    <numFmt numFmtId="168" formatCode="&quot;            &quot;@"/>
    <numFmt numFmtId="169" formatCode="&quot;               &quot;@"/>
    <numFmt numFmtId="170" formatCode="#"/>
    <numFmt numFmtId="171" formatCode="_-* #,##0.00&quot; ?.&quot;_-;\-* #,##0.00&quot; ?.&quot;_-;_-* \-??&quot; ?.&quot;_-;_-@_-"/>
    <numFmt numFmtId="172" formatCode="_-* #,##0.00\ _?_._-;\-* #,##0.00\ _?_._-;_-* \-??\ _?_._-;_-@_-"/>
    <numFmt numFmtId="173" formatCode="#\,##0.00"/>
    <numFmt numFmtId="174" formatCode="#.00"/>
    <numFmt numFmtId="175" formatCode="_-* #,##0&quot; d.&quot;_-;\-* #,##0&quot; d.&quot;_-;_-* &quot;- d.&quot;_-;_-@_-"/>
    <numFmt numFmtId="176" formatCode="_-* #,##0.00&quot; d.&quot;_-;\-* #,##0.00&quot; d.&quot;_-;_-* \-??&quot; d.&quot;_-;_-@_-"/>
    <numFmt numFmtId="177" formatCode="0"/>
    <numFmt numFmtId="178" formatCode="_-* #,##0.00_-;\-* #,##0.00_-;_-* \-??_-;_-@_-"/>
    <numFmt numFmtId="179" formatCode="_-* #,##0.00\ _₽_-;\-* #,##0.00\ _₽_-;_-* \-??\ _₽_-;_-@_-"/>
    <numFmt numFmtId="180" formatCode="_(* #,##0.00_);_(* \(#,##0.00\);_(* \-??_);_(@_)"/>
    <numFmt numFmtId="181" formatCode="#,##0.00"/>
    <numFmt numFmtId="182" formatCode="_(* #,##0_);_(* \(#,##0\);_(* \-_);_(@_)"/>
    <numFmt numFmtId="183" formatCode="_-* #,##0\ _₽_-;\-* #,##0\ _₽_-;_-* &quot;- &quot;_₽_-;_-@_-"/>
    <numFmt numFmtId="184" formatCode="_-* #,##0_-;\-* #,##0_-;_-* \-_-;_-@_-"/>
    <numFmt numFmtId="185" formatCode="#,##0"/>
    <numFmt numFmtId="186" formatCode="#,##0.00&quot;р.&quot;;\-#,##0.00&quot;р.&quot;"/>
    <numFmt numFmtId="187" formatCode="\$#,##0\ ;&quot;($&quot;#,##0\)"/>
    <numFmt numFmtId="188" formatCode="_-[$€-2]* #,##0.00_-;\-[$€-2]* #,##0.00_-;_-[$€-2]* \-??_-"/>
    <numFmt numFmtId="189" formatCode="_([$€-2]* #,##0.00_);_([$€-2]* \(#,##0.00\);_([$€-2]* \-??_)"/>
    <numFmt numFmtId="190" formatCode="General_)"/>
    <numFmt numFmtId="191" formatCode="_-* #,##0&quot;р.&quot;_-;\-* #,##0&quot;р.&quot;_-;_-* &quot;-р.&quot;_-;_-@_-"/>
    <numFmt numFmtId="192" formatCode="0.00"/>
    <numFmt numFmtId="193" formatCode="#,##0_);[RED]\(#,##0\)"/>
    <numFmt numFmtId="194" formatCode="#,##0.0"/>
    <numFmt numFmtId="195" formatCode="0.00%"/>
    <numFmt numFmtId="196" formatCode="_(\$* #,##0_);_(\$* \(#,##0\);_(\$* \-_);_(@_)"/>
    <numFmt numFmtId="197" formatCode="_(\$* #,##0.00_);_(\$* \(#,##0.00\);_(\$* \-??_);_(@_)"/>
    <numFmt numFmtId="198" formatCode="_-* #,##0\ _d_._-;\-* #,##0\ _d_._-;_-* &quot;- &quot;_d_._-;_-@_-"/>
    <numFmt numFmtId="199" formatCode="_-* #,##0.00\ _d_._-;\-* #,##0.00\ _d_._-;_-* \-??\ _d_._-;_-@_-"/>
    <numFmt numFmtId="200" formatCode="0%"/>
    <numFmt numFmtId="201" formatCode="[BLACK]#,##0.0;[BLACK]\-#,##0.0;;"/>
    <numFmt numFmtId="202" formatCode="[&gt;0.05][BLACK]#,##0.0;[&lt;-0.05][BLACK]\-#,##0.0;;"/>
    <numFmt numFmtId="203" formatCode="[&gt;0.5][BLACK]#,##0;[&lt;-0.5][BLACK]\-#,##0;;"/>
    <numFmt numFmtId="204" formatCode="\$#.00"/>
    <numFmt numFmtId="205" formatCode="#."/>
    <numFmt numFmtId="206" formatCode="%#.00"/>
    <numFmt numFmtId="207" formatCode="_-* #,##0.00&quot;р.&quot;_-;\-* #,##0.00&quot;р.&quot;_-;_-* \-??&quot;р.&quot;_-;_-@_-"/>
    <numFmt numFmtId="208" formatCode="#,##0.0_р_."/>
    <numFmt numFmtId="209" formatCode="_-* #,##0\ _?_._-;\-* #,##0\ _?_._-;_-* &quot;- &quot;_?_._-;_-@_-"/>
    <numFmt numFmtId="210" formatCode="_-* #,##0.00_р_._-;\-* #,##0.00_р_._-;_-* \-??_р_._-;_-@_-"/>
    <numFmt numFmtId="211" formatCode="_-* #,##0_р_._-;\-* #,##0_р_._-;_-* \-??_р_._-;_-@_-"/>
    <numFmt numFmtId="212" formatCode="&quot;Да&quot;;&quot;Да&quot;;&quot;Нет&quot;"/>
    <numFmt numFmtId="213" formatCode="0.0"/>
    <numFmt numFmtId="214" formatCode="d/m"/>
    <numFmt numFmtId="215" formatCode="0.000"/>
    <numFmt numFmtId="216" formatCode="_-* #,##0_р_._-;\-* #,##0_р_._-;_-* \-_р_._-;_-@_-"/>
    <numFmt numFmtId="217" formatCode="yyyy"/>
  </numFmts>
  <fonts count="105">
    <font>
      <sz val="10"/>
      <color theme="1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name val="Times New Roman"/>
      <family val="1"/>
      <charset val="1"/>
    </font>
    <font>
      <sz val="8"/>
      <name val="Times New Roman"/>
      <family val="1"/>
      <charset val="1"/>
    </font>
    <font>
      <sz val="11"/>
      <color rgb="FF000000"/>
      <name val="Calibri"/>
      <family val="2"/>
      <charset val="1"/>
    </font>
    <font>
      <sz val="11"/>
      <color rgb="FF000000"/>
      <name val="Calibri"/>
      <family val="2"/>
      <charset val="204"/>
    </font>
    <font>
      <sz val="10"/>
      <color rgb="FF000000"/>
      <name val="Arial Cyr"/>
      <family val="2"/>
      <charset val="204"/>
    </font>
    <font>
      <sz val="11"/>
      <color rgb="FFFFFFFF"/>
      <name val="Calibri"/>
      <family val="2"/>
      <charset val="204"/>
    </font>
    <font>
      <sz val="10"/>
      <color rgb="FFFFFFFF"/>
      <name val="Arial Cyr"/>
      <family val="2"/>
      <charset val="204"/>
    </font>
    <font>
      <sz val="12"/>
      <color rgb="FF00FFFF"/>
      <name val="Courier New"/>
      <family val="1"/>
      <charset val="204"/>
    </font>
    <font>
      <sz val="12"/>
      <color rgb="FF00FFFF"/>
      <name val="Courier New"/>
      <family val="3"/>
      <charset val="1"/>
    </font>
    <font>
      <sz val="10"/>
      <color rgb="FF00FFFF"/>
      <name val="Courier New"/>
      <family val="1"/>
      <charset val="204"/>
    </font>
    <font>
      <sz val="10"/>
      <color rgb="FF00FFFF"/>
      <name val="Courier New"/>
      <family val="3"/>
      <charset val="1"/>
    </font>
    <font>
      <u val="single"/>
      <sz val="7.5"/>
      <color rgb="FF0000FF"/>
      <name val="Arial Cyr"/>
      <family val="0"/>
      <charset val="204"/>
    </font>
    <font>
      <u val="single"/>
      <sz val="7.5"/>
      <color rgb="FF800080"/>
      <name val="Arial Cyr"/>
      <family val="0"/>
      <charset val="204"/>
    </font>
    <font>
      <sz val="10"/>
      <name val="Arial Cyr"/>
      <family val="0"/>
      <charset val="204"/>
    </font>
    <font>
      <sz val="1"/>
      <color rgb="FF000000"/>
      <name val="Courier New"/>
      <family val="1"/>
      <charset val="204"/>
    </font>
    <font>
      <sz val="1"/>
      <color rgb="FF000000"/>
      <name val="Courier New"/>
      <family val="3"/>
      <charset val="1"/>
    </font>
    <font>
      <sz val="10"/>
      <name val="Arial"/>
      <family val="2"/>
      <charset val="204"/>
    </font>
    <font>
      <sz val="10"/>
      <name val="Arial"/>
      <family val="2"/>
      <charset val="1"/>
    </font>
    <font>
      <sz val="1"/>
      <color rgb="FF800000"/>
      <name val="Courier New"/>
      <family val="3"/>
      <charset val="1"/>
    </font>
    <font>
      <sz val="1"/>
      <color rgb="FF800000"/>
      <name val="Courier New"/>
      <family val="1"/>
      <charset val="204"/>
    </font>
    <font>
      <sz val="12"/>
      <color rgb="FF000000"/>
      <name val="Courier New"/>
      <family val="1"/>
      <charset val="204"/>
    </font>
    <font>
      <sz val="10"/>
      <name val="Courier New"/>
      <family val="1"/>
      <charset val="204"/>
    </font>
    <font>
      <sz val="10"/>
      <name val="Courier New"/>
      <family val="3"/>
      <charset val="1"/>
    </font>
    <font>
      <sz val="11"/>
      <color rgb="FF800080"/>
      <name val="Calibri"/>
      <family val="2"/>
      <charset val="204"/>
    </font>
    <font>
      <b val="true"/>
      <sz val="11"/>
      <color rgb="FFFF9900"/>
      <name val="Calibri"/>
      <family val="2"/>
      <charset val="204"/>
    </font>
    <font>
      <b val="true"/>
      <sz val="11"/>
      <color rgb="FFFFFFFF"/>
      <name val="Calibri"/>
      <family val="2"/>
      <charset val="204"/>
    </font>
    <font>
      <b val="true"/>
      <sz val="10"/>
      <color rgb="FF000000"/>
      <name val="Verdana"/>
      <family val="2"/>
      <charset val="1"/>
    </font>
    <font>
      <b val="true"/>
      <i val="true"/>
      <sz val="10"/>
      <color rgb="FF000000"/>
      <name val="Verdana"/>
      <family val="2"/>
      <charset val="1"/>
    </font>
    <font>
      <sz val="11"/>
      <color rgb="FF000000"/>
      <name val="Verdana"/>
      <family val="2"/>
      <charset val="1"/>
    </font>
    <font>
      <b val="true"/>
      <sz val="13"/>
      <color rgb="FFFFFFFF"/>
      <name val="Verdana"/>
      <family val="2"/>
      <charset val="1"/>
    </font>
    <font>
      <b val="true"/>
      <sz val="10"/>
      <color rgb="FF666699"/>
      <name val="Verdana"/>
      <family val="2"/>
      <charset val="1"/>
    </font>
    <font>
      <sz val="11"/>
      <color rgb="FF000000"/>
      <name val="Arial"/>
      <family val="2"/>
      <charset val="1"/>
    </font>
    <font>
      <sz val="10"/>
      <name val="Times New Roman"/>
      <family val="1"/>
      <charset val="1"/>
    </font>
    <font>
      <sz val="10"/>
      <name val="Times New Roman"/>
      <family val="1"/>
      <charset val="204"/>
    </font>
    <font>
      <sz val="11"/>
      <color theme="1"/>
      <name val="Aptos Narrow"/>
      <family val="2"/>
      <charset val="204"/>
    </font>
    <font>
      <sz val="11"/>
      <color theme="1"/>
      <name val="Aptos Narrow"/>
      <family val="2"/>
      <charset val="1"/>
    </font>
    <font>
      <sz val="11"/>
      <name val="Arial"/>
      <family val="2"/>
      <charset val="204"/>
    </font>
    <font>
      <sz val="12"/>
      <name val="Times New Roman"/>
      <family val="1"/>
      <charset val="1"/>
    </font>
    <font>
      <b val="true"/>
      <sz val="12"/>
      <name val="Times New Roman"/>
      <family val="1"/>
      <charset val="1"/>
    </font>
    <font>
      <b val="true"/>
      <sz val="12"/>
      <name val="Times New Roman"/>
      <family val="1"/>
      <charset val="204"/>
    </font>
    <font>
      <sz val="12"/>
      <color rgb="FF9999FF"/>
      <name val="Arial"/>
      <family val="2"/>
      <charset val="1"/>
    </font>
    <font>
      <sz val="12"/>
      <name val="Arial"/>
      <family val="2"/>
      <charset val="1"/>
    </font>
    <font>
      <i val="true"/>
      <sz val="11"/>
      <color rgb="FF808080"/>
      <name val="Calibri"/>
      <family val="2"/>
      <charset val="204"/>
    </font>
    <font>
      <i val="true"/>
      <sz val="1"/>
      <color rgb="FF000080"/>
      <name val="Courier New"/>
      <family val="1"/>
      <charset val="204"/>
    </font>
    <font>
      <i val="true"/>
      <sz val="1"/>
      <color rgb="FF000080"/>
      <name val="Courier New"/>
      <family val="3"/>
      <charset val="1"/>
    </font>
    <font>
      <i val="true"/>
      <sz val="1"/>
      <color rgb="FF800000"/>
      <name val="Courier New"/>
      <family val="1"/>
      <charset val="204"/>
    </font>
    <font>
      <i val="true"/>
      <sz val="1"/>
      <color rgb="FF800000"/>
      <name val="Courier New"/>
      <family val="3"/>
      <charset val="1"/>
    </font>
    <font>
      <sz val="11"/>
      <color rgb="FF008000"/>
      <name val="Calibri"/>
      <family val="2"/>
      <charset val="204"/>
    </font>
    <font>
      <sz val="8"/>
      <name val="Arial"/>
      <family val="2"/>
      <charset val="1"/>
    </font>
    <font>
      <b val="true"/>
      <sz val="18"/>
      <name val="Arial"/>
      <family val="2"/>
      <charset val="204"/>
    </font>
    <font>
      <b val="true"/>
      <sz val="12"/>
      <name val="Arial"/>
      <family val="2"/>
      <charset val="204"/>
    </font>
    <font>
      <b val="true"/>
      <sz val="11"/>
      <color rgb="FF003366"/>
      <name val="Calibri"/>
      <family val="2"/>
      <charset val="204"/>
    </font>
    <font>
      <b val="true"/>
      <sz val="12"/>
      <color rgb="FF9999FF"/>
      <name val="Arial"/>
      <family val="2"/>
      <charset val="1"/>
    </font>
    <font>
      <u val="single"/>
      <sz val="7.2"/>
      <color rgb="FF0000FF"/>
      <name val="Arial"/>
      <family val="0"/>
      <charset val="1"/>
    </font>
    <font>
      <u val="single"/>
      <sz val="7.2"/>
      <color rgb="FF800080"/>
      <name val="Arial"/>
      <family val="0"/>
      <charset val="1"/>
    </font>
    <font>
      <sz val="12"/>
      <name val="Arial Cyr"/>
      <family val="0"/>
      <charset val="204"/>
    </font>
    <font>
      <sz val="12"/>
      <name val="Courier New"/>
      <family val="1"/>
      <charset val="204"/>
    </font>
    <font>
      <sz val="12"/>
      <name val="Courier New"/>
      <family val="3"/>
      <charset val="1"/>
    </font>
    <font>
      <sz val="11"/>
      <color rgb="FF333399"/>
      <name val="Calibri"/>
      <family val="2"/>
      <charset val="204"/>
    </font>
    <font>
      <sz val="11"/>
      <color rgb="FFFF9900"/>
      <name val="Calibri"/>
      <family val="2"/>
      <charset val="204"/>
    </font>
    <font>
      <sz val="12"/>
      <name val="Times New Roman"/>
      <family val="0"/>
      <charset val="1"/>
    </font>
    <font>
      <sz val="11"/>
      <color rgb="FF993300"/>
      <name val="Calibri"/>
      <family val="2"/>
      <charset val="204"/>
    </font>
    <font>
      <sz val="11"/>
      <name val="Times New Roman"/>
      <family val="0"/>
      <charset val="1"/>
    </font>
    <font>
      <sz val="10"/>
      <name val="Frutiger LT Std 47 Light Cn"/>
      <family val="2"/>
      <charset val="1"/>
    </font>
    <font>
      <sz val="11"/>
      <color rgb="FF000000"/>
      <name val="Aptos Narrow"/>
      <family val="2"/>
      <charset val="1"/>
    </font>
    <font>
      <sz val="10"/>
      <name val="Arial Cyr"/>
      <family val="2"/>
      <charset val="204"/>
    </font>
    <font>
      <b val="true"/>
      <sz val="11"/>
      <color rgb="FF333333"/>
      <name val="Calibri"/>
      <family val="2"/>
      <charset val="204"/>
    </font>
    <font>
      <sz val="10"/>
      <color rgb="FF000000"/>
      <name val="Arial"/>
      <family val="2"/>
      <charset val="204"/>
    </font>
    <font>
      <b val="true"/>
      <sz val="10"/>
      <color rgb="FF000000"/>
      <name val="Times New Roman"/>
      <family val="1"/>
      <charset val="204"/>
    </font>
    <font>
      <sz val="7"/>
      <color rgb="FF000000"/>
      <name val="Times New Roman"/>
      <family val="1"/>
      <charset val="204"/>
    </font>
    <font>
      <sz val="10"/>
      <name val="MS Sans Serif"/>
      <family val="2"/>
      <charset val="204"/>
    </font>
    <font>
      <b val="true"/>
      <sz val="18"/>
      <color rgb="FF003366"/>
      <name val="Cambria"/>
      <family val="2"/>
      <charset val="204"/>
    </font>
    <font>
      <sz val="11"/>
      <color rgb="FFFF0000"/>
      <name val="Calibri"/>
      <family val="2"/>
      <charset val="204"/>
    </font>
    <font>
      <sz val="12"/>
      <color rgb="FF000000"/>
      <name val="Courier New"/>
      <family val="3"/>
      <charset val="1"/>
    </font>
    <font>
      <b val="true"/>
      <sz val="1"/>
      <color rgb="FF800000"/>
      <name val="Courier New"/>
      <family val="3"/>
      <charset val="1"/>
    </font>
    <font>
      <b val="true"/>
      <sz val="18"/>
      <color rgb="FF000000"/>
      <name val="Courier New"/>
      <family val="3"/>
      <charset val="1"/>
    </font>
    <font>
      <b val="true"/>
      <sz val="12"/>
      <color rgb="FF000000"/>
      <name val="Courier New"/>
      <family val="3"/>
      <charset val="1"/>
    </font>
    <font>
      <sz val="10"/>
      <color rgb="FF000000"/>
      <name val="Courier New"/>
      <family val="3"/>
      <charset val="1"/>
    </font>
    <font>
      <sz val="10"/>
      <color rgb="FF000000"/>
      <name val="Courier New"/>
      <family val="1"/>
      <charset val="204"/>
    </font>
    <font>
      <sz val="10"/>
      <color rgb="FF333399"/>
      <name val="Arial Cyr"/>
      <family val="2"/>
      <charset val="204"/>
    </font>
    <font>
      <b val="true"/>
      <sz val="10"/>
      <color rgb="FF333333"/>
      <name val="Arial Cyr"/>
      <family val="2"/>
      <charset val="204"/>
    </font>
    <font>
      <b val="true"/>
      <sz val="10"/>
      <color rgb="FFFF9900"/>
      <name val="Arial Cyr"/>
      <family val="2"/>
      <charset val="204"/>
    </font>
    <font>
      <sz val="11"/>
      <color rgb="FF000000"/>
      <name val="Times New Roman"/>
      <family val="2"/>
      <charset val="204"/>
    </font>
    <font>
      <b val="true"/>
      <sz val="15"/>
      <color rgb="FF003366"/>
      <name val="Arial Cyr"/>
      <family val="2"/>
      <charset val="204"/>
    </font>
    <font>
      <b val="true"/>
      <sz val="13"/>
      <color rgb="FF003366"/>
      <name val="Arial Cyr"/>
      <family val="2"/>
      <charset val="204"/>
    </font>
    <font>
      <b val="true"/>
      <sz val="11"/>
      <color rgb="FF003366"/>
      <name val="Arial Cyr"/>
      <family val="2"/>
      <charset val="204"/>
    </font>
    <font>
      <b val="true"/>
      <sz val="10"/>
      <color rgb="FF000000"/>
      <name val="Arial Cyr"/>
      <family val="2"/>
      <charset val="204"/>
    </font>
    <font>
      <b val="true"/>
      <sz val="10"/>
      <color rgb="FFFFFFFF"/>
      <name val="Arial Cyr"/>
      <family val="2"/>
      <charset val="204"/>
    </font>
    <font>
      <sz val="10"/>
      <color rgb="FF993300"/>
      <name val="Arial Cyr"/>
      <family val="2"/>
      <charset val="204"/>
    </font>
    <font>
      <sz val="11"/>
      <color rgb="FF000000"/>
      <name val="Aptos Narrow"/>
      <family val="2"/>
      <charset val="204"/>
    </font>
    <font>
      <sz val="10"/>
      <name val="Arial Cyr"/>
      <family val="0"/>
      <charset val="1"/>
    </font>
    <font>
      <sz val="11"/>
      <name val="Times New Roman"/>
      <family val="1"/>
      <charset val="204"/>
    </font>
    <font>
      <sz val="10"/>
      <color theme="1"/>
      <name val="Aptos Narrow"/>
      <family val="2"/>
      <charset val="204"/>
    </font>
    <font>
      <sz val="10"/>
      <color rgb="FF800080"/>
      <name val="Arial Cyr"/>
      <family val="2"/>
      <charset val="204"/>
    </font>
    <font>
      <i val="true"/>
      <sz val="10"/>
      <color rgb="FF808080"/>
      <name val="Arial Cyr"/>
      <family val="2"/>
      <charset val="204"/>
    </font>
    <font>
      <sz val="12"/>
      <name val="PANDA Times UZ"/>
      <family val="2"/>
      <charset val="1"/>
    </font>
    <font>
      <sz val="10"/>
      <color rgb="FFFF9900"/>
      <name val="Arial Cyr"/>
      <family val="2"/>
      <charset val="204"/>
    </font>
    <font>
      <sz val="10"/>
      <color rgb="FFFF0000"/>
      <name val="Arial Cyr"/>
      <family val="2"/>
      <charset val="204"/>
    </font>
    <font>
      <sz val="10"/>
      <name val="Tahoma"/>
      <family val="2"/>
      <charset val="204"/>
    </font>
    <font>
      <sz val="10"/>
      <color rgb="FF008000"/>
      <name val="Arial Cyr"/>
      <family val="2"/>
      <charset val="204"/>
    </font>
    <font>
      <b val="true"/>
      <sz val="1"/>
      <color rgb="FF000000"/>
      <name val="Courier New"/>
      <family val="1"/>
      <charset val="204"/>
    </font>
  </fonts>
  <fills count="32">
    <fill>
      <patternFill patternType="none"/>
    </fill>
    <fill>
      <patternFill patternType="gray125"/>
    </fill>
    <fill>
      <patternFill patternType="solid">
        <fgColor rgb="FFCCCCFF"/>
        <bgColor rgb="FFCFCFCF"/>
      </patternFill>
    </fill>
    <fill>
      <patternFill patternType="solid">
        <fgColor rgb="FFFF99CC"/>
        <bgColor rgb="FFFF9F9F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9999FF"/>
      </patternFill>
    </fill>
    <fill>
      <patternFill patternType="solid">
        <fgColor rgb="FFCCFFFF"/>
        <bgColor rgb="FFCCFFCC"/>
      </patternFill>
    </fill>
    <fill>
      <patternFill patternType="solid">
        <fgColor rgb="FFFFCC99"/>
        <bgColor rgb="FFCFCFCF"/>
      </patternFill>
    </fill>
    <fill>
      <patternFill patternType="solid">
        <fgColor rgb="FF99CCFF"/>
        <bgColor rgb="FFCCCCFF"/>
      </patternFill>
    </fill>
    <fill>
      <patternFill patternType="solid">
        <fgColor rgb="FFFF8080"/>
        <bgColor rgb="FFFF9F9F"/>
      </patternFill>
    </fill>
    <fill>
      <patternFill patternType="solid">
        <fgColor rgb="FF00FF00"/>
        <bgColor rgb="FF33CCCC"/>
      </patternFill>
    </fill>
    <fill>
      <patternFill patternType="solid">
        <fgColor rgb="FFFFCC00"/>
        <bgColor rgb="FFFFFF00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666699"/>
        <bgColor rgb="FF808080"/>
      </patternFill>
    </fill>
    <fill>
      <patternFill patternType="solid">
        <fgColor rgb="FF333399"/>
        <bgColor rgb="FF003366"/>
      </patternFill>
    </fill>
    <fill>
      <patternFill patternType="solid">
        <fgColor rgb="FFFFFFCC"/>
        <bgColor rgb="FFFFFFFF"/>
      </patternFill>
    </fill>
    <fill>
      <patternFill patternType="solid">
        <fgColor rgb="FFC0C0C0"/>
        <bgColor rgb="FFB2B2B2"/>
      </patternFill>
    </fill>
    <fill>
      <patternFill patternType="solid">
        <fgColor rgb="FF969696"/>
        <bgColor rgb="FF808080"/>
      </patternFill>
    </fill>
    <fill>
      <patternFill patternType="solid">
        <fgColor rgb="FF993366"/>
        <bgColor rgb="FF99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FF6600"/>
        <bgColor rgb="FFFF9900"/>
      </patternFill>
    </fill>
    <fill>
      <patternFill patternType="solid">
        <fgColor rgb="FFFFFFFF"/>
        <bgColor rgb="FFFFFFCC"/>
      </patternFill>
    </fill>
    <fill>
      <patternFill patternType="solid">
        <fgColor rgb="FF9999FF"/>
        <bgColor rgb="FFCC99FF"/>
      </patternFill>
    </fill>
    <fill>
      <patternFill patternType="solid">
        <fgColor rgb="FFB0B0B0"/>
        <bgColor rgb="FFB2B2B2"/>
      </patternFill>
    </fill>
    <fill>
      <patternFill patternType="solid">
        <fgColor rgb="FFFF9F9F"/>
        <bgColor rgb="FFFF99CC"/>
      </patternFill>
    </fill>
    <fill>
      <patternFill patternType="solid">
        <fgColor rgb="FFCFCFCF"/>
        <bgColor rgb="FFC0C0C0"/>
      </patternFill>
    </fill>
    <fill>
      <patternFill patternType="solid">
        <fgColor rgb="FFFFFF99"/>
        <bgColor rgb="FFFFFFCC"/>
      </patternFill>
    </fill>
    <fill>
      <patternFill patternType="solid">
        <fgColor rgb="FF000000"/>
        <bgColor rgb="FF003300"/>
      </patternFill>
    </fill>
  </fills>
  <borders count="16">
    <border diagonalUp="false" diagonalDown="false">
      <left/>
      <right/>
      <top/>
      <bottom/>
      <diagonal/>
    </border>
    <border diagonalUp="false" diagonalDown="false">
      <left/>
      <right/>
      <top style="thin"/>
      <bottom style="double"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thin">
        <color rgb="FF333399"/>
      </left>
      <right style="thin">
        <color rgb="FF333399"/>
      </right>
      <top style="thin">
        <color rgb="FF333399"/>
      </top>
      <bottom style="thin">
        <color rgb="FF333399"/>
      </bottom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/>
      <right/>
      <top/>
      <bottom style="medium">
        <color rgb="FF0066CC"/>
      </bottom>
      <diagonal/>
    </border>
    <border diagonalUp="false" diagonalDown="false">
      <left/>
      <right/>
      <top/>
      <bottom style="medium">
        <color rgb="FF99CCFF"/>
      </bottom>
      <diagonal/>
    </border>
    <border diagonalUp="false" diagonalDown="false">
      <left style="thin">
        <color rgb="FFCCCCFF"/>
      </left>
      <right style="thin">
        <color rgb="FF333399"/>
      </right>
      <top style="thin">
        <color rgb="FFCCCCFF"/>
      </top>
      <bottom style="thin">
        <color rgb="FF333399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 style="double">
        <color rgb="FF00FF00"/>
      </left>
      <right style="double">
        <color rgb="FF00FF00"/>
      </right>
      <top style="double">
        <color rgb="FF00FF00"/>
      </top>
      <bottom style="double">
        <color rgb="FF00FF00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 style="thin">
        <color rgb="FF0066CC"/>
      </left>
      <right style="thin">
        <color rgb="FF0066CC"/>
      </right>
      <top style="thin">
        <color rgb="FF0066CC"/>
      </top>
      <bottom style="thin">
        <color rgb="FF0066CC"/>
      </bottom>
      <diagonal/>
    </border>
    <border diagonalUp="false" diagonalDown="false">
      <left/>
      <right/>
      <top style="double"/>
      <bottom/>
      <diagonal/>
    </border>
  </borders>
  <cellStyleXfs count="155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1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5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64" fontId="16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1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1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9" fillId="0" borderId="1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75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7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8" fillId="19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9" fillId="20" borderId="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7" fontId="30" fillId="25" borderId="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31" fillId="25" borderId="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21" fillId="25" borderId="6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25" borderId="6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0" fillId="19" borderId="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7" fontId="30" fillId="25" borderId="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21" fillId="2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2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2" fillId="25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2" fillId="25" borderId="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1" fillId="25" borderId="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33" fillId="26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3" fillId="26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4" fillId="25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5" fillId="25" borderId="6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0" fillId="18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78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3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3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3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4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4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1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1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2" fontId="4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4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4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4" fontId="4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5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5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6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7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7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7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8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8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0" fontId="4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4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4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4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50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2" fontId="4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2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1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3" fontId="52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5" fillId="0" borderId="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8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7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64" fontId="58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5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60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6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64" fontId="7" fillId="8" borderId="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52" fillId="18" borderId="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3" fillId="0" borderId="1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30" borderId="1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6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7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6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7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4" fontId="6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5" fillId="3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18" borderId="1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9" fillId="18" borderId="1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18" borderId="1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8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9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8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9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70" fillId="19" borderId="1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1" borderId="1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0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0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0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1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2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3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1" fillId="25" border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2" fillId="25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6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7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204" fontId="7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0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4" fontId="7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4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4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3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3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1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205" fontId="19" fillId="0" borderId="1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206" fontId="7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21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9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9" fillId="0" borderId="0" xfId="129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21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21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208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1 indent" xfId="20"/>
    <cellStyle name="1 indent 2" xfId="21"/>
    <cellStyle name="2 indents" xfId="22"/>
    <cellStyle name="2 indents 2" xfId="23"/>
    <cellStyle name="20% - Accent1 2" xfId="24"/>
    <cellStyle name="20% - Accent1 3" xfId="25"/>
    <cellStyle name="20% - Accent1 4" xfId="26"/>
    <cellStyle name="20% - Accent2 2" xfId="27"/>
    <cellStyle name="20% - Accent2 3" xfId="28"/>
    <cellStyle name="20% - Accent2 4" xfId="29"/>
    <cellStyle name="20% - Accent3 2" xfId="30"/>
    <cellStyle name="20% - Accent3 3" xfId="31"/>
    <cellStyle name="20% - Accent3 4" xfId="32"/>
    <cellStyle name="20% - Accent4 2" xfId="33"/>
    <cellStyle name="20% - Accent4 3" xfId="34"/>
    <cellStyle name="20% - Accent4 4" xfId="35"/>
    <cellStyle name="20% - Accent5 2" xfId="36"/>
    <cellStyle name="20% - Accent5 3" xfId="37"/>
    <cellStyle name="20% - Accent5 4" xfId="38"/>
    <cellStyle name="20% - Accent6 2" xfId="39"/>
    <cellStyle name="20% - Accent6 3" xfId="40"/>
    <cellStyle name="20% - Accent6 4" xfId="41"/>
    <cellStyle name="20% - Акцент1 2" xfId="42"/>
    <cellStyle name="20% - Акцент1 3" xfId="43"/>
    <cellStyle name="20% - Акцент2 2" xfId="44"/>
    <cellStyle name="20% - Акцент2 3" xfId="45"/>
    <cellStyle name="20% - Акцент3 2" xfId="46"/>
    <cellStyle name="20% - Акцент3 3" xfId="47"/>
    <cellStyle name="20% - Акцент4 2" xfId="48"/>
    <cellStyle name="20% - Акцент4 3" xfId="49"/>
    <cellStyle name="20% - Акцент5 2" xfId="50"/>
    <cellStyle name="20% - Акцент5 3" xfId="51"/>
    <cellStyle name="20% - Акцент6 2" xfId="52"/>
    <cellStyle name="20% - Акцент6 3" xfId="53"/>
    <cellStyle name="3 indents" xfId="54"/>
    <cellStyle name="4 indents" xfId="55"/>
    <cellStyle name="4 indents 2" xfId="56"/>
    <cellStyle name="40% - Accent1 2" xfId="57"/>
    <cellStyle name="40% - Accent1 3" xfId="58"/>
    <cellStyle name="40% - Accent1 4" xfId="59"/>
    <cellStyle name="40% - Accent2 2" xfId="60"/>
    <cellStyle name="40% - Accent2 3" xfId="61"/>
    <cellStyle name="40% - Accent2 4" xfId="62"/>
    <cellStyle name="40% - Accent3 2" xfId="63"/>
    <cellStyle name="40% - Accent3 3" xfId="64"/>
    <cellStyle name="40% - Accent3 4" xfId="65"/>
    <cellStyle name="40% - Accent4 2" xfId="66"/>
    <cellStyle name="40% - Accent4 3" xfId="67"/>
    <cellStyle name="40% - Accent4 4" xfId="68"/>
    <cellStyle name="40% - Accent5 2" xfId="69"/>
    <cellStyle name="40% - Accent5 3" xfId="70"/>
    <cellStyle name="40% - Accent5 4" xfId="71"/>
    <cellStyle name="40% - Accent6 2" xfId="72"/>
    <cellStyle name="40% - Accent6 3" xfId="73"/>
    <cellStyle name="40% - Accent6 4" xfId="74"/>
    <cellStyle name="40% - Акцент1 2" xfId="75"/>
    <cellStyle name="40% - Акцент1 3" xfId="76"/>
    <cellStyle name="40% - Акцент2 2" xfId="77"/>
    <cellStyle name="40% - Акцент2 3" xfId="78"/>
    <cellStyle name="40% - Акцент3 2" xfId="79"/>
    <cellStyle name="40% - Акцент3 3" xfId="80"/>
    <cellStyle name="40% - Акцент4 2" xfId="81"/>
    <cellStyle name="40% - Акцент4 3" xfId="82"/>
    <cellStyle name="40% - Акцент5 2" xfId="83"/>
    <cellStyle name="40% - Акцент5 3" xfId="84"/>
    <cellStyle name="40% - Акцент6 2" xfId="85"/>
    <cellStyle name="40% - Акцент6 3" xfId="86"/>
    <cellStyle name="5 indents" xfId="87"/>
    <cellStyle name="60% - Accent1 2" xfId="88"/>
    <cellStyle name="60% - Accent2 2" xfId="89"/>
    <cellStyle name="60% - Accent3 2" xfId="90"/>
    <cellStyle name="60% - Accent4 2" xfId="91"/>
    <cellStyle name="60% - Accent5 2" xfId="92"/>
    <cellStyle name="60% - Accent6 2" xfId="93"/>
    <cellStyle name="60% - Акцент1 2" xfId="94"/>
    <cellStyle name="60% - Акцент1 3" xfId="95"/>
    <cellStyle name="60% - Акцент2 2" xfId="96"/>
    <cellStyle name="60% - Акцент2 3" xfId="97"/>
    <cellStyle name="60% - Акцент3 2" xfId="98"/>
    <cellStyle name="60% - Акцент3 3" xfId="99"/>
    <cellStyle name="60% - Акцент4 2" xfId="100"/>
    <cellStyle name="60% - Акцент4 3" xfId="101"/>
    <cellStyle name="60% - Акцент5 2" xfId="102"/>
    <cellStyle name="60% - Акцент5 3" xfId="103"/>
    <cellStyle name="60% - Акцент6 2" xfId="104"/>
    <cellStyle name="60% - Акцент6 3" xfId="105"/>
    <cellStyle name="???????" xfId="106"/>
    <cellStyle name="??????? 2" xfId="107"/>
    <cellStyle name="????????" xfId="108"/>
    <cellStyle name="???????? 2" xfId="109"/>
    <cellStyle name="???????? [0]" xfId="110"/>
    <cellStyle name="???????? [0] 2" xfId="111"/>
    <cellStyle name="??????????" xfId="112"/>
    <cellStyle name="?????????? 2" xfId="113"/>
    <cellStyle name="?????????? [0]" xfId="114"/>
    <cellStyle name="?????????? [0] 2" xfId="115"/>
    <cellStyle name="???????????" xfId="116"/>
    <cellStyle name="????????????? ???????????" xfId="117"/>
    <cellStyle name="??????????_01kich10_1047-1050" xfId="118"/>
    <cellStyle name="????????_ ?? 25 ???" xfId="119"/>
    <cellStyle name="???????_ ????.???" xfId="120"/>
    <cellStyle name="??????_ ?? 25 ???" xfId="121"/>
    <cellStyle name="?’ћѓћ‚›‰" xfId="122"/>
    <cellStyle name="?’ћѓћ‚›‰ 2" xfId="123"/>
    <cellStyle name="_01kich10_1047-1050" xfId="124"/>
    <cellStyle name="_01kich10_1047-1050_Кичик бизнес" xfId="125"/>
    <cellStyle name="_01kich10_1047-1050_Кредит линия-русча" xfId="126"/>
    <cellStyle name="_01kich10_1047-1050_кичбиз" xfId="127"/>
    <cellStyle name="_1-16 KUNLIK" xfId="128"/>
    <cellStyle name="_1-16 KUNLIK_Ўтган йилга нисбатан" xfId="129"/>
    <cellStyle name="_1-16 KUNLIK_Ўтган йилга нисбатан_01.11.12 утган йилга нисбатан 2" xfId="130"/>
    <cellStyle name="_1-16 KUNLIK_Ўтган йилга нисбатан_Копия 1474 илова  01.01.2012 ўтган йилга нисбати" xfId="131"/>
    <cellStyle name="_1-16 KUNLIK_Копия 1474 илова  01.01.2012 ўтган йилга нисбати" xfId="132"/>
    <cellStyle name="_1. АСАЛ-СВОД22_04" xfId="133"/>
    <cellStyle name="_1. АСАЛ-СВОД22_04_Ўтган йилга нисбатан" xfId="134"/>
    <cellStyle name="_1. АСАЛ-СВОД22_04_Ўтган йилга нисбатан_01.11.12 утган йилга нисбатан 2" xfId="135"/>
    <cellStyle name="_1. АСАЛ-СВОД22_04_Ўтган йилга нисбатан_Копия 1474 илова  01.01.2012 ўтган йилга нисбати" xfId="136"/>
    <cellStyle name="_1. АСАЛ-СВОД22_04_Копия 1474 илова  01.01.2012 ўтган йилга нисбати" xfId="137"/>
    <cellStyle name="_1. АСАЛ-СВОД22_04_Хоразм туман" xfId="138"/>
    <cellStyle name="_1. АСАЛ-СВОД22_04_Хоразм туман_01.11.12 утган йилга нисбатан 2" xfId="139"/>
    <cellStyle name="_1. АСАЛ-СВОД22_04_Хоразм туман_Копия 1474 илова  01.01.2012 ўтган йилга нисбати" xfId="140"/>
    <cellStyle name="_1. БАЛИҚ-СВОД 22 04" xfId="141"/>
    <cellStyle name="_1. БАЛИҚ-СВОД 22 04_Ўтган йилга нисбатан" xfId="142"/>
    <cellStyle name="_1. БАЛИҚ-СВОД 22 04_Ўтган йилга нисбатан_01.11.12 утган йилга нисбатан 2" xfId="143"/>
    <cellStyle name="_1. БАЛИҚ-СВОД 22 04_Ўтган йилга нисбатан_Копия 1474 илова  01.01.2012 ўтган йилга нисбати" xfId="144"/>
    <cellStyle name="_1. БАЛИҚ-СВОД 22 04_Копия 1474 илова  01.01.2012 ўтган йилга нисбати" xfId="145"/>
    <cellStyle name="_1. БАЛИҚ-СВОД 22 04_Хоразм туман" xfId="146"/>
    <cellStyle name="_1. БАЛИҚ-СВОД 22 04_Хоразм туман_01.11.12 утган йилга нисбатан 2" xfId="147"/>
    <cellStyle name="_1. БАЛИҚ-СВОД 22 04_Хоразм туман_Копия 1474 илова  01.01.2012 ўтган йилга нисбати" xfId="148"/>
    <cellStyle name="_1.СВОД АГРОМИНИТЕХ 01.01" xfId="149"/>
    <cellStyle name="_1.СВОД АГРОМИНИТЕХ 01.01_Ўтган йилга нисбатан" xfId="150"/>
    <cellStyle name="_1.СВОД АГРОМИНИТЕХ 01.01_Ўтган йилга нисбатан_01.11.12 утган йилга нисбатан 2" xfId="151"/>
    <cellStyle name="_1.СВОД АГРОМИНИТЕХ 01.01_Ўтган йилга нисбатан_Копия 1474 илова  01.01.2012 ўтган йилга нисбати" xfId="152"/>
    <cellStyle name="_1.СВОД АГРОМИНИТЕХ 01.01_Копия 1474 илова  01.01.2012 ўтган йилга нисбати" xfId="153"/>
    <cellStyle name="_1.СВОД АГРОМИНИТЕХ 01.01_Хоразм туман" xfId="154"/>
    <cellStyle name="_1.СВОД АГРОМИНИТЕХ 01.01_Хоразм туман_01.11.12 утган йилга нисбатан 2" xfId="155"/>
    <cellStyle name="_1.СВОД АГРОМИНИТЕХ 01.01_Хоразм туман_Копия 1474 илова  01.01.2012 ўтган йилга нисбати" xfId="156"/>
    <cellStyle name="_1046-04_ЯНВАРЬ" xfId="157"/>
    <cellStyle name="_1046-04_ЯНВАРЬ_Ўтган йилга нисбатан" xfId="158"/>
    <cellStyle name="_1046-04_ЯНВАРЬ_Ўтган йилга нисбатан_01.11.12 утган йилга нисбатан 2" xfId="159"/>
    <cellStyle name="_1046-04_ЯНВАРЬ_Ўтган йилга нисбатан_Копия 1474 илова  01.01.2012 ўтган йилга нисбати" xfId="160"/>
    <cellStyle name="_1046-04_ЯНВАРЬ_КР Нукус   (2 жадвал)" xfId="161"/>
    <cellStyle name="_1046-04_ЯНВАРЬ_КР Нукус   (2 жадвал)_01.11.12 утган йилга нисбатан 2" xfId="162"/>
    <cellStyle name="_1046-04_ЯНВАРЬ_КР Нукус   (2 жадвал)_Копия 1474 илова  01.01.2012 ўтган йилга нисбати" xfId="163"/>
    <cellStyle name="_1046-04_ЯНВАРЬ_Копия 1474 илова  01.01.2012 ўтган йилга нисбати" xfId="164"/>
    <cellStyle name="_1046-04_ЯНВАРЬ_Хоразм туман" xfId="165"/>
    <cellStyle name="_1046-04_ЯНВАРЬ_Хоразм туман_01.11.12 утган йилга нисбатан 2" xfId="166"/>
    <cellStyle name="_1046-04_ЯНВАРЬ_Хоразм туман_Копия 1474 илова  01.01.2012 ўтган йилга нисбати" xfId="167"/>
    <cellStyle name="_1046-СВОД-охирги" xfId="168"/>
    <cellStyle name="_1046-СВОД-охирги_Ўтган йилга нисбатан" xfId="169"/>
    <cellStyle name="_1046-СВОД-охирги_Ўтган йилга нисбатан_01.11.12 утган йилга нисбатан 2" xfId="170"/>
    <cellStyle name="_1046-СВОД-охирги_Ўтган йилга нисбатан_Копия 1474 илова  01.01.2012 ўтган йилга нисбати" xfId="171"/>
    <cellStyle name="_1046-СВОД-охирги_Копия 1474 илова  01.01.2012 ўтган йилга нисбати" xfId="172"/>
    <cellStyle name="_1046-СВОД-охирги_Кредит линия-русча" xfId="173"/>
    <cellStyle name="_1046-СВОД-охирги_Кредит линия-русча_01.11.12 утган йилга нисбатан 2" xfId="174"/>
    <cellStyle name="_1046-СВОД-охирги_Кредит линия-русча_Книга1" xfId="175"/>
    <cellStyle name="_1046-СВОД-охирги_Кредит линия-русча_Книга1_01.11.12 утган йилга нисбатан 2" xfId="176"/>
    <cellStyle name="_1046-СВОД-охирги_Кредит линия-русча_Книга1_Копия 1474 илова  01.01.2012 ўтган йилга нисбати" xfId="177"/>
    <cellStyle name="_1046-СВОД-охирги_Кредит линия-русча_Копия 1474 илова  01.01.2012 ўтган йилга нисбати" xfId="178"/>
    <cellStyle name="_1046-СВОД-охирги_Кредит линия-русча_ПРОГНОЗ И 2008-2015 125 фоизлик ОКОНЧАТЕЛЬНЫЙ" xfId="179"/>
    <cellStyle name="_1046-СВОД-охирги_Кредит линия-русча_ПРОГНОЗ И 2008-2015 125 фоизлик ОКОНЧАТЕЛЬНЫЙ_01.11.12 утган йилга нисбатан 2" xfId="180"/>
    <cellStyle name="_1046-СВОД-охирги_Кредит линия-русча_ПРОГНОЗ И 2008-2015 125 фоизлик ОКОНЧАТЕЛЬНЫЙ_Копия 1474 илова  01.01.2012 ўтган йилга нисбати" xfId="181"/>
    <cellStyle name="_1046-СВОД-охирги_Кредит линия-русча_СВОД БАРЧА олдинги" xfId="182"/>
    <cellStyle name="_1046-СВОД-охирги_Кредит линия-русча_СВОД БАРЧА олдинги_Ўтган йилга нисбатан" xfId="183"/>
    <cellStyle name="_1046-СВОД-охирги_Кредит линия-русча_СВОД БАРЧА олдинги_Ўтган йилга нисбатан_01.11.12 утган йилга нисбатан 2" xfId="184"/>
    <cellStyle name="_1046-СВОД-охирги_Кредит линия-русча_СВОД БАРЧА олдинги_Ўтган йилга нисбатан_Копия 1474 илова  01.01.2012 ўтган йилга нисбати" xfId="185"/>
    <cellStyle name="_1046-СВОД-охирги_Кредит линия-русча_СВОД БАРЧА олдинги_Копия 1474 илова  01.01.2012 ўтган йилга нисбати" xfId="186"/>
    <cellStyle name="_1046-СВОД-охирги_Кредит линия-русча_Хоразм туман" xfId="187"/>
    <cellStyle name="_1046-СВОД-охирги_Кредит линия-русча_Хоразм туман_01.11.12 утган йилга нисбатан 2" xfId="188"/>
    <cellStyle name="_1046-СВОД-охирги_Кредит линия-русча_Хоразм туман_Копия 1474 илова  01.01.2012 ўтган йилга нисбати" xfId="189"/>
    <cellStyle name="_1046-СВОД-охирги_Кредит линия-русча_банк вилоят ув капитал" xfId="190"/>
    <cellStyle name="_1046-СВОД-охирги_Кредит линия-русча_банк вилоят ув капитал_01.11.12 утган йилга нисбатан 2" xfId="191"/>
    <cellStyle name="_1046-СВОД-охирги_Кредит линия-русча_банк вилоят ув капитал_Копия 1474 илова  01.01.2012 ўтган йилга нисбати" xfId="192"/>
    <cellStyle name="_1046-СВОД-охирги_Кредит линия-русча_кредиты" xfId="193"/>
    <cellStyle name="_1046-СВОД-охирги_Кредит линия-русча_кредиты_01.11.12 утган йилга нисбатан 2" xfId="194"/>
    <cellStyle name="_1046-СВОД-охирги_Кредит линия-русча_кредиты_Копия 1474 илова  01.01.2012 ўтган йилга нисбати" xfId="195"/>
    <cellStyle name="_1046-СВОД-охирги_ПРОГНОЗ И 2008-2015 125 фоизлик ОКОНЧАТЕЛЬНЫЙ" xfId="196"/>
    <cellStyle name="_1046-СВОД-охирги_ПРОГНОЗ И 2008-2015 125 фоизлик ОКОНЧАТЕЛЬНЫЙ_Ўтган йилга нисбатан" xfId="197"/>
    <cellStyle name="_1046-СВОД-охирги_ПРОГНОЗ И 2008-2015 125 фоизлик ОКОНЧАТЕЛЬНЫЙ_Ўтган йилга нисбатан_01.11.12 утган йилга нисбатан 2" xfId="198"/>
    <cellStyle name="_1046-СВОД-охирги_ПРОГНОЗ И 2008-2015 125 фоизлик ОКОНЧАТЕЛЬНЫЙ_Ўтган йилга нисбатан_Копия 1474 илова  01.01.2012 ўтган йилга нисбати" xfId="199"/>
    <cellStyle name="_1046-СВОД-охирги_ПРОГНОЗ И 2008-2015 125 фоизлик ОКОНЧАТЕЛЬНЫЙ_Копия 1474 илова  01.01.2012 ўтган йилга нисбати" xfId="200"/>
    <cellStyle name="_1046-СВОД-охирги_ПРОГНОЗ И 2008-2015 125 фоизлик ОКОНЧАТЕЛЬНЫЙ_Хоразм туман" xfId="201"/>
    <cellStyle name="_1046-СВОД-охирги_ПРОГНОЗ И 2008-2015 125 фоизлик ОКОНЧАТЕЛЬНЫЙ_Хоразм туман_01.11.12 утган йилга нисбатан 2" xfId="202"/>
    <cellStyle name="_1046-СВОД-охирги_ПРОГНОЗ И 2008-2015 125 фоизлик ОКОНЧАТЕЛЬНЫЙ_Хоразм туман_Копия 1474 илова  01.01.2012 ўтган йилга нисбати" xfId="203"/>
    <cellStyle name="_1046-СВОД-охирги_Прог" xfId="204"/>
    <cellStyle name="_1046-СВОД-охирги_Прог_01.11.12 утган йилга нисбатан 2" xfId="205"/>
    <cellStyle name="_1046-СВОД-охирги_Прог_Копия 1474 илова  01.01.2012 ўтган йилга нисбати" xfId="206"/>
    <cellStyle name="_1046-СВОД-охирги_Рес-га" xfId="207"/>
    <cellStyle name="_1046-СВОД-охирги_Рес-га_Ўтган йилга нисбатан" xfId="208"/>
    <cellStyle name="_1046-СВОД-охирги_Рес-га_Ўтган йилга нисбатан_01.11.12 утган йилга нисбатан 2" xfId="209"/>
    <cellStyle name="_1046-СВОД-охирги_Рес-га_Ўтган йилга нисбатан_Копия 1474 илова  01.01.2012 ўтган йилга нисбати" xfId="210"/>
    <cellStyle name="_1046-СВОД-охирги_Рес-га_Копия 1474 илова  01.01.2012 ўтган йилга нисбати" xfId="211"/>
    <cellStyle name="_1046-СВОД-охирги_СВОД БАРЧА олдинги" xfId="212"/>
    <cellStyle name="_1046-СВОД-охирги_СВОД БАРЧА олдинги_01.11.12 утган йилга нисбатан 2" xfId="213"/>
    <cellStyle name="_1046-СВОД-охирги_СВОД БАРЧА олдинги_Копия 1474 илова  01.01.2012 ўтган йилга нисбати" xfId="214"/>
    <cellStyle name="_1046-СВОД-охирги_выдача_2011-2015_1" xfId="215"/>
    <cellStyle name="_1046-СВОД-охирги_выдача_2011-2015_1_Ўтган йилга нисбатан" xfId="216"/>
    <cellStyle name="_1046-СВОД-охирги_выдача_2011-2015_1_Ўтган йилга нисбатан_01.11.12 утган йилга нисбатан 2" xfId="217"/>
    <cellStyle name="_1046-СВОД-охирги_выдача_2011-2015_1_Ўтган йилга нисбатан_Копия 1474 илова  01.01.2012 ўтган йилга нисбати" xfId="218"/>
    <cellStyle name="_1046-СВОД-охирги_выдача_2011-2015_1_Копия 1474 илова  01.01.2012 ўтган йилга нисбати" xfId="219"/>
    <cellStyle name="_1046-СВОД-охирги_выдача_2011-2015_1_Хоразм туман" xfId="220"/>
    <cellStyle name="_1046-СВОД-охирги_выдача_2011-2015_1_Хоразм туман_01.11.12 утган йилга нисбатан 2" xfId="221"/>
    <cellStyle name="_1046-СВОД-охирги_выдача_2011-2015_1_Хоразм туман_Копия 1474 илова  01.01.2012 ўтган йилга нисбати" xfId="222"/>
    <cellStyle name="_1046-СВОД-охирги_форма 01.01.2016" xfId="223"/>
    <cellStyle name="_1046-СВОД-охирги_форма 01.01.2016_01.11.12 утган йилга нисбатан 2" xfId="224"/>
    <cellStyle name="_1046-СВОД-охирги_форма 01.01.2016_Копия 1474 илова  01.01.2012 ўтган йилга нисбати" xfId="225"/>
    <cellStyle name="_2.45 таблица ижтимоий" xfId="226"/>
    <cellStyle name="_2.45 таблица ижтимоий_01.11.12 утган йилга нисбатан 2" xfId="227"/>
    <cellStyle name="_2.45 таблица ижтимоий_КР_ Прогноз (4 жадвал)" xfId="228"/>
    <cellStyle name="_2.45 таблица ижтимоий_КР_ Прогноз (4 жадвал)_01.11.12 утган йилга нисбатан 2" xfId="229"/>
    <cellStyle name="_2.45 таблица ижтимоий_КР_ Прогноз (4 жадвал)_Копия 1474 илова  01.01.2012 ўтган йилга нисбати" xfId="230"/>
    <cellStyle name="_2.45 таблица ижтимоий_Копия 1474 илова  01.01.2012 ўтган йилга нисбати" xfId="231"/>
    <cellStyle name="_2.46 таблица ижтимоий" xfId="232"/>
    <cellStyle name="_2.46 таблица ижтимоий_01.11.12 утган йилга нисбатан 2" xfId="233"/>
    <cellStyle name="_2.46 таблица ижтимоий_КР_ Прогноз (4 жадвал)" xfId="234"/>
    <cellStyle name="_2.46 таблица ижтимоий_КР_ Прогноз (4 жадвал)_01.11.12 утган йилга нисбатан 2" xfId="235"/>
    <cellStyle name="_2.46 таблица ижтимоий_КР_ Прогноз (4 жадвал)_Копия 1474 илова  01.01.2012 ўтган йилга нисбати" xfId="236"/>
    <cellStyle name="_2.46 таблица ижтимоий_Копия 1474 илова  01.01.2012 ўтган йилга нисбати" xfId="237"/>
    <cellStyle name="_2.58 таблица ВЭС" xfId="238"/>
    <cellStyle name="_2.58 таблица ВЭС_01.11.12 утган йилга нисбатан 2" xfId="239"/>
    <cellStyle name="_2.58 таблица ВЭС_КР_ Прогноз (4 жадвал)" xfId="240"/>
    <cellStyle name="_2.58 таблица ВЭС_КР_ Прогноз (4 жадвал)_01.11.12 утган йилга нисбатан 2" xfId="241"/>
    <cellStyle name="_2.58 таблица ВЭС_КР_ Прогноз (4 жадвал)_Копия 1474 илова  01.01.2012 ўтган йилга нисбати" xfId="242"/>
    <cellStyle name="_2.58 таблица ВЭС_Копия 1474 илова  01.01.2012 ўтган йилга нисбати" xfId="243"/>
    <cellStyle name="_2.58 узгаргани" xfId="244"/>
    <cellStyle name="_2008 КХ ЯНГИ ДАСТУР" xfId="245"/>
    <cellStyle name="_2008й прогноз ДАСТУР" xfId="246"/>
    <cellStyle name="_2008й прогноз ДАСТУР_01.11.12 утган йилга нисбатан 2" xfId="247"/>
    <cellStyle name="_2008й прогноз ДАСТУР_КР_ Прогноз (4 жадвал)" xfId="248"/>
    <cellStyle name="_2008й прогноз ДАСТУР_КР_ Прогноз (4 жадвал)_01.11.12 утган йилга нисбатан 2" xfId="249"/>
    <cellStyle name="_2008й прогноз ДАСТУР_КР_ Прогноз (4 жадвал)_Копия 1474 илова  01.01.2012 ўтган йилга нисбати" xfId="250"/>
    <cellStyle name="_2008й прогноз ДАСТУР_Копия 1474 илова  01.01.2012 ўтган йилга нисбати" xfId="251"/>
    <cellStyle name="_21а жадваллар" xfId="252"/>
    <cellStyle name="_21а жадваллар_01.11.12 утган йилга нисбатан 2" xfId="253"/>
    <cellStyle name="_21а жадваллар_Копия 1474 илова  01.01.2012 ўтган йилга нисбати" xfId="254"/>
    <cellStyle name="_21а жадваллар_Прогноз_2012_24.09.11" xfId="255"/>
    <cellStyle name="_21а жадваллар_Сухроб Вилоят свод" xfId="256"/>
    <cellStyle name="_21а жадваллар_Сухроб Вилоят свод_01.11.12 утган йилга нисбатан 2" xfId="257"/>
    <cellStyle name="_21а жадваллар_Сухроб Вилоят свод_КР_ Прогноз (4 жадвал)" xfId="258"/>
    <cellStyle name="_21а жадваллар_Сухроб Вилоят свод_КР_ Прогноз (4 жадвал)_01.11.12 утган йилга нисбатан 2" xfId="259"/>
    <cellStyle name="_21а жадваллар_Сухроб Вилоят свод_КР_ Прогноз (4 жадвал)_Копия 1474 илова  01.01.2012 ўтган йилга нисбати" xfId="260"/>
    <cellStyle name="_21а жадваллар_Сухроб Вилоят свод_Копия 1474 илова  01.01.2012 ўтган йилга нисбати" xfId="261"/>
    <cellStyle name="_21а жадваллар_иктисодга" xfId="262"/>
    <cellStyle name="_21а жадваллар_иктисодга_01.11.12 утган йилга нисбатан 2" xfId="263"/>
    <cellStyle name="_21а жадваллар_иктисодга_КР_ Прогноз (4 жадвал)" xfId="264"/>
    <cellStyle name="_21а жадваллар_иктисодга_КР_ Прогноз (4 жадвал)_01.11.12 утган йилга нисбатан 2" xfId="265"/>
    <cellStyle name="_21а жадваллар_иктисодга_КР_ Прогноз (4 жадвал)_Копия 1474 илова  01.01.2012 ўтган йилга нисбати" xfId="266"/>
    <cellStyle name="_21а жадваллар_иктисодга_Копия 1474 илова  01.01.2012 ўтган йилга нисбати" xfId="267"/>
    <cellStyle name="_308 форма" xfId="268"/>
    <cellStyle name="_308 форма_01.11.12 утган йилга нисбатан 2" xfId="269"/>
    <cellStyle name="_308 форма_Копия 1474 илова  01.01.2012 ўтган йилга нисбати" xfId="270"/>
    <cellStyle name="_308 форма_Прогноз_2012_24.09.11" xfId="271"/>
    <cellStyle name="_308 форма_Сухроб Вилоят свод" xfId="272"/>
    <cellStyle name="_308 форма_Сухроб Вилоят свод_01.11.12 утган йилга нисбатан 2" xfId="273"/>
    <cellStyle name="_308 форма_Сухроб Вилоят свод_КР_ Прогноз (4 жадвал)" xfId="274"/>
    <cellStyle name="_308 форма_Сухроб Вилоят свод_КР_ Прогноз (4 жадвал)_01.11.12 утган йилга нисбатан 2" xfId="275"/>
    <cellStyle name="_308 форма_Сухроб Вилоят свод_КР_ Прогноз (4 жадвал)_Копия 1474 илова  01.01.2012 ўтган йилга нисбати" xfId="276"/>
    <cellStyle name="_308 форма_Сухроб Вилоят свод_Копия 1474 илова  01.01.2012 ўтган йилга нисбати" xfId="277"/>
    <cellStyle name="_308 форма_иктисодга" xfId="278"/>
    <cellStyle name="_308 форма_иктисодга_01.11.12 утган йилга нисбатан 2" xfId="279"/>
    <cellStyle name="_308 форма_иктисодга_КР_ Прогноз (4 жадвал)" xfId="280"/>
    <cellStyle name="_308 форма_иктисодга_КР_ Прогноз (4 жадвал)_01.11.12 утган йилга нисбатан 2" xfId="281"/>
    <cellStyle name="_308 форма_иктисодга_КР_ Прогноз (4 жадвал)_Копия 1474 илова  01.01.2012 ўтган йилга нисбати" xfId="282"/>
    <cellStyle name="_308 форма_иктисодга_Копия 1474 илова  01.01.2012 ўтган йилга нисбати" xfId="283"/>
    <cellStyle name="_4058-288-290" xfId="284"/>
    <cellStyle name="_5-илова кабмин" xfId="285"/>
    <cellStyle name="_Tosh_SH_2009" xfId="286"/>
    <cellStyle name="_Tosh_SH_2009_Ўтган йилга нисбатан" xfId="287"/>
    <cellStyle name="_Tosh_SH_2009_Ўтган йилга нисбатан_01.11.12 утган йилга нисбатан 2" xfId="288"/>
    <cellStyle name="_Tosh_SH_2009_Ўтган йилга нисбатан_Копия 1474 илова  01.01.2012 ўтган йилга нисбати" xfId="289"/>
    <cellStyle name="_Tosh_SH_2009_Копия 1474 илова  01.01.2012 ўтган йилга нисбати" xfId="290"/>
    <cellStyle name="_~4174642" xfId="291"/>
    <cellStyle name="_~7514068" xfId="292"/>
    <cellStyle name="_~7514068_Ўтган йилга нисбатан" xfId="293"/>
    <cellStyle name="_~7514068_Ўтган йилга нисбатан_01.11.12 утган йилга нисбатан 2" xfId="294"/>
    <cellStyle name="_~7514068_Ўтган йилга нисбатан_Копия 1474 илова  01.01.2012 ўтган йилга нисбати" xfId="295"/>
    <cellStyle name="_~7514068_Копия 1474 илова  01.01.2012 ўтган йилга нисбати" xfId="296"/>
    <cellStyle name="_~7514068_Хоразм туман" xfId="297"/>
    <cellStyle name="_~7514068_Хоразм туман_01.11.12 утган йилга нисбатан 2" xfId="298"/>
    <cellStyle name="_~7514068_Хоразм туман_Копия 1474 илова  01.01.2012 ўтган йилга нисбати" xfId="299"/>
    <cellStyle name="_~8658882" xfId="300"/>
    <cellStyle name="_Акмал акага" xfId="301"/>
    <cellStyle name="_Андижон" xfId="302"/>
    <cellStyle name="_Андижон вилояти" xfId="303"/>
    <cellStyle name="_Андижон вилояти_Ўтган йилга нисбатан" xfId="304"/>
    <cellStyle name="_Андижон вилояти_Ўтган йилга нисбатан_01.11.12 утган йилга нисбатан 2" xfId="305"/>
    <cellStyle name="_Андижон вилояти_Ўтган йилга нисбатан_Копия 1474 илова  01.01.2012 ўтган йилга нисбати" xfId="306"/>
    <cellStyle name="_Андижон вилояти_Копия 1474 илова  01.01.2012 ўтган йилга нисбати" xfId="307"/>
    <cellStyle name="_Андижон вилояти_Кредит линия-русча" xfId="308"/>
    <cellStyle name="_Андижон вилояти_Кредит линия-русча_01.11.12 утган йилга нисбатан 2" xfId="309"/>
    <cellStyle name="_Андижон вилояти_Кредит линия-русча_Книга1" xfId="310"/>
    <cellStyle name="_Андижон вилояти_Кредит линия-русча_Книга1_01.11.12 утган йилга нисбатан 2" xfId="311"/>
    <cellStyle name="_Андижон вилояти_Кредит линия-русча_Книга1_Копия 1474 илова  01.01.2012 ўтган йилга нисбати" xfId="312"/>
    <cellStyle name="_Андижон вилояти_Кредит линия-русча_Копия 1474 илова  01.01.2012 ўтган йилга нисбати" xfId="313"/>
    <cellStyle name="_Андижон вилояти_Кредит линия-русча_ПРОГНОЗ И 2008-2015 125 фоизлик ОКОНЧАТЕЛЬНЫЙ" xfId="314"/>
    <cellStyle name="_Андижон вилояти_Кредит линия-русча_ПРОГНОЗ И 2008-2015 125 фоизлик ОКОНЧАТЕЛЬНЫЙ_01.11.12 утган йилга нисбатан 2" xfId="315"/>
    <cellStyle name="_Андижон вилояти_Кредит линия-русча_ПРОГНОЗ И 2008-2015 125 фоизлик ОКОНЧАТЕЛЬНЫЙ_Копия 1474 илова  01.01.2012 ўтган йилга нисбати" xfId="316"/>
    <cellStyle name="_Андижон вилояти_Кредит линия-русча_СВОД БАРЧА олдинги" xfId="317"/>
    <cellStyle name="_Андижон вилояти_Кредит линия-русча_СВОД БАРЧА олдинги_Ўтган йилга нисбатан" xfId="318"/>
    <cellStyle name="_Андижон вилояти_Кредит линия-русча_СВОД БАРЧА олдинги_Ўтган йилга нисбатан_01.11.12 утган йилга нисбатан 2" xfId="319"/>
    <cellStyle name="_Андижон вилояти_Кредит линия-русча_СВОД БАРЧА олдинги_Ўтган йилга нисбатан_Копия 1474 илова  01.01.2012 ўтган йилга нисбати" xfId="320"/>
    <cellStyle name="_Андижон вилояти_Кредит линия-русча_СВОД БАРЧА олдинги_Копия 1474 илова  01.01.2012 ўтган йилга нисбати" xfId="321"/>
    <cellStyle name="_Андижон вилояти_Кредит линия-русча_Хоразм туман" xfId="322"/>
    <cellStyle name="_Андижон вилояти_Кредит линия-русча_Хоразм туман_01.11.12 утган йилга нисбатан 2" xfId="323"/>
    <cellStyle name="_Андижон вилояти_Кредит линия-русча_Хоразм туман_Копия 1474 илова  01.01.2012 ўтган йилга нисбати" xfId="324"/>
    <cellStyle name="_Андижон вилояти_Кредит линия-русча_банк вилоят ув капитал" xfId="325"/>
    <cellStyle name="_Андижон вилояти_Кредит линия-русча_банк вилоят ув капитал_01.11.12 утган йилга нисбатан 2" xfId="326"/>
    <cellStyle name="_Андижон вилояти_Кредит линия-русча_банк вилоят ув капитал_Копия 1474 илова  01.01.2012 ўтган йилга нисбати" xfId="327"/>
    <cellStyle name="_Андижон вилояти_Кредит линия-русча_кредиты" xfId="328"/>
    <cellStyle name="_Андижон вилояти_Кредит линия-русча_кредиты_01.11.12 утган йилга нисбатан 2" xfId="329"/>
    <cellStyle name="_Андижон вилояти_Кредит линия-русча_кредиты_Копия 1474 илова  01.01.2012 ўтган йилга нисбати" xfId="330"/>
    <cellStyle name="_Андижон вилояти_ПРОГНОЗ И 2008-2015 125 фоизлик ОКОНЧАТЕЛЬНЫЙ" xfId="331"/>
    <cellStyle name="_Андижон вилояти_ПРОГНОЗ И 2008-2015 125 фоизлик ОКОНЧАТЕЛЬНЫЙ_Ўтган йилга нисбатан" xfId="332"/>
    <cellStyle name="_Андижон вилояти_ПРОГНОЗ И 2008-2015 125 фоизлик ОКОНЧАТЕЛЬНЫЙ_Ўтган йилга нисбатан_01.11.12 утган йилга нисбатан 2" xfId="333"/>
    <cellStyle name="_Андижон вилояти_ПРОГНОЗ И 2008-2015 125 фоизлик ОКОНЧАТЕЛЬНЫЙ_Ўтган йилга нисбатан_Копия 1474 илова  01.01.2012 ўтган йилга нисбати" xfId="334"/>
    <cellStyle name="_Андижон вилояти_ПРОГНОЗ И 2008-2015 125 фоизлик ОКОНЧАТЕЛЬНЫЙ_Копия 1474 илова  01.01.2012 ўтган йилга нисбати" xfId="335"/>
    <cellStyle name="_Андижон вилояти_ПРОГНОЗ И 2008-2015 125 фоизлик ОКОНЧАТЕЛЬНЫЙ_Хоразм туман" xfId="336"/>
    <cellStyle name="_Андижон вилояти_ПРОГНОЗ И 2008-2015 125 фоизлик ОКОНЧАТЕЛЬНЫЙ_Хоразм туман_01.11.12 утган йилга нисбатан 2" xfId="337"/>
    <cellStyle name="_Андижон вилояти_ПРОГНОЗ И 2008-2015 125 фоизлик ОКОНЧАТЕЛЬНЫЙ_Хоразм туман_Копия 1474 илова  01.01.2012 ўтган йилга нисбати" xfId="338"/>
    <cellStyle name="_Андижон вилояти_Прог" xfId="339"/>
    <cellStyle name="_Андижон вилояти_Прог_01.11.12 утган йилга нисбатан 2" xfId="340"/>
    <cellStyle name="_Андижон вилояти_Прог_Копия 1474 илова  01.01.2012 ўтган йилга нисбати" xfId="341"/>
    <cellStyle name="_Андижон вилояти_Рес-га" xfId="342"/>
    <cellStyle name="_Андижон вилояти_Рес-га_Ўтган йилга нисбатан" xfId="343"/>
    <cellStyle name="_Андижон вилояти_Рес-га_Ўтган йилга нисбатан_01.11.12 утган йилга нисбатан 2" xfId="344"/>
    <cellStyle name="_Андижон вилояти_Рес-га_Ўтган йилга нисбатан_Копия 1474 илова  01.01.2012 ўтган йилга нисбати" xfId="345"/>
    <cellStyle name="_Андижон вилояти_Рес-га_Копия 1474 илова  01.01.2012 ўтган йилга нисбати" xfId="346"/>
    <cellStyle name="_Андижон вилояти_СВОД БАРЧА олдинги" xfId="347"/>
    <cellStyle name="_Андижон вилояти_СВОД БАРЧА олдинги_01.11.12 утган йилга нисбатан 2" xfId="348"/>
    <cellStyle name="_Андижон вилояти_СВОД БАРЧА олдинги_Копия 1474 илова  01.01.2012 ўтган йилга нисбати" xfId="349"/>
    <cellStyle name="_Андижон вилояти_выдача_2011-2015_1" xfId="350"/>
    <cellStyle name="_Андижон вилояти_выдача_2011-2015_1_Ўтган йилга нисбатан" xfId="351"/>
    <cellStyle name="_Андижон вилояти_выдача_2011-2015_1_Ўтган йилга нисбатан_01.11.12 утган йилга нисбатан 2" xfId="352"/>
    <cellStyle name="_Андижон вилояти_выдача_2011-2015_1_Ўтган йилга нисбатан_Копия 1474 илова  01.01.2012 ўтган йилга нисбати" xfId="353"/>
    <cellStyle name="_Андижон вилояти_выдача_2011-2015_1_Копия 1474 илова  01.01.2012 ўтган йилга нисбати" xfId="354"/>
    <cellStyle name="_Андижон вилояти_выдача_2011-2015_1_Хоразм туман" xfId="355"/>
    <cellStyle name="_Андижон вилояти_выдача_2011-2015_1_Хоразм туман_01.11.12 утган йилга нисбатан 2" xfId="356"/>
    <cellStyle name="_Андижон вилояти_выдача_2011-2015_1_Хоразм туман_Копия 1474 илова  01.01.2012 ўтган йилга нисбати" xfId="357"/>
    <cellStyle name="_Андижон вилояти_форма 01.01.2016" xfId="358"/>
    <cellStyle name="_Андижон вилояти_форма 01.01.2016_01.11.12 утган йилга нисбатан 2" xfId="359"/>
    <cellStyle name="_Андижон вилояти_форма 01.01.2016_Копия 1474 илова  01.01.2012 ўтган йилга нисбати" xfId="360"/>
    <cellStyle name="_Баркамол авлод-50-банд" xfId="361"/>
    <cellStyle name="_Баркамол авлод-50-банд_Ўтган йилга нисбатан" xfId="362"/>
    <cellStyle name="_Баркамол авлод-50-банд_Ўтган йилга нисбатан_01.11.12 утган йилга нисбатан 2" xfId="363"/>
    <cellStyle name="_Баркамол авлод-50-банд_Ўтган йилга нисбатан_Копия 1474 илова  01.01.2012 ўтган йилга нисбати" xfId="364"/>
    <cellStyle name="_Баркамол авлод-50-банд_Копия 1474 илова  01.01.2012 ўтган йилга нисбати" xfId="365"/>
    <cellStyle name="_Баркамол авлод-50-банд_Хоразм туман" xfId="366"/>
    <cellStyle name="_Баркамол авлод-50-банд_Хоразм туман_01.11.12 утган йилга нисбатан 2" xfId="367"/>
    <cellStyle name="_Баркамол авлод-50-банд_Хоразм туман_Копия 1474 илова  01.01.2012 ўтган йилга нисбати" xfId="368"/>
    <cellStyle name="_Баркамол авлод-57-банд" xfId="369"/>
    <cellStyle name="_Баркамол авлод-57-банд_Ўтган йилга нисбатан" xfId="370"/>
    <cellStyle name="_Баркамол авлод-57-банд_Ўтган йилга нисбатан_01.11.12 утган йилга нисбатан 2" xfId="371"/>
    <cellStyle name="_Баркамол авлод-57-банд_Ўтган йилга нисбатан_Копия 1474 илова  01.01.2012 ўтган йилга нисбати" xfId="372"/>
    <cellStyle name="_Баркамол авлод-57-банд_Копия 1474 илова  01.01.2012 ўтган йилга нисбати" xfId="373"/>
    <cellStyle name="_Баркамол авлод-57-банд_Хоразм туман" xfId="374"/>
    <cellStyle name="_Баркамол авлод-57-банд_Хоразм туман_01.11.12 утган йилга нисбатан 2" xfId="375"/>
    <cellStyle name="_Баркамол авлод-57-банд_Хоразм туман_Копия 1474 илова  01.01.2012 ўтган йилга нисбати" xfId="376"/>
    <cellStyle name="_Баркамол-Кабминга" xfId="377"/>
    <cellStyle name="_Баркамол-Кабминга_Ўтган йилга нисбатан" xfId="378"/>
    <cellStyle name="_Баркамол-Кабминга_Ўтган йилга нисбатан_01.11.12 утган йилга нисбатан 2" xfId="379"/>
    <cellStyle name="_Баркамол-Кабминга_Ўтган йилга нисбатан_Копия 1474 илова  01.01.2012 ўтган йилга нисбати" xfId="380"/>
    <cellStyle name="_Баркамол-Кабминга_Копия 1474 илова  01.01.2012 ўтган йилга нисбати" xfId="381"/>
    <cellStyle name="_Баркамол-Кабминга_Хоразм туман" xfId="382"/>
    <cellStyle name="_Баркамол-Кабминга_Хоразм туман_01.11.12 утган йилга нисбатан 2" xfId="383"/>
    <cellStyle name="_Баркамол-Кабминга_Хоразм туман_Копия 1474 илова  01.01.2012 ўтган йилга нисбати" xfId="384"/>
    <cellStyle name="_Вилоят касана12" xfId="385"/>
    <cellStyle name="_Вилоят касана12_01.11.12 утган йилга нисбатан 2" xfId="386"/>
    <cellStyle name="_Вилоят касана12_Копия 1474 илова  01.01.2012 ўтган йилга нисбати" xfId="387"/>
    <cellStyle name="_ДАСТУР макет" xfId="388"/>
    <cellStyle name="_ДАСТУР макет_01.11.12 утган йилга нисбатан 2" xfId="389"/>
    <cellStyle name="_ДАСТУР макет_Копия 1474 илова  01.01.2012 ўтган йилга нисбати" xfId="390"/>
    <cellStyle name="_ДАСТУР макет_Прогноз_2012_24.09.11" xfId="391"/>
    <cellStyle name="_ДАСТУР макет_Сухроб Вилоят свод" xfId="392"/>
    <cellStyle name="_ДАСТУР макет_Сухроб Вилоят свод_01.11.12 утган йилга нисбатан 2" xfId="393"/>
    <cellStyle name="_ДАСТУР макет_Сухроб Вилоят свод_КР_ Прогноз (4 жадвал)" xfId="394"/>
    <cellStyle name="_ДАСТУР макет_Сухроб Вилоят свод_КР_ Прогноз (4 жадвал)_01.11.12 утган йилга нисбатан 2" xfId="395"/>
    <cellStyle name="_ДАСТУР макет_Сухроб Вилоят свод_КР_ Прогноз (4 жадвал)_Копия 1474 илова  01.01.2012 ўтган йилга нисбати" xfId="396"/>
    <cellStyle name="_ДАСТУР макет_Сухроб Вилоят свод_Копия 1474 илова  01.01.2012 ўтган йилга нисбати" xfId="397"/>
    <cellStyle name="_ДАСТУР макет_иктисодга" xfId="398"/>
    <cellStyle name="_ДАСТУР макет_иктисодга_01.11.12 утган йилга нисбатан 2" xfId="399"/>
    <cellStyle name="_ДАСТУР макет_иктисодга_КР_ Прогноз (4 жадвал)" xfId="400"/>
    <cellStyle name="_ДАСТУР макет_иктисодга_КР_ Прогноз (4 жадвал)_01.11.12 утган йилга нисбатан 2" xfId="401"/>
    <cellStyle name="_ДАСТУР макет_иктисодга_КР_ Прогноз (4 жадвал)_Копия 1474 илова  01.01.2012 ўтган йилга нисбати" xfId="402"/>
    <cellStyle name="_ДАСТУР макет_иктисодга_Копия 1474 илова  01.01.2012 ўтган йилга нисбати" xfId="403"/>
    <cellStyle name="_ДАСТУР обл план 2007-09" xfId="404"/>
    <cellStyle name="_ДАСТУР обл план 2007-09_01.11.12 утган йилга нисбатан 2" xfId="405"/>
    <cellStyle name="_ДАСТУР обл план 2007-09_Копия 1474 илова  01.01.2012 ўтган йилга нисбати" xfId="406"/>
    <cellStyle name="_ДАСТУР обл план 2007-09_Прогноз_2012_24.09.11" xfId="407"/>
    <cellStyle name="_ДАСТУР обл план 2007-09_Сухроб Вилоят свод" xfId="408"/>
    <cellStyle name="_ДАСТУР обл план 2007-09_Сухроб Вилоят свод_01.11.12 утган йилга нисбатан 2" xfId="409"/>
    <cellStyle name="_ДАСТУР обл план 2007-09_Сухроб Вилоят свод_КР_ Прогноз (4 жадвал)" xfId="410"/>
    <cellStyle name="_ДАСТУР обл план 2007-09_Сухроб Вилоят свод_КР_ Прогноз (4 жадвал)_01.11.12 утган йилга нисбатан 2" xfId="411"/>
    <cellStyle name="_ДАСТУР обл план 2007-09_Сухроб Вилоят свод_КР_ Прогноз (4 жадвал)_Копия 1474 илова  01.01.2012 ўтган йилга нисбати" xfId="412"/>
    <cellStyle name="_ДАСТУР обл план 2007-09_Сухроб Вилоят свод_Копия 1474 илова  01.01.2012 ўтган йилга нисбати" xfId="413"/>
    <cellStyle name="_ДАСТУР обл план 2007-09_иктисодга" xfId="414"/>
    <cellStyle name="_ДАСТУР обл план 2007-09_иктисодга_01.11.12 утган йилга нисбатан 2" xfId="415"/>
    <cellStyle name="_ДАСТУР обл план 2007-09_иктисодга_КР_ Прогноз (4 жадвал)" xfId="416"/>
    <cellStyle name="_ДАСТУР обл план 2007-09_иктисодга_КР_ Прогноз (4 жадвал)_01.11.12 утган йилга нисбатан 2" xfId="417"/>
    <cellStyle name="_ДАСТУР обл план 2007-09_иктисодга_КР_ Прогноз (4 жадвал)_Копия 1474 илова  01.01.2012 ўтган йилга нисбати" xfId="418"/>
    <cellStyle name="_ДАСТУР обл план 2007-09_иктисодга_Копия 1474 илова  01.01.2012 ўтган йилга нисбати" xfId="419"/>
    <cellStyle name="_Жиззах" xfId="420"/>
    <cellStyle name="_Жиззах_01.11.12 утган йилга нисбатан 2" xfId="421"/>
    <cellStyle name="_Жиззах_Копия 1474 илова  01.01.2012 ўтган йилга нисбати" xfId="422"/>
    <cellStyle name="_Жиззах_Прогноз_2012_24.09.11" xfId="423"/>
    <cellStyle name="_Жиззах_Сухроб Вилоят свод" xfId="424"/>
    <cellStyle name="_Жиззах_Сухроб Вилоят свод_01.11.12 утган йилга нисбатан 2" xfId="425"/>
    <cellStyle name="_Жиззах_Сухроб Вилоят свод_КР_ Прогноз (4 жадвал)" xfId="426"/>
    <cellStyle name="_Жиззах_Сухроб Вилоят свод_КР_ Прогноз (4 жадвал)_01.11.12 утган йилга нисбатан 2" xfId="427"/>
    <cellStyle name="_Жиззах_Сухроб Вилоят свод_КР_ Прогноз (4 жадвал)_Копия 1474 илова  01.01.2012 ўтган йилга нисбати" xfId="428"/>
    <cellStyle name="_Жиззах_Сухроб Вилоят свод_Копия 1474 илова  01.01.2012 ўтган йилга нисбати" xfId="429"/>
    <cellStyle name="_Жиззах_иктисодга" xfId="430"/>
    <cellStyle name="_Жиззах_иктисодга_01.11.12 утган йилга нисбатан 2" xfId="431"/>
    <cellStyle name="_Жиззах_иктисодга_КР_ Прогноз (4 жадвал)" xfId="432"/>
    <cellStyle name="_Жиззах_иктисодга_КР_ Прогноз (4 жадвал)_01.11.12 утган йилга нисбатан 2" xfId="433"/>
    <cellStyle name="_Жиззах_иктисодга_КР_ Прогноз (4 жадвал)_Копия 1474 илова  01.01.2012 ўтган йилга нисбати" xfId="434"/>
    <cellStyle name="_Жиззах_иктисодга_Копия 1474 илова  01.01.2012 ўтган йилга нисбати" xfId="435"/>
    <cellStyle name="_КР1046-1047-1050 общий 18 графа на 24 марта" xfId="436"/>
    <cellStyle name="_КР1046-1047-1050 общий 18 графа на 24 марта_Ўтган йилга нисбатан" xfId="437"/>
    <cellStyle name="_КР1046-1047-1050 общий 18 графа на 24 марта_Ўтган йилга нисбатан_01.11.12 утган йилга нисбатан 2" xfId="438"/>
    <cellStyle name="_КР1046-1047-1050 общий 18 графа на 24 марта_Ўтган йилга нисбатан_Копия 1474 илова  01.01.2012 ўтган йилга нисбати" xfId="439"/>
    <cellStyle name="_КР1046-1047-1050 общий 18 графа на 24 марта_Копия 1474 илова  01.01.2012 ўтган йилга нисбати" xfId="440"/>
    <cellStyle name="_КР1046-1047-1050 общий 18 графа на 24 марта_Кредит линия-русча" xfId="441"/>
    <cellStyle name="_КР1046-1047-1050 общий 18 графа на 24 марта_Кредит линия-русча_01.11.12 утган йилга нисбатан 2" xfId="442"/>
    <cellStyle name="_КР1046-1047-1050 общий 18 графа на 24 марта_Кредит линия-русча_Книга1" xfId="443"/>
    <cellStyle name="_КР1046-1047-1050 общий 18 графа на 24 марта_Кредит линия-русча_Книга1_01.11.12 утган йилга нисбатан 2" xfId="444"/>
    <cellStyle name="_КР1046-1047-1050 общий 18 графа на 24 марта_Кредит линия-русча_Книга1_Копия 1474 илова  01.01.2012 ўтган йилга нисбати" xfId="445"/>
    <cellStyle name="_КР1046-1047-1050 общий 18 графа на 24 марта_Кредит линия-русча_Копия 1474 илова  01.01.2012 ўтган йилга нисбати" xfId="446"/>
    <cellStyle name="_КР1046-1047-1050 общий 18 графа на 24 марта_Кредит линия-русча_ПРОГНОЗ И 2008-2015 125 фоизлик ОКОНЧАТЕЛЬНЫЙ" xfId="447"/>
    <cellStyle name="_КР1046-1047-1050 общий 18 графа на 24 марта_Кредит линия-русча_ПРОГНОЗ И 2008-2015 125 фоизлик ОКОНЧАТЕЛЬНЫЙ_01.11.12 утган йилга нисбатан 2" xfId="448"/>
    <cellStyle name="_КР1046-1047-1050 общий 18 графа на 24 марта_Кредит линия-русча_ПРОГНОЗ И 2008-2015 125 фоизлик ОКОНЧАТЕЛЬНЫЙ_Копия 1474 илова  01.01.2012 ўтган йилга нисбати" xfId="449"/>
    <cellStyle name="_КР1046-1047-1050 общий 18 графа на 24 марта_Кредит линия-русча_СВОД БАРЧА олдинги" xfId="450"/>
    <cellStyle name="_КР1046-1047-1050 общий 18 графа на 24 марта_Кредит линия-русча_СВОД БАРЧА олдинги_Ўтган йилга нисбатан" xfId="451"/>
    <cellStyle name="_КР1046-1047-1050 общий 18 графа на 24 марта_Кредит линия-русча_СВОД БАРЧА олдинги_Ўтган йилга нисбатан_01.11.12 утган йилга нисбатан 2" xfId="452"/>
    <cellStyle name="_КР1046-1047-1050 общий 18 графа на 24 марта_Кредит линия-русча_СВОД БАРЧА олдинги_Ўтган йилга нисбатан_Копия 1474 илова  01.01.2012 ўтган йилга нисбати" xfId="453"/>
    <cellStyle name="_КР1046-1047-1050 общий 18 графа на 24 марта_Кредит линия-русча_СВОД БАРЧА олдинги_Копия 1474 илова  01.01.2012 ўтган йилга нисбати" xfId="454"/>
    <cellStyle name="_КР1046-1047-1050 общий 18 графа на 24 марта_Кредит линия-русча_Хоразм туман" xfId="455"/>
    <cellStyle name="_КР1046-1047-1050 общий 18 графа на 24 марта_Кредит линия-русча_Хоразм туман_01.11.12 утган йилга нисбатан 2" xfId="456"/>
    <cellStyle name="_КР1046-1047-1050 общий 18 графа на 24 марта_Кредит линия-русча_Хоразм туман_Копия 1474 илова  01.01.2012 ўтган йилга нисбати" xfId="457"/>
    <cellStyle name="_КР1046-1047-1050 общий 18 графа на 24 марта_Кредит линия-русча_банк вилоят ув капитал" xfId="458"/>
    <cellStyle name="_КР1046-1047-1050 общий 18 графа на 24 марта_Кредит линия-русча_банк вилоят ув капитал_01.11.12 утган йилга нисбатан 2" xfId="459"/>
    <cellStyle name="_КР1046-1047-1050 общий 18 графа на 24 марта_Кредит линия-русча_банк вилоят ув капитал_Копия 1474 илова  01.01.2012 ўтган йилга нисбати" xfId="460"/>
    <cellStyle name="_КР1046-1047-1050 общий 18 графа на 24 марта_Кредит линия-русча_кредиты" xfId="461"/>
    <cellStyle name="_КР1046-1047-1050 общий 18 графа на 24 марта_Кредит линия-русча_кредиты_01.11.12 утган йилга нисбатан 2" xfId="462"/>
    <cellStyle name="_КР1046-1047-1050 общий 18 графа на 24 марта_Кредит линия-русча_кредиты_Копия 1474 илова  01.01.2012 ўтган йилга нисбати" xfId="463"/>
    <cellStyle name="_КР1046-1047-1050 общий 18 графа на 24 марта_ПРОГНОЗ И 2008-2015 125 фоизлик ОКОНЧАТЕЛЬНЫЙ" xfId="464"/>
    <cellStyle name="_КР1046-1047-1050 общий 18 графа на 24 марта_ПРОГНОЗ И 2008-2015 125 фоизлик ОКОНЧАТЕЛЬНЫЙ_Ўтган йилга нисбатан" xfId="465"/>
    <cellStyle name="_КР1046-1047-1050 общий 18 графа на 24 марта_ПРОГНОЗ И 2008-2015 125 фоизлик ОКОНЧАТЕЛЬНЫЙ_Ўтган йилга нисбатан_01.11.12 утган йилга нисбатан 2" xfId="466"/>
    <cellStyle name="_КР1046-1047-1050 общий 18 графа на 24 марта_ПРОГНОЗ И 2008-2015 125 фоизлик ОКОНЧАТЕЛЬНЫЙ_Ўтган йилга нисбатан_Копия 1474 илова  01.01.2012 ўтган йилга нисбати" xfId="467"/>
    <cellStyle name="_КР1046-1047-1050 общий 18 графа на 24 марта_ПРОГНОЗ И 2008-2015 125 фоизлик ОКОНЧАТЕЛЬНЫЙ_Копия 1474 илова  01.01.2012 ўтган йилга нисбати" xfId="468"/>
    <cellStyle name="_КР1046-1047-1050 общий 18 графа на 24 марта_ПРОГНОЗ И 2008-2015 125 фоизлик ОКОНЧАТЕЛЬНЫЙ_Хоразм туман" xfId="469"/>
    <cellStyle name="_КР1046-1047-1050 общий 18 графа на 24 марта_ПРОГНОЗ И 2008-2015 125 фоизлик ОКОНЧАТЕЛЬНЫЙ_Хоразм туман_01.11.12 утган йилга нисбатан 2" xfId="470"/>
    <cellStyle name="_КР1046-1047-1050 общий 18 графа на 24 марта_ПРОГНОЗ И 2008-2015 125 фоизлик ОКОНЧАТЕЛЬНЫЙ_Хоразм туман_Копия 1474 илова  01.01.2012 ўтган йилга нисбати" xfId="471"/>
    <cellStyle name="_КР1046-1047-1050 общий 18 графа на 24 марта_Прог" xfId="472"/>
    <cellStyle name="_КР1046-1047-1050 общий 18 графа на 24 марта_Прог_01.11.12 утган йилга нисбатан 2" xfId="473"/>
    <cellStyle name="_КР1046-1047-1050 общий 18 графа на 24 марта_Прог_Копия 1474 илова  01.01.2012 ўтган йилга нисбати" xfId="474"/>
    <cellStyle name="_КР1046-1047-1050 общий 18 графа на 24 марта_Рес-га" xfId="475"/>
    <cellStyle name="_КР1046-1047-1050 общий 18 графа на 24 марта_Рес-га_Ўтган йилга нисбатан" xfId="476"/>
    <cellStyle name="_КР1046-1047-1050 общий 18 графа на 24 марта_Рес-га_Ўтган йилга нисбатан_01.11.12 утган йилга нисбатан 2" xfId="477"/>
    <cellStyle name="_КР1046-1047-1050 общий 18 графа на 24 марта_Рес-га_Ўтган йилга нисбатан_Копия 1474 илова  01.01.2012 ўтган йилга нисбати" xfId="478"/>
    <cellStyle name="_КР1046-1047-1050 общий 18 графа на 24 марта_Рес-га_Копия 1474 илова  01.01.2012 ўтган йилга нисбати" xfId="479"/>
    <cellStyle name="_КР1046-1047-1050 общий 18 графа на 24 марта_СВОД БАРЧА олдинги" xfId="480"/>
    <cellStyle name="_КР1046-1047-1050 общий 18 графа на 24 марта_СВОД БАРЧА олдинги_01.11.12 утган йилга нисбатан 2" xfId="481"/>
    <cellStyle name="_КР1046-1047-1050 общий 18 графа на 24 марта_СВОД БАРЧА олдинги_Копия 1474 илова  01.01.2012 ўтган йилга нисбати" xfId="482"/>
    <cellStyle name="_КР1046-1047-1050 общий 18 графа на 24 марта_выдача_2011-2015_1" xfId="483"/>
    <cellStyle name="_КР1046-1047-1050 общий 18 графа на 24 марта_выдача_2011-2015_1_Ўтган йилга нисбатан" xfId="484"/>
    <cellStyle name="_КР1046-1047-1050 общий 18 графа на 24 марта_выдача_2011-2015_1_Ўтган йилга нисбатан_01.11.12 утган йилга нисбатан 2" xfId="485"/>
    <cellStyle name="_КР1046-1047-1050 общий 18 графа на 24 марта_выдача_2011-2015_1_Ўтган йилга нисбатан_Копия 1474 илова  01.01.2012 ўтган йилга нисбати" xfId="486"/>
    <cellStyle name="_КР1046-1047-1050 общий 18 графа на 24 марта_выдача_2011-2015_1_Копия 1474 илова  01.01.2012 ўтган йилга нисбати" xfId="487"/>
    <cellStyle name="_КР1046-1047-1050 общий 18 графа на 24 марта_выдача_2011-2015_1_Хоразм туман" xfId="488"/>
    <cellStyle name="_КР1046-1047-1050 общий 18 графа на 24 марта_выдача_2011-2015_1_Хоразм туман_01.11.12 утган йилга нисбатан 2" xfId="489"/>
    <cellStyle name="_КР1046-1047-1050 общий 18 графа на 24 марта_выдача_2011-2015_1_Хоразм туман_Копия 1474 илова  01.01.2012 ўтган йилга нисбати" xfId="490"/>
    <cellStyle name="_КР1046-1047-1050 общий 18 графа на 24 марта_форма 01.01.2016" xfId="491"/>
    <cellStyle name="_КР1046-1047-1050 общий 18 графа на 24 марта_форма 01.01.2016_01.11.12 утган йилга нисбатан 2" xfId="492"/>
    <cellStyle name="_КР1046-1047-1050 общий 18 графа на 24 марта_форма 01.01.2016_Копия 1474 илова  01.01.2012 ўтган йилга нисбати" xfId="493"/>
    <cellStyle name="_Кабминга" xfId="494"/>
    <cellStyle name="_Кабминга_Ўтган йилга нисбатан" xfId="495"/>
    <cellStyle name="_Кабминга_Ўтган йилга нисбатан_01.11.12 утган йилга нисбатан 2" xfId="496"/>
    <cellStyle name="_Кабминга_Ўтган йилга нисбатан_Копия 1474 илова  01.01.2012 ўтган йилга нисбати" xfId="497"/>
    <cellStyle name="_Кабминга_Копия 1474 илова  01.01.2012 ўтган йилга нисбати" xfId="498"/>
    <cellStyle name="_Кабминга_Хоразм туман" xfId="499"/>
    <cellStyle name="_Кабминга_Хоразм туман_01.11.12 утган йилга нисбатан 2" xfId="500"/>
    <cellStyle name="_Кабминга_Хоразм туман_Копия 1474 илова  01.01.2012 ўтган йилга нисбати" xfId="501"/>
    <cellStyle name="_Касаначи 4 ой" xfId="502"/>
    <cellStyle name="_Кашкадарё" xfId="503"/>
    <cellStyle name="_Кашкадарё_01.11.12 утган йилга нисбатан 2" xfId="504"/>
    <cellStyle name="_Кашкадарё_Копия 1474 илова  01.01.2012 ўтган йилга нисбати" xfId="505"/>
    <cellStyle name="_Кашкадарё_Прогноз_2012_24.09.11" xfId="506"/>
    <cellStyle name="_Кашкадарё_Сухроб Вилоят свод" xfId="507"/>
    <cellStyle name="_Кашкадарё_Сухроб Вилоят свод_01.11.12 утган йилга нисбатан 2" xfId="508"/>
    <cellStyle name="_Кашкадарё_Сухроб Вилоят свод_КР_ Прогноз (4 жадвал)" xfId="509"/>
    <cellStyle name="_Кашкадарё_Сухроб Вилоят свод_КР_ Прогноз (4 жадвал)_01.11.12 утган йилга нисбатан 2" xfId="510"/>
    <cellStyle name="_Кашкадарё_Сухроб Вилоят свод_КР_ Прогноз (4 жадвал)_Копия 1474 илова  01.01.2012 ўтган йилга нисбати" xfId="511"/>
    <cellStyle name="_Кашкадарё_Сухроб Вилоят свод_Копия 1474 илова  01.01.2012 ўтган йилга нисбати" xfId="512"/>
    <cellStyle name="_Кашкадарё_иктисодга" xfId="513"/>
    <cellStyle name="_Кашкадарё_иктисодга_01.11.12 утган йилга нисбатан 2" xfId="514"/>
    <cellStyle name="_Кашкадарё_иктисодга_КР_ Прогноз (4 жадвал)" xfId="515"/>
    <cellStyle name="_Кашкадарё_иктисодга_КР_ Прогноз (4 жадвал)_01.11.12 утган йилга нисбатан 2" xfId="516"/>
    <cellStyle name="_Кашкадарё_иктисодга_КР_ Прогноз (4 жадвал)_Копия 1474 илова  01.01.2012 ўтган йилга нисбати" xfId="517"/>
    <cellStyle name="_Кашкадарё_иктисодга_Копия 1474 илова  01.01.2012 ўтган йилга нисбати" xfId="518"/>
    <cellStyle name="_Книга3" xfId="519"/>
    <cellStyle name="_Книга3_Прогноз_2012_24.09.11" xfId="520"/>
    <cellStyle name="_Копия Иктисод формалари о" xfId="521"/>
    <cellStyle name="_Копия Кабминга" xfId="522"/>
    <cellStyle name="_Копия Кабминга_Ўтган йилга нисбатан" xfId="523"/>
    <cellStyle name="_Копия Кабминга_Ўтган йилга нисбатан_01.11.12 утган йилга нисбатан 2" xfId="524"/>
    <cellStyle name="_Копия Кабминга_Ўтган йилга нисбатан_Копия 1474 илова  01.01.2012 ўтган йилга нисбати" xfId="525"/>
    <cellStyle name="_Копия Кабминга_Копия 1474 илова  01.01.2012 ўтган йилга нисбати" xfId="526"/>
    <cellStyle name="_Копия Кабминга_Хоразм туман" xfId="527"/>
    <cellStyle name="_Копия Кабминга_Хоразм туман_01.11.12 утган йилга нисбатан 2" xfId="528"/>
    <cellStyle name="_Копия Кабминга_Хоразм туман_Копия 1474 илова  01.01.2012 ўтган йилга нисбати" xfId="529"/>
    <cellStyle name="_Коракалпогистон" xfId="530"/>
    <cellStyle name="_МОЛИЯ даромад-харажат" xfId="531"/>
    <cellStyle name="_МОЛИЯ даромад-харажат_01.11.12 утган йилга нисбатан 2" xfId="532"/>
    <cellStyle name="_МОЛИЯ даромад-харажат_КР_ Прогноз (4 жадвал)" xfId="533"/>
    <cellStyle name="_МОЛИЯ даромад-харажат_КР_ Прогноз (4 жадвал)_01.11.12 утган йилга нисбатан 2" xfId="534"/>
    <cellStyle name="_МОЛИЯ даромад-харажат_КР_ Прогноз (4 жадвал)_Копия 1474 илова  01.01.2012 ўтган йилга нисбати" xfId="535"/>
    <cellStyle name="_МОЛИЯ даромад-харажат_Копия 1474 илова  01.01.2012 ўтган йилга нисбати" xfId="536"/>
    <cellStyle name="_Марказий банк" xfId="537"/>
    <cellStyle name="_Марказий банк_Ўтган йилга нисбатан" xfId="538"/>
    <cellStyle name="_Марказий банк_Ўтган йилга нисбатан_01.11.12 утган йилга нисбатан 2" xfId="539"/>
    <cellStyle name="_Марказий банк_Ўтган йилга нисбатан_Копия 1474 илова  01.01.2012 ўтган йилга нисбати" xfId="540"/>
    <cellStyle name="_Марказий банк_Копия 1474 илова  01.01.2012 ўтган йилга нисбати" xfId="541"/>
    <cellStyle name="_Марказий банк_Кредит линия-русча" xfId="542"/>
    <cellStyle name="_Марказий банк_Кредит линия-русча_01.11.12 утган йилга нисбатан 2" xfId="543"/>
    <cellStyle name="_Марказий банк_Кредит линия-русча_Книга1" xfId="544"/>
    <cellStyle name="_Марказий банк_Кредит линия-русча_Книга1_01.11.12 утган йилга нисбатан 2" xfId="545"/>
    <cellStyle name="_Марказий банк_Кредит линия-русча_Книга1_Копия 1474 илова  01.01.2012 ўтган йилга нисбати" xfId="546"/>
    <cellStyle name="_Марказий банк_Кредит линия-русча_Копия 1474 илова  01.01.2012 ўтган йилга нисбати" xfId="547"/>
    <cellStyle name="_Марказий банк_Кредит линия-русча_ПРОГНОЗ И 2008-2015 125 фоизлик ОКОНЧАТЕЛЬНЫЙ" xfId="548"/>
    <cellStyle name="_Марказий банк_Кредит линия-русча_ПРОГНОЗ И 2008-2015 125 фоизлик ОКОНЧАТЕЛЬНЫЙ_01.11.12 утган йилга нисбатан 2" xfId="549"/>
    <cellStyle name="_Марказий банк_Кредит линия-русча_ПРОГНОЗ И 2008-2015 125 фоизлик ОКОНЧАТЕЛЬНЫЙ_Копия 1474 илова  01.01.2012 ўтган йилга нисбати" xfId="550"/>
    <cellStyle name="_Марказий банк_Кредит линия-русча_СВОД БАРЧА олдинги" xfId="551"/>
    <cellStyle name="_Марказий банк_Кредит линия-русча_СВОД БАРЧА олдинги_Ўтган йилга нисбатан" xfId="552"/>
    <cellStyle name="_Марказий банк_Кредит линия-русча_СВОД БАРЧА олдинги_Ўтган йилга нисбатан_01.11.12 утган йилга нисбатан 2" xfId="553"/>
    <cellStyle name="_Марказий банк_Кредит линия-русча_СВОД БАРЧА олдинги_Ўтган йилга нисбатан_Копия 1474 илова  01.01.2012 ўтган йилга нисбати" xfId="554"/>
    <cellStyle name="_Марказий банк_Кредит линия-русча_СВОД БАРЧА олдинги_Копия 1474 илова  01.01.2012 ўтган йилга нисбати" xfId="555"/>
    <cellStyle name="_Марказий банк_Кредит линия-русча_Хоразм туман" xfId="556"/>
    <cellStyle name="_Марказий банк_Кредит линия-русча_Хоразм туман_01.11.12 утган йилга нисбатан 2" xfId="557"/>
    <cellStyle name="_Марказий банк_Кредит линия-русча_Хоразм туман_Копия 1474 илова  01.01.2012 ўтган йилга нисбати" xfId="558"/>
    <cellStyle name="_Марказий банк_Кредит линия-русча_банк вилоят ув капитал" xfId="559"/>
    <cellStyle name="_Марказий банк_Кредит линия-русча_банк вилоят ув капитал_01.11.12 утган йилга нисбатан 2" xfId="560"/>
    <cellStyle name="_Марказий банк_Кредит линия-русча_банк вилоят ув капитал_Копия 1474 илова  01.01.2012 ўтган йилга нисбати" xfId="561"/>
    <cellStyle name="_Марказий банк_Кредит линия-русча_кредиты" xfId="562"/>
    <cellStyle name="_Марказий банк_Кредит линия-русча_кредиты_01.11.12 утган йилга нисбатан 2" xfId="563"/>
    <cellStyle name="_Марказий банк_Кредит линия-русча_кредиты_Копия 1474 илова  01.01.2012 ўтган йилга нисбати" xfId="564"/>
    <cellStyle name="_Марказий банк_ПРОГНОЗ И 2008-2015 125 фоизлик ОКОНЧАТЕЛЬНЫЙ" xfId="565"/>
    <cellStyle name="_Марказий банк_ПРОГНОЗ И 2008-2015 125 фоизлик ОКОНЧАТЕЛЬНЫЙ_Ўтган йилга нисбатан" xfId="566"/>
    <cellStyle name="_Марказий банк_ПРОГНОЗ И 2008-2015 125 фоизлик ОКОНЧАТЕЛЬНЫЙ_Ўтган йилга нисбатан_01.11.12 утган йилга нисбатан 2" xfId="567"/>
    <cellStyle name="_Марказий банк_ПРОГНОЗ И 2008-2015 125 фоизлик ОКОНЧАТЕЛЬНЫЙ_Ўтган йилга нисбатан_Копия 1474 илова  01.01.2012 ўтган йилга нисбати" xfId="568"/>
    <cellStyle name="_Марказий банк_ПРОГНОЗ И 2008-2015 125 фоизлик ОКОНЧАТЕЛЬНЫЙ_Копия 1474 илова  01.01.2012 ўтган йилга нисбати" xfId="569"/>
    <cellStyle name="_Марказий банк_ПРОГНОЗ И 2008-2015 125 фоизлик ОКОНЧАТЕЛЬНЫЙ_Хоразм туман" xfId="570"/>
    <cellStyle name="_Марказий банк_ПРОГНОЗ И 2008-2015 125 фоизлик ОКОНЧАТЕЛЬНЫЙ_Хоразм туман_01.11.12 утган йилга нисбатан 2" xfId="571"/>
    <cellStyle name="_Марказий банк_ПРОГНОЗ И 2008-2015 125 фоизлик ОКОНЧАТЕЛЬНЫЙ_Хоразм туман_Копия 1474 илова  01.01.2012 ўтган йилга нисбати" xfId="572"/>
    <cellStyle name="_Марказий банк_Прог" xfId="573"/>
    <cellStyle name="_Марказий банк_Прог_01.11.12 утган йилга нисбатан 2" xfId="574"/>
    <cellStyle name="_Марказий банк_Прог_Копия 1474 илова  01.01.2012 ўтган йилга нисбати" xfId="575"/>
    <cellStyle name="_Марказий банк_Рес-га" xfId="576"/>
    <cellStyle name="_Марказий банк_Рес-га_Ўтган йилга нисбатан" xfId="577"/>
    <cellStyle name="_Марказий банк_Рес-га_Ўтган йилга нисбатан_01.11.12 утган йилга нисбатан 2" xfId="578"/>
    <cellStyle name="_Марказий банк_Рес-га_Ўтган йилга нисбатан_Копия 1474 илова  01.01.2012 ўтган йилга нисбати" xfId="579"/>
    <cellStyle name="_Марказий банк_Рес-га_Копия 1474 илова  01.01.2012 ўтган йилга нисбати" xfId="580"/>
    <cellStyle name="_Марказий банк_СВОД БАРЧА олдинги" xfId="581"/>
    <cellStyle name="_Марказий банк_СВОД БАРЧА олдинги_01.11.12 утган йилга нисбатан 2" xfId="582"/>
    <cellStyle name="_Марказий банк_СВОД БАРЧА олдинги_Копия 1474 илова  01.01.2012 ўтган йилга нисбати" xfId="583"/>
    <cellStyle name="_Марказий банк_выдача_2011-2015_1" xfId="584"/>
    <cellStyle name="_Марказий банк_выдача_2011-2015_1_Ўтган йилга нисбатан" xfId="585"/>
    <cellStyle name="_Марказий банк_выдача_2011-2015_1_Ўтган йилга нисбатан_01.11.12 утган йилга нисбатан 2" xfId="586"/>
    <cellStyle name="_Марказий банк_выдача_2011-2015_1_Ўтган йилга нисбатан_Копия 1474 илова  01.01.2012 ўтган йилга нисбати" xfId="587"/>
    <cellStyle name="_Марказий банк_выдача_2011-2015_1_Копия 1474 илова  01.01.2012 ўтган йилга нисбати" xfId="588"/>
    <cellStyle name="_Марказий банк_выдача_2011-2015_1_Хоразм туман" xfId="589"/>
    <cellStyle name="_Марказий банк_выдача_2011-2015_1_Хоразм туман_01.11.12 утган йилга нисбатан 2" xfId="590"/>
    <cellStyle name="_Марказий банк_выдача_2011-2015_1_Хоразм туман_Копия 1474 илова  01.01.2012 ўтган йилга нисбати" xfId="591"/>
    <cellStyle name="_Марказий банк_форма 01.01.2016" xfId="592"/>
    <cellStyle name="_Марказий банк_форма 01.01.2016_01.11.12 утган йилга нисбатан 2" xfId="593"/>
    <cellStyle name="_Марказий банк_форма 01.01.2016_Копия 1474 илова  01.01.2012 ўтган йилга нисбати" xfId="594"/>
    <cellStyle name="_Наманган-1" xfId="595"/>
    <cellStyle name="_Наманган-1_01.11.12 утган йилга нисбатан 2" xfId="596"/>
    <cellStyle name="_Наманган-1_Копия 1474 илова  01.01.2012 ўтган йилга нисбати" xfId="597"/>
    <cellStyle name="_Наманган-1_Прогноз_2012_24.09.11" xfId="598"/>
    <cellStyle name="_Наманган-1_Сухроб Вилоят свод" xfId="599"/>
    <cellStyle name="_Наманган-1_Сухроб Вилоят свод_01.11.12 утган йилга нисбатан 2" xfId="600"/>
    <cellStyle name="_Наманган-1_Сухроб Вилоят свод_КР_ Прогноз (4 жадвал)" xfId="601"/>
    <cellStyle name="_Наманган-1_Сухроб Вилоят свод_КР_ Прогноз (4 жадвал)_01.11.12 утган йилга нисбатан 2" xfId="602"/>
    <cellStyle name="_Наманган-1_Сухроб Вилоят свод_КР_ Прогноз (4 жадвал)_Копия 1474 илова  01.01.2012 ўтган йилга нисбати" xfId="603"/>
    <cellStyle name="_Наманган-1_Сухроб Вилоят свод_Копия 1474 илова  01.01.2012 ўтган йилга нисбати" xfId="604"/>
    <cellStyle name="_Наманган-1_иктисодга" xfId="605"/>
    <cellStyle name="_Наманган-1_иктисодга_01.11.12 утган йилга нисбатан 2" xfId="606"/>
    <cellStyle name="_Наманган-1_иктисодга_КР_ Прогноз (4 жадвал)" xfId="607"/>
    <cellStyle name="_Наманган-1_иктисодга_КР_ Прогноз (4 жадвал)_01.11.12 утган йилга нисбатан 2" xfId="608"/>
    <cellStyle name="_Наманган-1_иктисодга_КР_ Прогноз (4 жадвал)_Копия 1474 илова  01.01.2012 ўтган йилга нисбати" xfId="609"/>
    <cellStyle name="_Наманган-1_иктисодга_Копия 1474 илова  01.01.2012 ўтган йилга нисбати" xfId="610"/>
    <cellStyle name="_Пахтабанк" xfId="611"/>
    <cellStyle name="_Прогноз 2009 год 2" xfId="612"/>
    <cellStyle name="_Рес-га" xfId="613"/>
    <cellStyle name="_Рес-га_Ўтган йилга нисбатан" xfId="614"/>
    <cellStyle name="_Рес-га_Ўтган йилга нисбатан_01.11.12 утган йилга нисбатан 2" xfId="615"/>
    <cellStyle name="_Рес-га_Ўтган йилга нисбатан_Копия 1474 илова  01.01.2012 ўтган йилга нисбати" xfId="616"/>
    <cellStyle name="_Рес-га_Копия 1474 илова  01.01.2012 ўтган йилга нисбати" xfId="617"/>
    <cellStyle name="_СВОД 1047_04_охирги" xfId="618"/>
    <cellStyle name="_СВОД 1047_04_охирги_Ўтган йилга нисбатан" xfId="619"/>
    <cellStyle name="_СВОД 1047_04_охирги_Ўтган йилга нисбатан_01.11.12 утган йилга нисбатан 2" xfId="620"/>
    <cellStyle name="_СВОД 1047_04_охирги_Ўтган йилга нисбатан_Копия 1474 илова  01.01.2012 ўтган йилга нисбати" xfId="621"/>
    <cellStyle name="_СВОД 1047_04_охирги_Копия 1474 илова  01.01.2012 ўтган йилга нисбати" xfId="622"/>
    <cellStyle name="_СВОД 1047_04_охирги_Хоразм туман" xfId="623"/>
    <cellStyle name="_СВОД 1047_04_охирги_Хоразм туман_01.11.12 утган йилга нисбатан 2" xfId="624"/>
    <cellStyle name="_СВОД 1047_04_охирги_Хоразм туман_Копия 1474 илова  01.01.2012 ўтган йилга нисбати" xfId="625"/>
    <cellStyle name="_СВОД 1050" xfId="626"/>
    <cellStyle name="_СВОД 1050_Ўтган йилга нисбатан" xfId="627"/>
    <cellStyle name="_СВОД 1050_Ўтган йилга нисбатан_01.11.12 утган йилга нисбатан 2" xfId="628"/>
    <cellStyle name="_СВОД 1050_Ўтган йилга нисбатан_Копия 1474 илова  01.01.2012 ўтган йилга нисбати" xfId="629"/>
    <cellStyle name="_СВОД 1050_Копия 1474 илова  01.01.2012 ўтган йилга нисбати" xfId="630"/>
    <cellStyle name="_СВОД 1050_Хоразм туман" xfId="631"/>
    <cellStyle name="_СВОД 1050_Хоразм туман_01.11.12 утган йилга нисбатан 2" xfId="632"/>
    <cellStyle name="_СВОД 1050_Хоразм туман_Копия 1474 илова  01.01.2012 ўтган йилга нисбати" xfId="633"/>
    <cellStyle name="_СВОД КабМин-Вар-тОхирги" xfId="634"/>
    <cellStyle name="_СВОД КабМин-Вар-тОхирги_Ўтган йилга нисбатан" xfId="635"/>
    <cellStyle name="_СВОД КабМин-Вар-тОхирги_Ўтган йилга нисбатан_01.11.12 утган йилга нисбатан 2" xfId="636"/>
    <cellStyle name="_СВОД КабМин-Вар-тОхирги_Ўтган йилга нисбатан_Копия 1474 илова  01.01.2012 ўтган йилга нисбати" xfId="637"/>
    <cellStyle name="_СВОД КабМин-Вар-тОхирги_Копия 1474 илова  01.01.2012 ўтган йилга нисбати" xfId="638"/>
    <cellStyle name="_СВОД КабМин-Вар-тОхирги_Кредит линия-русча" xfId="639"/>
    <cellStyle name="_СВОД КабМин-Вар-тОхирги_Кредит линия-русча_01.11.12 утган йилга нисбатан 2" xfId="640"/>
    <cellStyle name="_СВОД КабМин-Вар-тОхирги_Кредит линия-русча_Книга1" xfId="641"/>
    <cellStyle name="_СВОД КабМин-Вар-тОхирги_Кредит линия-русча_Книга1_01.11.12 утган йилга нисбатан 2" xfId="642"/>
    <cellStyle name="_СВОД КабМин-Вар-тОхирги_Кредит линия-русча_Книга1_Копия 1474 илова  01.01.2012 ўтган йилга нисбати" xfId="643"/>
    <cellStyle name="_СВОД КабМин-Вар-тОхирги_Кредит линия-русча_Копия 1474 илова  01.01.2012 ўтган йилга нисбати" xfId="644"/>
    <cellStyle name="_СВОД КабМин-Вар-тОхирги_Кредит линия-русча_ПРОГНОЗ И 2008-2015 125 фоизлик ОКОНЧАТЕЛЬНЫЙ" xfId="645"/>
    <cellStyle name="_СВОД КабМин-Вар-тОхирги_Кредит линия-русча_ПРОГНОЗ И 2008-2015 125 фоизлик ОКОНЧАТЕЛЬНЫЙ_01.11.12 утган йилга нисбатан 2" xfId="646"/>
    <cellStyle name="_СВОД КабМин-Вар-тОхирги_Кредит линия-русча_ПРОГНОЗ И 2008-2015 125 фоизлик ОКОНЧАТЕЛЬНЫЙ_Копия 1474 илова  01.01.2012 ўтган йилга нисбати" xfId="647"/>
    <cellStyle name="_СВОД КабМин-Вар-тОхирги_Кредит линия-русча_СВОД БАРЧА олдинги" xfId="648"/>
    <cellStyle name="_СВОД КабМин-Вар-тОхирги_Кредит линия-русча_СВОД БАРЧА олдинги_Ўтган йилга нисбатан" xfId="649"/>
    <cellStyle name="_СВОД КабМин-Вар-тОхирги_Кредит линия-русча_СВОД БАРЧА олдинги_Ўтган йилга нисбатан_01.11.12 утган йилга нисбатан 2" xfId="650"/>
    <cellStyle name="_СВОД КабМин-Вар-тОхирги_Кредит линия-русча_СВОД БАРЧА олдинги_Ўтган йилга нисбатан_Копия 1474 илова  01.01.2012 ўтган йилга нисбати" xfId="651"/>
    <cellStyle name="_СВОД КабМин-Вар-тОхирги_Кредит линия-русча_СВОД БАРЧА олдинги_Копия 1474 илова  01.01.2012 ўтган йилга нисбати" xfId="652"/>
    <cellStyle name="_СВОД КабМин-Вар-тОхирги_Кредит линия-русча_Хоразм туман" xfId="653"/>
    <cellStyle name="_СВОД КабМин-Вар-тОхирги_Кредит линия-русча_Хоразм туман_01.11.12 утган йилга нисбатан 2" xfId="654"/>
    <cellStyle name="_СВОД КабМин-Вар-тОхирги_Кредит линия-русча_Хоразм туман_Копия 1474 илова  01.01.2012 ўтган йилга нисбати" xfId="655"/>
    <cellStyle name="_СВОД КабМин-Вар-тОхирги_Кредит линия-русча_банк вилоят ув капитал" xfId="656"/>
    <cellStyle name="_СВОД КабМин-Вар-тОхирги_Кредит линия-русча_банк вилоят ув капитал_01.11.12 утган йилга нисбатан 2" xfId="657"/>
    <cellStyle name="_СВОД КабМин-Вар-тОхирги_Кредит линия-русча_банк вилоят ув капитал_Копия 1474 илова  01.01.2012 ўтган йилга нисбати" xfId="658"/>
    <cellStyle name="_СВОД КабМин-Вар-тОхирги_Кредит линия-русча_кредиты" xfId="659"/>
    <cellStyle name="_СВОД КабМин-Вар-тОхирги_Кредит линия-русча_кредиты_01.11.12 утган йилга нисбатан 2" xfId="660"/>
    <cellStyle name="_СВОД КабМин-Вар-тОхирги_Кредит линия-русча_кредиты_Копия 1474 илова  01.01.2012 ўтган йилга нисбати" xfId="661"/>
    <cellStyle name="_СВОД КабМин-Вар-тОхирги_ПРОГНОЗ И 2008-2015 125 фоизлик ОКОНЧАТЕЛЬНЫЙ" xfId="662"/>
    <cellStyle name="_СВОД КабМин-Вар-тОхирги_ПРОГНОЗ И 2008-2015 125 фоизлик ОКОНЧАТЕЛЬНЫЙ_Ўтган йилга нисбатан" xfId="663"/>
    <cellStyle name="_СВОД КабМин-Вар-тОхирги_ПРОГНОЗ И 2008-2015 125 фоизлик ОКОНЧАТЕЛЬНЫЙ_Ўтган йилга нисбатан_01.11.12 утган йилга нисбатан 2" xfId="664"/>
    <cellStyle name="_СВОД КабМин-Вар-тОхирги_ПРОГНОЗ И 2008-2015 125 фоизлик ОКОНЧАТЕЛЬНЫЙ_Ўтган йилга нисбатан_Копия 1474 илова  01.01.2012 ўтган йилга нисбати" xfId="665"/>
    <cellStyle name="_СВОД КабМин-Вар-тОхирги_ПРОГНОЗ И 2008-2015 125 фоизлик ОКОНЧАТЕЛЬНЫЙ_Копия 1474 илова  01.01.2012 ўтган йилга нисбати" xfId="666"/>
    <cellStyle name="_СВОД КабМин-Вар-тОхирги_ПРОГНОЗ И 2008-2015 125 фоизлик ОКОНЧАТЕЛЬНЫЙ_Хоразм туман" xfId="667"/>
    <cellStyle name="_СВОД КабМин-Вар-тОхирги_ПРОГНОЗ И 2008-2015 125 фоизлик ОКОНЧАТЕЛЬНЫЙ_Хоразм туман_01.11.12 утган йилга нисбатан 2" xfId="668"/>
    <cellStyle name="_СВОД КабМин-Вар-тОхирги_ПРОГНОЗ И 2008-2015 125 фоизлик ОКОНЧАТЕЛЬНЫЙ_Хоразм туман_Копия 1474 илова  01.01.2012 ўтган йилга нисбати" xfId="669"/>
    <cellStyle name="_СВОД КабМин-Вар-тОхирги_Прог" xfId="670"/>
    <cellStyle name="_СВОД КабМин-Вар-тОхирги_Прог_01.11.12 утган йилга нисбатан 2" xfId="671"/>
    <cellStyle name="_СВОД КабМин-Вар-тОхирги_Прог_Копия 1474 илова  01.01.2012 ўтган йилга нисбати" xfId="672"/>
    <cellStyle name="_СВОД КабМин-Вар-тОхирги_Рес-га" xfId="673"/>
    <cellStyle name="_СВОД КабМин-Вар-тОхирги_Рес-га_Ўтган йилга нисбатан" xfId="674"/>
    <cellStyle name="_СВОД КабМин-Вар-тОхирги_Рес-га_Ўтган йилга нисбатан_01.11.12 утган йилга нисбатан 2" xfId="675"/>
    <cellStyle name="_СВОД КабМин-Вар-тОхирги_Рес-га_Ўтган йилга нисбатан_Копия 1474 илова  01.01.2012 ўтган йилга нисбати" xfId="676"/>
    <cellStyle name="_СВОД КабМин-Вар-тОхирги_Рес-га_Копия 1474 илова  01.01.2012 ўтган йилга нисбати" xfId="677"/>
    <cellStyle name="_СВОД КабМин-Вар-тОхирги_СВОД БАРЧА олдинги" xfId="678"/>
    <cellStyle name="_СВОД КабМин-Вар-тОхирги_СВОД БАРЧА олдинги_01.11.12 утган йилга нисбатан 2" xfId="679"/>
    <cellStyle name="_СВОД КабМин-Вар-тОхирги_СВОД БАРЧА олдинги_Копия 1474 илова  01.01.2012 ўтган йилга нисбати" xfId="680"/>
    <cellStyle name="_СВОД КабМин-Вар-тОхирги_выдача_2011-2015_1" xfId="681"/>
    <cellStyle name="_СВОД КабМин-Вар-тОхирги_выдача_2011-2015_1_Ўтган йилга нисбатан" xfId="682"/>
    <cellStyle name="_СВОД КабМин-Вар-тОхирги_выдача_2011-2015_1_Ўтган йилга нисбатан_01.11.12 утган йилга нисбатан 2" xfId="683"/>
    <cellStyle name="_СВОД КабМин-Вар-тОхирги_выдача_2011-2015_1_Ўтган йилга нисбатан_Копия 1474 илова  01.01.2012 ўтган йилга нисбати" xfId="684"/>
    <cellStyle name="_СВОД КабМин-Вар-тОхирги_выдача_2011-2015_1_Копия 1474 илова  01.01.2012 ўтган йилга нисбати" xfId="685"/>
    <cellStyle name="_СВОД КабМин-Вар-тОхирги_выдача_2011-2015_1_Хоразм туман" xfId="686"/>
    <cellStyle name="_СВОД КабМин-Вар-тОхирги_выдача_2011-2015_1_Хоразм туман_01.11.12 утган йилга нисбатан 2" xfId="687"/>
    <cellStyle name="_СВОД КабМин-Вар-тОхирги_выдача_2011-2015_1_Хоразм туман_Копия 1474 илова  01.01.2012 ўтган йилга нисбати" xfId="688"/>
    <cellStyle name="_СВОД КабМин-Вар-тОхирги_форма 01.01.2016" xfId="689"/>
    <cellStyle name="_СВОД КабМин-Вар-тОхирги_форма 01.01.2016_01.11.12 утган йилга нисбатан 2" xfId="690"/>
    <cellStyle name="_СВОД КабМин-Вар-тОхирги_форма 01.01.2016_Копия 1474 илова  01.01.2012 ўтган йилга нисбати" xfId="691"/>
    <cellStyle name="_СВОД Парранда 1 апрел" xfId="692"/>
    <cellStyle name="_СВОД Парранда 1 апрел_Ўтган йилга нисбатан" xfId="693"/>
    <cellStyle name="_СВОД Парранда 1 апрел_Ўтган йилга нисбатан_01.11.12 утган йилга нисбатан 2" xfId="694"/>
    <cellStyle name="_СВОД Парранда 1 апрел_Ўтган йилга нисбатан_Копия 1474 илова  01.01.2012 ўтган йилга нисбати" xfId="695"/>
    <cellStyle name="_СВОД Парранда 1 апрел_Копия 1474 илова  01.01.2012 ўтган йилга нисбати" xfId="696"/>
    <cellStyle name="_СВОД Парранда 1 апрел_Хоразм туман" xfId="697"/>
    <cellStyle name="_СВОД Парранда 1 апрел_Хоразм туман_01.11.12 утган йилга нисбатан 2" xfId="698"/>
    <cellStyle name="_СВОД Парранда 1 апрел_Хоразм туман_Копия 1474 илова  01.01.2012 ўтган йилга нисбати" xfId="699"/>
    <cellStyle name="_СВОД ТАДБИРКОР АЁЛ 01.06.2010" xfId="700"/>
    <cellStyle name="_СВОД ТАДБИРКОР АЁЛ 01.06.2010_Ўтган йилга нисбатан" xfId="701"/>
    <cellStyle name="_СВОД ТАДБИРКОР АЁЛ 01.06.2010_Ўтган йилга нисбатан_01.11.12 утган йилга нисбатан 2" xfId="702"/>
    <cellStyle name="_СВОД ТАДБИРКОР АЁЛ 01.06.2010_Ўтган йилга нисбатан_Копия 1474 илова  01.01.2012 ўтган йилга нисбати" xfId="703"/>
    <cellStyle name="_СВОД ТАДБИРКОР АЁЛ 01.06.2010_Копия 1474 илова  01.01.2012 ўтган йилга нисбати" xfId="704"/>
    <cellStyle name="_СВОД ТАДБИРКОР АЁЛ 01.06.2010_Хоразм туман" xfId="705"/>
    <cellStyle name="_СВОД ТАДБИРКОР АЁЛ 01.06.2010_Хоразм туман_01.11.12 утган йилга нисбатан 2" xfId="706"/>
    <cellStyle name="_СВОД ТАДБИРКОР АЁЛ 01.06.2010_Хоразм туман_Копия 1474 илова  01.01.2012 ўтган йилга нисбати" xfId="707"/>
    <cellStyle name="_СВОД-Банк-Вилоят" xfId="708"/>
    <cellStyle name="_СВОД-Банк-Вилоят_Ўтган йилга нисбатан" xfId="709"/>
    <cellStyle name="_СВОД-Банк-Вилоят_Ўтган йилга нисбатан_01.11.12 утган йилга нисбатан 2" xfId="710"/>
    <cellStyle name="_СВОД-Банк-Вилоят_Ўтган йилга нисбатан_Копия 1474 илова  01.01.2012 ўтган йилга нисбати" xfId="711"/>
    <cellStyle name="_СВОД-Банк-Вилоят_Копия 1474 илова  01.01.2012 ўтган йилга нисбати" xfId="712"/>
    <cellStyle name="_СВОД-Банк-Вилоят_Кредит линия-русча" xfId="713"/>
    <cellStyle name="_СВОД-Банк-Вилоят_Кредит линия-русча_01.11.12 утган йилга нисбатан 2" xfId="714"/>
    <cellStyle name="_СВОД-Банк-Вилоят_Кредит линия-русча_Книга1" xfId="715"/>
    <cellStyle name="_СВОД-Банк-Вилоят_Кредит линия-русча_Книга1_01.11.12 утган йилга нисбатан 2" xfId="716"/>
    <cellStyle name="_СВОД-Банк-Вилоят_Кредит линия-русча_Книга1_Копия 1474 илова  01.01.2012 ўтган йилга нисбати" xfId="717"/>
    <cellStyle name="_СВОД-Банк-Вилоят_Кредит линия-русча_Копия 1474 илова  01.01.2012 ўтган йилга нисбати" xfId="718"/>
    <cellStyle name="_СВОД-Банк-Вилоят_Кредит линия-русча_ПРОГНОЗ И 2008-2015 125 фоизлик ОКОНЧАТЕЛЬНЫЙ" xfId="719"/>
    <cellStyle name="_СВОД-Банк-Вилоят_Кредит линия-русча_ПРОГНОЗ И 2008-2015 125 фоизлик ОКОНЧАТЕЛЬНЫЙ_01.11.12 утган йилга нисбатан 2" xfId="720"/>
    <cellStyle name="_СВОД-Банк-Вилоят_Кредит линия-русча_ПРОГНОЗ И 2008-2015 125 фоизлик ОКОНЧАТЕЛЬНЫЙ_Копия 1474 илова  01.01.2012 ўтган йилга нисбати" xfId="721"/>
    <cellStyle name="_СВОД-Банк-Вилоят_Кредит линия-русча_СВОД БАРЧА олдинги" xfId="722"/>
    <cellStyle name="_СВОД-Банк-Вилоят_Кредит линия-русча_СВОД БАРЧА олдинги_Ўтган йилга нисбатан" xfId="723"/>
    <cellStyle name="_СВОД-Банк-Вилоят_Кредит линия-русча_СВОД БАРЧА олдинги_Ўтган йилга нисбатан_01.11.12 утган йилга нисбатан 2" xfId="724"/>
    <cellStyle name="_СВОД-Банк-Вилоят_Кредит линия-русча_СВОД БАРЧА олдинги_Ўтган йилга нисбатан_Копия 1474 илова  01.01.2012 ўтган йилга нисбати" xfId="725"/>
    <cellStyle name="_СВОД-Банк-Вилоят_Кредит линия-русча_СВОД БАРЧА олдинги_Копия 1474 илова  01.01.2012 ўтган йилга нисбати" xfId="726"/>
    <cellStyle name="_СВОД-Банк-Вилоят_Кредит линия-русча_Хоразм туман" xfId="727"/>
    <cellStyle name="_СВОД-Банк-Вилоят_Кредит линия-русча_Хоразм туман_01.11.12 утган йилга нисбатан 2" xfId="728"/>
    <cellStyle name="_СВОД-Банк-Вилоят_Кредит линия-русча_Хоразм туман_Копия 1474 илова  01.01.2012 ўтган йилга нисбати" xfId="729"/>
    <cellStyle name="_СВОД-Банк-Вилоят_Кредит линия-русча_банк вилоят ув капитал" xfId="730"/>
    <cellStyle name="_СВОД-Банк-Вилоят_Кредит линия-русча_банк вилоят ув капитал_01.11.12 утган йилга нисбатан 2" xfId="731"/>
    <cellStyle name="_СВОД-Банк-Вилоят_Кредит линия-русча_банк вилоят ув капитал_Копия 1474 илова  01.01.2012 ўтган йилга нисбати" xfId="732"/>
    <cellStyle name="_СВОД-Банк-Вилоят_Кредит линия-русча_кредиты" xfId="733"/>
    <cellStyle name="_СВОД-Банк-Вилоят_Кредит линия-русча_кредиты_01.11.12 утган йилга нисбатан 2" xfId="734"/>
    <cellStyle name="_СВОД-Банк-Вилоят_Кредит линия-русча_кредиты_Копия 1474 илова  01.01.2012 ўтган йилга нисбати" xfId="735"/>
    <cellStyle name="_СВОД-Банк-Вилоят_ПРОГНОЗ И 2008-2015 125 фоизлик ОКОНЧАТЕЛЬНЫЙ" xfId="736"/>
    <cellStyle name="_СВОД-Банк-Вилоят_ПРОГНОЗ И 2008-2015 125 фоизлик ОКОНЧАТЕЛЬНЫЙ_Ўтган йилга нисбатан" xfId="737"/>
    <cellStyle name="_СВОД-Банк-Вилоят_ПРОГНОЗ И 2008-2015 125 фоизлик ОКОНЧАТЕЛЬНЫЙ_Ўтган йилга нисбатан_01.11.12 утган йилга нисбатан 2" xfId="738"/>
    <cellStyle name="_СВОД-Банк-Вилоят_ПРОГНОЗ И 2008-2015 125 фоизлик ОКОНЧАТЕЛЬНЫЙ_Ўтган йилга нисбатан_Копия 1474 илова  01.01.2012 ўтган йилга нисбати" xfId="739"/>
    <cellStyle name="_СВОД-Банк-Вилоят_ПРОГНОЗ И 2008-2015 125 фоизлик ОКОНЧАТЕЛЬНЫЙ_Копия 1474 илова  01.01.2012 ўтган йилга нисбати" xfId="740"/>
    <cellStyle name="_СВОД-Банк-Вилоят_ПРОГНОЗ И 2008-2015 125 фоизлик ОКОНЧАТЕЛЬНЫЙ_Хоразм туман" xfId="741"/>
    <cellStyle name="_СВОД-Банк-Вилоят_ПРОГНОЗ И 2008-2015 125 фоизлик ОКОНЧАТЕЛЬНЫЙ_Хоразм туман_01.11.12 утган йилга нисбатан 2" xfId="742"/>
    <cellStyle name="_СВОД-Банк-Вилоят_ПРОГНОЗ И 2008-2015 125 фоизлик ОКОНЧАТЕЛЬНЫЙ_Хоразм туман_Копия 1474 илова  01.01.2012 ўтган йилга нисбати" xfId="743"/>
    <cellStyle name="_СВОД-Банк-Вилоят_Прог" xfId="744"/>
    <cellStyle name="_СВОД-Банк-Вилоят_Прог_01.11.12 утган йилга нисбатан 2" xfId="745"/>
    <cellStyle name="_СВОД-Банк-Вилоят_Прог_Копия 1474 илова  01.01.2012 ўтган йилга нисбати" xfId="746"/>
    <cellStyle name="_СВОД-Банк-Вилоят_Рес-га" xfId="747"/>
    <cellStyle name="_СВОД-Банк-Вилоят_Рес-га_Ўтган йилга нисбатан" xfId="748"/>
    <cellStyle name="_СВОД-Банк-Вилоят_Рес-га_Ўтган йилга нисбатан_01.11.12 утган йилга нисбатан 2" xfId="749"/>
    <cellStyle name="_СВОД-Банк-Вилоят_Рес-га_Ўтган йилга нисбатан_Копия 1474 илова  01.01.2012 ўтган йилга нисбати" xfId="750"/>
    <cellStyle name="_СВОД-Банк-Вилоят_Рес-га_Копия 1474 илова  01.01.2012 ўтган йилга нисбати" xfId="751"/>
    <cellStyle name="_СВОД-Банк-Вилоят_СВОД БАРЧА олдинги" xfId="752"/>
    <cellStyle name="_СВОД-Банк-Вилоят_СВОД БАРЧА олдинги_01.11.12 утган йилга нисбатан 2" xfId="753"/>
    <cellStyle name="_СВОД-Банк-Вилоят_СВОД БАРЧА олдинги_Копия 1474 илова  01.01.2012 ўтган йилга нисбати" xfId="754"/>
    <cellStyle name="_СВОД-Банк-Вилоят_выдача_2011-2015_1" xfId="755"/>
    <cellStyle name="_СВОД-Банк-Вилоят_выдача_2011-2015_1_Ўтган йилга нисбатан" xfId="756"/>
    <cellStyle name="_СВОД-Банк-Вилоят_выдача_2011-2015_1_Ўтган йилга нисбатан_01.11.12 утган йилга нисбатан 2" xfId="757"/>
    <cellStyle name="_СВОД-Банк-Вилоят_выдача_2011-2015_1_Ўтган йилга нисбатан_Копия 1474 илова  01.01.2012 ўтган йилга нисбати" xfId="758"/>
    <cellStyle name="_СВОД-Банк-Вилоят_выдача_2011-2015_1_Копия 1474 илова  01.01.2012 ўтган йилга нисбати" xfId="759"/>
    <cellStyle name="_СВОД-Банк-Вилоят_выдача_2011-2015_1_Хоразм туман" xfId="760"/>
    <cellStyle name="_СВОД-Банк-Вилоят_выдача_2011-2015_1_Хоразм туман_01.11.12 утган йилга нисбатан 2" xfId="761"/>
    <cellStyle name="_СВОД-Банк-Вилоят_выдача_2011-2015_1_Хоразм туман_Копия 1474 илова  01.01.2012 ўтган йилга нисбати" xfId="762"/>
    <cellStyle name="_СВОД-Банк-Вилоят_форма 01.01.2016" xfId="763"/>
    <cellStyle name="_СВОД-Банк-Вилоят_форма 01.01.2016_01.11.12 утган йилга нисбатан 2" xfId="764"/>
    <cellStyle name="_СВОД-Банк-Вилоят_форма 01.01.2016_Копия 1474 илова  01.01.2012 ўтган йилга нисбати" xfId="765"/>
    <cellStyle name="_СВОД-Умумий" xfId="766"/>
    <cellStyle name="_СВОД-Умумий_Ўтган йилга нисбатан" xfId="767"/>
    <cellStyle name="_СВОД-Умумий_Ўтган йилга нисбатан_01.11.12 утган йилга нисбатан 2" xfId="768"/>
    <cellStyle name="_СВОД-Умумий_Ўтган йилга нисбатан_Копия 1474 илова  01.01.2012 ўтган йилга нисбати" xfId="769"/>
    <cellStyle name="_СВОД-Умумий_Копия 1474 илова  01.01.2012 ўтган йилга нисбати" xfId="770"/>
    <cellStyle name="_СВОД-Умумий_Кредит линия-русча" xfId="771"/>
    <cellStyle name="_СВОД-Умумий_Кредит линия-русча_01.11.12 утган йилга нисбатан 2" xfId="772"/>
    <cellStyle name="_СВОД-Умумий_Кредит линия-русча_Книга1" xfId="773"/>
    <cellStyle name="_СВОД-Умумий_Кредит линия-русча_Книга1_01.11.12 утган йилга нисбатан 2" xfId="774"/>
    <cellStyle name="_СВОД-Умумий_Кредит линия-русча_Книга1_Копия 1474 илова  01.01.2012 ўтган йилга нисбати" xfId="775"/>
    <cellStyle name="_СВОД-Умумий_Кредит линия-русча_Копия 1474 илова  01.01.2012 ўтган йилга нисбати" xfId="776"/>
    <cellStyle name="_СВОД-Умумий_Кредит линия-русча_ПРОГНОЗ И 2008-2015 125 фоизлик ОКОНЧАТЕЛЬНЫЙ" xfId="777"/>
    <cellStyle name="_СВОД-Умумий_Кредит линия-русча_ПРОГНОЗ И 2008-2015 125 фоизлик ОКОНЧАТЕЛЬНЫЙ_01.11.12 утган йилга нисбатан 2" xfId="778"/>
    <cellStyle name="_СВОД-Умумий_Кредит линия-русча_ПРОГНОЗ И 2008-2015 125 фоизлик ОКОНЧАТЕЛЬНЫЙ_Копия 1474 илова  01.01.2012 ўтган йилга нисбати" xfId="779"/>
    <cellStyle name="_СВОД-Умумий_Кредит линия-русча_СВОД БАРЧА олдинги" xfId="780"/>
    <cellStyle name="_СВОД-Умумий_Кредит линия-русча_СВОД БАРЧА олдинги_Ўтган йилга нисбатан" xfId="781"/>
    <cellStyle name="_СВОД-Умумий_Кредит линия-русча_СВОД БАРЧА олдинги_Ўтган йилга нисбатан_01.11.12 утган йилга нисбатан 2" xfId="782"/>
    <cellStyle name="_СВОД-Умумий_Кредит линия-русча_СВОД БАРЧА олдинги_Ўтган йилга нисбатан_Копия 1474 илова  01.01.2012 ўтган йилга нисбати" xfId="783"/>
    <cellStyle name="_СВОД-Умумий_Кредит линия-русча_СВОД БАРЧА олдинги_Копия 1474 илова  01.01.2012 ўтган йилга нисбати" xfId="784"/>
    <cellStyle name="_СВОД-Умумий_Кредит линия-русча_Хоразм туман" xfId="785"/>
    <cellStyle name="_СВОД-Умумий_Кредит линия-русча_Хоразм туман_01.11.12 утган йилга нисбатан 2" xfId="786"/>
    <cellStyle name="_СВОД-Умумий_Кредит линия-русча_Хоразм туман_Копия 1474 илова  01.01.2012 ўтган йилга нисбати" xfId="787"/>
    <cellStyle name="_СВОД-Умумий_Кредит линия-русча_банк вилоят ув капитал" xfId="788"/>
    <cellStyle name="_СВОД-Умумий_Кредит линия-русча_банк вилоят ув капитал_01.11.12 утган йилга нисбатан 2" xfId="789"/>
    <cellStyle name="_СВОД-Умумий_Кредит линия-русча_банк вилоят ув капитал_Копия 1474 илова  01.01.2012 ўтган йилга нисбати" xfId="790"/>
    <cellStyle name="_СВОД-Умумий_Кредит линия-русча_кредиты" xfId="791"/>
    <cellStyle name="_СВОД-Умумий_Кредит линия-русча_кредиты_01.11.12 утган йилга нисбатан 2" xfId="792"/>
    <cellStyle name="_СВОД-Умумий_Кредит линия-русча_кредиты_Копия 1474 илова  01.01.2012 ўтган йилга нисбати" xfId="793"/>
    <cellStyle name="_СВОД-Умумий_ПРОГНОЗ И 2008-2015 125 фоизлик ОКОНЧАТЕЛЬНЫЙ" xfId="794"/>
    <cellStyle name="_СВОД-Умумий_ПРОГНОЗ И 2008-2015 125 фоизлик ОКОНЧАТЕЛЬНЫЙ_Ўтган йилга нисбатан" xfId="795"/>
    <cellStyle name="_СВОД-Умумий_ПРОГНОЗ И 2008-2015 125 фоизлик ОКОНЧАТЕЛЬНЫЙ_Ўтган йилга нисбатан_01.11.12 утган йилга нисбатан 2" xfId="796"/>
    <cellStyle name="_СВОД-Умумий_ПРОГНОЗ И 2008-2015 125 фоизлик ОКОНЧАТЕЛЬНЫЙ_Ўтган йилга нисбатан_Копия 1474 илова  01.01.2012 ўтган йилга нисбати" xfId="797"/>
    <cellStyle name="_СВОД-Умумий_ПРОГНОЗ И 2008-2015 125 фоизлик ОКОНЧАТЕЛЬНЫЙ_Копия 1474 илова  01.01.2012 ўтган йилга нисбати" xfId="798"/>
    <cellStyle name="_СВОД-Умумий_ПРОГНОЗ И 2008-2015 125 фоизлик ОКОНЧАТЕЛЬНЫЙ_Хоразм туман" xfId="799"/>
    <cellStyle name="_СВОД-Умумий_ПРОГНОЗ И 2008-2015 125 фоизлик ОКОНЧАТЕЛЬНЫЙ_Хоразм туман_01.11.12 утган йилга нисбатан 2" xfId="800"/>
    <cellStyle name="_СВОД-Умумий_ПРОГНОЗ И 2008-2015 125 фоизлик ОКОНЧАТЕЛЬНЫЙ_Хоразм туман_Копия 1474 илова  01.01.2012 ўтган йилга нисбати" xfId="801"/>
    <cellStyle name="_СВОД-Умумий_Прог" xfId="802"/>
    <cellStyle name="_СВОД-Умумий_Прог_01.11.12 утган йилга нисбатан 2" xfId="803"/>
    <cellStyle name="_СВОД-Умумий_Прог_Копия 1474 илова  01.01.2012 ўтган йилга нисбати" xfId="804"/>
    <cellStyle name="_СВОД-Умумий_Рес-га" xfId="805"/>
    <cellStyle name="_СВОД-Умумий_Рес-га_Ўтган йилга нисбатан" xfId="806"/>
    <cellStyle name="_СВОД-Умумий_Рес-га_Ўтган йилга нисбатан_01.11.12 утган йилга нисбатан 2" xfId="807"/>
    <cellStyle name="_СВОД-Умумий_Рес-га_Ўтган йилга нисбатан_Копия 1474 илова  01.01.2012 ўтган йилга нисбати" xfId="808"/>
    <cellStyle name="_СВОД-Умумий_Рес-га_Копия 1474 илова  01.01.2012 ўтган йилга нисбати" xfId="809"/>
    <cellStyle name="_СВОД-Умумий_СВОД БАРЧА олдинги" xfId="810"/>
    <cellStyle name="_СВОД-Умумий_СВОД БАРЧА олдинги_01.11.12 утган йилга нисбатан 2" xfId="811"/>
    <cellStyle name="_СВОД-Умумий_СВОД БАРЧА олдинги_Копия 1474 илова  01.01.2012 ўтган йилга нисбати" xfId="812"/>
    <cellStyle name="_СВОД-Умумий_выдача_2011-2015_1" xfId="813"/>
    <cellStyle name="_СВОД-Умумий_выдача_2011-2015_1_Ўтган йилга нисбатан" xfId="814"/>
    <cellStyle name="_СВОД-Умумий_выдача_2011-2015_1_Ўтган йилга нисбатан_01.11.12 утган йилга нисбатан 2" xfId="815"/>
    <cellStyle name="_СВОД-Умумий_выдача_2011-2015_1_Ўтган йилга нисбатан_Копия 1474 илова  01.01.2012 ўтган йилга нисбати" xfId="816"/>
    <cellStyle name="_СВОД-Умумий_выдача_2011-2015_1_Копия 1474 илова  01.01.2012 ўтган йилга нисбати" xfId="817"/>
    <cellStyle name="_СВОД-Умумий_выдача_2011-2015_1_Хоразм туман" xfId="818"/>
    <cellStyle name="_СВОД-Умумий_выдача_2011-2015_1_Хоразм туман_01.11.12 утган йилга нисбатан 2" xfId="819"/>
    <cellStyle name="_СВОД-Умумий_выдача_2011-2015_1_Хоразм туман_Копия 1474 илова  01.01.2012 ўтган йилга нисбати" xfId="820"/>
    <cellStyle name="_СВОД-Умумий_форма 01.01.2016" xfId="821"/>
    <cellStyle name="_СВОД-Умумий_форма 01.01.2016_01.11.12 утган йилга нисбатан 2" xfId="822"/>
    <cellStyle name="_СВОД-Умумий_форма 01.01.2016_Копия 1474 илова  01.01.2012 ўтган йилга нисбати" xfId="823"/>
    <cellStyle name="_Самар_анд" xfId="824"/>
    <cellStyle name="_Самар_анд_01.11.12 утган йилга нисбатан 2" xfId="825"/>
    <cellStyle name="_Самар_анд_Копия 1474 илова  01.01.2012 ўтган йилга нисбати" xfId="826"/>
    <cellStyle name="_Самар_анд_Прогноз_2012_24.09.11" xfId="827"/>
    <cellStyle name="_Самар_анд_Сухроб Вилоят свод" xfId="828"/>
    <cellStyle name="_Самар_анд_Сухроб Вилоят свод_01.11.12 утган йилга нисбатан 2" xfId="829"/>
    <cellStyle name="_Самар_анд_Сухроб Вилоят свод_КР_ Прогноз (4 жадвал)" xfId="830"/>
    <cellStyle name="_Самар_анд_Сухроб Вилоят свод_КР_ Прогноз (4 жадвал)_01.11.12 утган йилга нисбатан 2" xfId="831"/>
    <cellStyle name="_Самар_анд_Сухроб Вилоят свод_КР_ Прогноз (4 жадвал)_Копия 1474 илова  01.01.2012 ўтган йилга нисбати" xfId="832"/>
    <cellStyle name="_Самар_анд_Сухроб Вилоят свод_Копия 1474 илова  01.01.2012 ўтган йилга нисбати" xfId="833"/>
    <cellStyle name="_Самар_анд_иктисодга" xfId="834"/>
    <cellStyle name="_Самар_анд_иктисодга_01.11.12 утган йилга нисбатан 2" xfId="835"/>
    <cellStyle name="_Самар_анд_иктисодга_КР_ Прогноз (4 жадвал)" xfId="836"/>
    <cellStyle name="_Самар_анд_иктисодга_КР_ Прогноз (4 жадвал)_01.11.12 утган йилга нисбатан 2" xfId="837"/>
    <cellStyle name="_Самар_анд_иктисодга_КР_ Прогноз (4 жадвал)_Копия 1474 илова  01.01.2012 ўтган йилга нисбати" xfId="838"/>
    <cellStyle name="_Самар_анд_иктисодга_Копия 1474 илова  01.01.2012 ўтган йилга нисбати" xfId="839"/>
    <cellStyle name="_Сирдарё" xfId="840"/>
    <cellStyle name="_Сирдарё_01.11.12 утган йилга нисбатан 2" xfId="841"/>
    <cellStyle name="_Сирдарё_Копия 1474 илова  01.01.2012 ўтган йилга нисбати" xfId="842"/>
    <cellStyle name="_Сирдарё_Прогноз_2012_24.09.11" xfId="843"/>
    <cellStyle name="_Сирдарё_Сухроб Вилоят свод" xfId="844"/>
    <cellStyle name="_Сирдарё_Сухроб Вилоят свод_01.11.12 утган йилга нисбатан 2" xfId="845"/>
    <cellStyle name="_Сирдарё_Сухроб Вилоят свод_КР_ Прогноз (4 жадвал)" xfId="846"/>
    <cellStyle name="_Сирдарё_Сухроб Вилоят свод_КР_ Прогноз (4 жадвал)_01.11.12 утган йилга нисбатан 2" xfId="847"/>
    <cellStyle name="_Сирдарё_Сухроб Вилоят свод_КР_ Прогноз (4 жадвал)_Копия 1474 илова  01.01.2012 ўтган йилга нисбати" xfId="848"/>
    <cellStyle name="_Сирдарё_Сухроб Вилоят свод_Копия 1474 илова  01.01.2012 ўтган йилга нисбати" xfId="849"/>
    <cellStyle name="_Сирдарё_иктисодга" xfId="850"/>
    <cellStyle name="_Сирдарё_иктисодга_01.11.12 утган йилга нисбатан 2" xfId="851"/>
    <cellStyle name="_Сирдарё_иктисодга_КР_ Прогноз (4 жадвал)" xfId="852"/>
    <cellStyle name="_Сирдарё_иктисодга_КР_ Прогноз (4 жадвал)_01.11.12 утган йилга нисбатан 2" xfId="853"/>
    <cellStyle name="_Сирдарё_иктисодга_КР_ Прогноз (4 жадвал)_Копия 1474 илова  01.01.2012 ўтган йилга нисбати" xfId="854"/>
    <cellStyle name="_Сирдарё_иктисодга_Копия 1474 илова  01.01.2012 ўтган йилга нисбати" xfId="855"/>
    <cellStyle name="_Сурхондарё" xfId="856"/>
    <cellStyle name="_Сурхондарё " xfId="857"/>
    <cellStyle name="_Сурхондарё _01.11.12 утган йилга нисбатан 2" xfId="858"/>
    <cellStyle name="_Сурхондарё _Копия 1474 илова  01.01.2012 ўтган йилга нисбати" xfId="859"/>
    <cellStyle name="_Сурхондарё _Прогноз_2012_24.09.11" xfId="860"/>
    <cellStyle name="_Сурхондарё _Сухроб Вилоят свод" xfId="861"/>
    <cellStyle name="_Сурхондарё _Сухроб Вилоят свод_01.11.12 утган йилга нисбатан 2" xfId="862"/>
    <cellStyle name="_Сурхондарё _Сухроб Вилоят свод_КР_ Прогноз (4 жадвал)" xfId="863"/>
    <cellStyle name="_Сурхондарё _Сухроб Вилоят свод_КР_ Прогноз (4 жадвал)_01.11.12 утган йилга нисбатан 2" xfId="864"/>
    <cellStyle name="_Сурхондарё _Сухроб Вилоят свод_КР_ Прогноз (4 жадвал)_Копия 1474 илова  01.01.2012 ўтган йилга нисбати" xfId="865"/>
    <cellStyle name="_Сурхондарё _Сухроб Вилоят свод_Копия 1474 илова  01.01.2012 ўтган йилга нисбати" xfId="866"/>
    <cellStyle name="_Сурхондарё _иктисодга" xfId="867"/>
    <cellStyle name="_Сурхондарё _иктисодга_01.11.12 утган йилга нисбатан 2" xfId="868"/>
    <cellStyle name="_Сурхондарё _иктисодга_КР_ Прогноз (4 жадвал)" xfId="869"/>
    <cellStyle name="_Сурхондарё _иктисодга_КР_ Прогноз (4 жадвал)_01.11.12 утган йилга нисбатан 2" xfId="870"/>
    <cellStyle name="_Сурхондарё _иктисодга_КР_ Прогноз (4 жадвал)_Копия 1474 илова  01.01.2012 ўтган йилга нисбати" xfId="871"/>
    <cellStyle name="_Сурхондарё _иктисодга_Копия 1474 илова  01.01.2012 ўтган йилга нисбати" xfId="872"/>
    <cellStyle name="_Сухроб Вилоят свод" xfId="873"/>
    <cellStyle name="_ТошВилоят" xfId="874"/>
    <cellStyle name="_Тошкент в." xfId="875"/>
    <cellStyle name="_Тошкент в._01.11.12 утган йилга нисбатан 2" xfId="876"/>
    <cellStyle name="_Тошкент в._Копия 1474 илова  01.01.2012 ўтган йилга нисбати" xfId="877"/>
    <cellStyle name="_Факторный анализ" xfId="878"/>
    <cellStyle name="_Фаолият" xfId="879"/>
    <cellStyle name="_Фаолият_01.11.12 утган йилга нисбатан 2" xfId="880"/>
    <cellStyle name="_Фаолият_67 та жадвал №2" xfId="881"/>
    <cellStyle name="_Фаолият_67 та жадвал №2_01.11.12 утган йилга нисбатан 2" xfId="882"/>
    <cellStyle name="_Фаолият_67 та жадвал №2_Копия 1474 илова  01.01.2012 ўтган йилга нисбати" xfId="883"/>
    <cellStyle name="_Фаолият_67 талик жадвал-Иктисод №1" xfId="884"/>
    <cellStyle name="_Фаолият_67 талик жадвал-Иктисод №1_01.11.12 утган йилга нисбатан 2" xfId="885"/>
    <cellStyle name="_Фаолият_67 талик жадвал-Иктисод №1_Копия 1474 илова  01.01.2012 ўтган йилга нисбати" xfId="886"/>
    <cellStyle name="_Фаолият_БАЖАРИЛИШИ 1-май" xfId="887"/>
    <cellStyle name="_Фаолият_БАЖАРИЛИШИ 1-май_01.11.12 утган йилга нисбатан 2" xfId="888"/>
    <cellStyle name="_Фаолият_БАЖАРИЛИШИ 1-май_КР_ Прогноз (4 жадвал)" xfId="889"/>
    <cellStyle name="_Фаолият_БАЖАРИЛИШИ 1-май_КР_ Прогноз (4 жадвал)_01.11.12 утган йилга нисбатан 2" xfId="890"/>
    <cellStyle name="_Фаолият_БАЖАРИЛИШИ 1-май_КР_ Прогноз (4 жадвал)_Копия 1474 илова  01.01.2012 ўтган йилга нисбати" xfId="891"/>
    <cellStyle name="_Фаолият_БАЖАРИЛИШИ 1-май_Копия 1474 илова  01.01.2012 ўтган йилга нисбати" xfId="892"/>
    <cellStyle name="_Фаолият_Бобир учун 67 талик жадвал-Иктисод" xfId="893"/>
    <cellStyle name="_Фаолият_Бобир учун 67 талик жадвал-Иктисод_01.11.12 утган йилга нисбатан 2" xfId="894"/>
    <cellStyle name="_Фаолият_Бобир учун 67 талик жадвал-Иктисод_Копия 1474 илова  01.01.2012 ўтган йилга нисбати" xfId="895"/>
    <cellStyle name="_Фаолият_КР_ Прогноз (4 жадвал)" xfId="896"/>
    <cellStyle name="_Фаолият_КР_ Прогноз (4 жадвал)_01.11.12 утган йилга нисбатан 2" xfId="897"/>
    <cellStyle name="_Фаолият_КР_ Прогноз (4 жадвал)_Копия 1474 илова  01.01.2012 ўтган йилга нисбати" xfId="898"/>
    <cellStyle name="_Фаолият_Касаначи 4 ой" xfId="899"/>
    <cellStyle name="_Фаолият_Касаначи 4 ой_01.11.12 утган йилга нисбатан 2" xfId="900"/>
    <cellStyle name="_Фаолият_Касаначи 4 ой_Копия 1474 илова  01.01.2012 ўтган йилга нисбати" xfId="901"/>
    <cellStyle name="_Фаолият_Копия 1474 илова  01.01.2012 ўтган йилга нисбати" xfId="902"/>
    <cellStyle name="_Фаолият_Прогноз_2012_24.09.11" xfId="903"/>
    <cellStyle name="_Фаолият_Сухроб Вилоят свод" xfId="904"/>
    <cellStyle name="_Фаолият_Сухроб Вилоят свод_01.11.12 утган йилга нисбатан 2" xfId="905"/>
    <cellStyle name="_Фаолият_Сухроб Вилоят свод_КР_ Прогноз (4 жадвал)" xfId="906"/>
    <cellStyle name="_Фаолият_Сухроб Вилоят свод_КР_ Прогноз (4 жадвал)_01.11.12 утган йилга нисбатан 2" xfId="907"/>
    <cellStyle name="_Фаолият_Сухроб Вилоят свод_КР_ Прогноз (4 жадвал)_Копия 1474 илова  01.01.2012 ўтган йилга нисбати" xfId="908"/>
    <cellStyle name="_Фаолият_Сухроб Вилоят свод_Копия 1474 илова  01.01.2012 ўтган йилга нисбати" xfId="909"/>
    <cellStyle name="_Фаолият_ЯИЎ-сервис" xfId="910"/>
    <cellStyle name="_Фаолият_ЯИЎ-сервис_01.11.12 утган йилга нисбатан 2" xfId="911"/>
    <cellStyle name="_Фаолият_ЯИЎ-сервис_КР_ Прогноз (4 жадвал)" xfId="912"/>
    <cellStyle name="_Фаолият_ЯИЎ-сервис_КР_ Прогноз (4 жадвал)_01.11.12 утган йилга нисбатан 2" xfId="913"/>
    <cellStyle name="_Фаолият_ЯИЎ-сервис_КР_ Прогноз (4 жадвал)_Копия 1474 илова  01.01.2012 ўтган йилга нисбати" xfId="914"/>
    <cellStyle name="_Фаолият_ЯИЎ-сервис_Копия 1474 илова  01.01.2012 ўтган йилга нисбати" xfId="915"/>
    <cellStyle name="_Фаолият_иктисодга" xfId="916"/>
    <cellStyle name="_Фаолият_иктисодга_01.11.12 утган йилга нисбатан 2" xfId="917"/>
    <cellStyle name="_Фаолият_иктисодга_КР_ Прогноз (4 жадвал)" xfId="918"/>
    <cellStyle name="_Фаолият_иктисодга_КР_ Прогноз (4 жадвал)_01.11.12 утган йилга нисбатан 2" xfId="919"/>
    <cellStyle name="_Фаолият_иктисодга_КР_ Прогноз (4 жадвал)_Копия 1474 илова  01.01.2012 ўтган йилга нисбати" xfId="920"/>
    <cellStyle name="_Фаолият_иктисодга_Копия 1474 илова  01.01.2012 ўтган йилга нисбати" xfId="921"/>
    <cellStyle name="_Фаолият_учта туман буйича касана" xfId="922"/>
    <cellStyle name="_Фаолият_учта туман буйича касана_01.11.12 утган йилга нисбатан 2" xfId="923"/>
    <cellStyle name="_Фаолият_учта туман буйича касана_Копия 1474 илова  01.01.2012 ўтган йилга нисбати" xfId="924"/>
    <cellStyle name="_Фаолият_қишлоқ таррақиёти 82 банд тўлиқ" xfId="925"/>
    <cellStyle name="_Фаолият_қишлоқ таррақиёти 82 банд тўлиқ_01.11.12 утган йилга нисбатан 2" xfId="926"/>
    <cellStyle name="_Фаолият_қишлоқ таррақиёти 82 банд тўлиқ_КР_ Прогноз (4 жадвал)" xfId="927"/>
    <cellStyle name="_Фаолият_қишлоқ таррақиёти 82 банд тўлиқ_КР_ Прогноз (4 жадвал)_01.11.12 утган йилга нисбатан 2" xfId="928"/>
    <cellStyle name="_Фаолият_қишлоқ таррақиёти 82 банд тўлиқ_КР_ Прогноз (4 жадвал)_Копия 1474 илова  01.01.2012 ўтган йилга нисбати" xfId="929"/>
    <cellStyle name="_Фаолият_қишлоқ таррақиёти 82 банд тўлиқ_Копия 1474 илова  01.01.2012 ўтган йилга нисбати" xfId="930"/>
    <cellStyle name="_Фарғона" xfId="931"/>
    <cellStyle name="_Фарғона_01.11.12 утган йилга нисбатан 2" xfId="932"/>
    <cellStyle name="_Фарғона_Копия 1474 илова  01.01.2012 ўтган йилга нисбати" xfId="933"/>
    <cellStyle name="_Хокимият РЕЖА-2010" xfId="934"/>
    <cellStyle name="_Хокимиятга 01.03.2009й" xfId="935"/>
    <cellStyle name="_Хоразм" xfId="936"/>
    <cellStyle name="_Хоразм_01.11.12 утган йилга нисбатан 2" xfId="937"/>
    <cellStyle name="_Хоразм_Копия 1474 илова  01.01.2012 ўтган йилга нисбати" xfId="938"/>
    <cellStyle name="_Хоразм_Прогноз_2012_24.09.11" xfId="939"/>
    <cellStyle name="_Хоразм_Сухроб Вилоят свод" xfId="940"/>
    <cellStyle name="_Хоразм_Сухроб Вилоят свод_01.11.12 утган йилга нисбатан 2" xfId="941"/>
    <cellStyle name="_Хоразм_Сухроб Вилоят свод_КР_ Прогноз (4 жадвал)" xfId="942"/>
    <cellStyle name="_Хоразм_Сухроб Вилоят свод_КР_ Прогноз (4 жадвал)_01.11.12 утган йилга нисбатан 2" xfId="943"/>
    <cellStyle name="_Хоразм_Сухроб Вилоят свод_КР_ Прогноз (4 жадвал)_Копия 1474 илова  01.01.2012 ўтган йилга нисбати" xfId="944"/>
    <cellStyle name="_Хоразм_Сухроб Вилоят свод_Копия 1474 илова  01.01.2012 ўтган йилга нисбати" xfId="945"/>
    <cellStyle name="_Хоразм_иктисодга" xfId="946"/>
    <cellStyle name="_Хоразм_иктисодга_01.11.12 утган йилга нисбатан 2" xfId="947"/>
    <cellStyle name="_Хоразм_иктисодга_КР_ Прогноз (4 жадвал)" xfId="948"/>
    <cellStyle name="_Хоразм_иктисодга_КР_ Прогноз (4 жадвал)_01.11.12 утган йилга нисбатан 2" xfId="949"/>
    <cellStyle name="_Хоразм_иктисодга_КР_ Прогноз (4 жадвал)_Копия 1474 илова  01.01.2012 ўтган йилга нисбати" xfId="950"/>
    <cellStyle name="_Хоразм_иктисодга_Копия 1474 илова  01.01.2012 ўтган йилга нисбати" xfId="951"/>
    <cellStyle name="_Якка Тадбир аёл- (янгиси )1.04.08 й." xfId="952"/>
    <cellStyle name="_вилоят-ОМУХТА" xfId="953"/>
    <cellStyle name="_вилоят-ОМУХТА_Ўтган йилга нисбатан" xfId="954"/>
    <cellStyle name="_вилоят-ОМУХТА_Ўтган йилга нисбатан_01.11.12 утган йилга нисбатан 2" xfId="955"/>
    <cellStyle name="_вилоят-ОМУХТА_Ўтган йилга нисбатан_Копия 1474 илова  01.01.2012 ўтган йилга нисбати" xfId="956"/>
    <cellStyle name="_вилоят-ОМУХТА_Копия 1474 илова  01.01.2012 ўтган йилга нисбати" xfId="957"/>
    <cellStyle name="_вилоят-ОМУХТА_Кредит линия-русча" xfId="958"/>
    <cellStyle name="_вилоят-ОМУХТА_Кредит линия-русча_01.11.12 утган йилга нисбатан 2" xfId="959"/>
    <cellStyle name="_вилоят-ОМУХТА_Кредит линия-русча_Книга1" xfId="960"/>
    <cellStyle name="_вилоят-ОМУХТА_Кредит линия-русча_Книга1_01.11.12 утган йилга нисбатан 2" xfId="961"/>
    <cellStyle name="_вилоят-ОМУХТА_Кредит линия-русча_Книга1_Копия 1474 илова  01.01.2012 ўтган йилга нисбати" xfId="962"/>
    <cellStyle name="_вилоят-ОМУХТА_Кредит линия-русча_Копия 1474 илова  01.01.2012 ўтган йилга нисбати" xfId="963"/>
    <cellStyle name="_вилоят-ОМУХТА_Кредит линия-русча_ПРОГНОЗ И 2008-2015 125 фоизлик ОКОНЧАТЕЛЬНЫЙ" xfId="964"/>
    <cellStyle name="_вилоят-ОМУХТА_Кредит линия-русча_ПРОГНОЗ И 2008-2015 125 фоизлик ОКОНЧАТЕЛЬНЫЙ_01.11.12 утган йилга нисбатан 2" xfId="965"/>
    <cellStyle name="_вилоят-ОМУХТА_Кредит линия-русча_ПРОГНОЗ И 2008-2015 125 фоизлик ОКОНЧАТЕЛЬНЫЙ_Копия 1474 илова  01.01.2012 ўтган йилга нисбати" xfId="966"/>
    <cellStyle name="_вилоят-ОМУХТА_Кредит линия-русча_СВОД БАРЧА олдинги" xfId="967"/>
    <cellStyle name="_вилоят-ОМУХТА_Кредит линия-русча_СВОД БАРЧА олдинги_Ўтган йилга нисбатан" xfId="968"/>
    <cellStyle name="_вилоят-ОМУХТА_Кредит линия-русча_СВОД БАРЧА олдинги_Ўтган йилга нисбатан_01.11.12 утган йилга нисбатан 2" xfId="969"/>
    <cellStyle name="_вилоят-ОМУХТА_Кредит линия-русча_СВОД БАРЧА олдинги_Ўтган йилга нисбатан_Копия 1474 илова  01.01.2012 ўтган йилга нисбати" xfId="970"/>
    <cellStyle name="_вилоят-ОМУХТА_Кредит линия-русча_СВОД БАРЧА олдинги_Копия 1474 илова  01.01.2012 ўтган йилга нисбати" xfId="971"/>
    <cellStyle name="_вилоят-ОМУХТА_Кредит линия-русча_Хоразм туман" xfId="972"/>
    <cellStyle name="_вилоят-ОМУХТА_Кредит линия-русча_Хоразм туман_01.11.12 утган йилга нисбатан 2" xfId="973"/>
    <cellStyle name="_вилоят-ОМУХТА_Кредит линия-русча_Хоразм туман_Копия 1474 илова  01.01.2012 ўтган йилга нисбати" xfId="974"/>
    <cellStyle name="_вилоят-ОМУХТА_Кредит линия-русча_банк вилоят ув капитал" xfId="975"/>
    <cellStyle name="_вилоят-ОМУХТА_Кредит линия-русча_банк вилоят ув капитал_01.11.12 утган йилга нисбатан 2" xfId="976"/>
    <cellStyle name="_вилоят-ОМУХТА_Кредит линия-русча_банк вилоят ув капитал_Копия 1474 илова  01.01.2012 ўтган йилга нисбати" xfId="977"/>
    <cellStyle name="_вилоят-ОМУХТА_Кредит линия-русча_кредиты" xfId="978"/>
    <cellStyle name="_вилоят-ОМУХТА_Кредит линия-русча_кредиты_01.11.12 утган йилга нисбатан 2" xfId="979"/>
    <cellStyle name="_вилоят-ОМУХТА_Кредит линия-русча_кредиты_Копия 1474 илова  01.01.2012 ўтган йилга нисбати" xfId="980"/>
    <cellStyle name="_вилоят-ОМУХТА_ПРОГНОЗ И 2008-2015 125 фоизлик ОКОНЧАТЕЛЬНЫЙ" xfId="981"/>
    <cellStyle name="_вилоят-ОМУХТА_ПРОГНОЗ И 2008-2015 125 фоизлик ОКОНЧАТЕЛЬНЫЙ_Ўтган йилга нисбатан" xfId="982"/>
    <cellStyle name="_вилоят-ОМУХТА_ПРОГНОЗ И 2008-2015 125 фоизлик ОКОНЧАТЕЛЬНЫЙ_Ўтган йилга нисбатан_01.11.12 утган йилга нисбатан 2" xfId="983"/>
    <cellStyle name="_вилоят-ОМУХТА_ПРОГНОЗ И 2008-2015 125 фоизлик ОКОНЧАТЕЛЬНЫЙ_Ўтган йилга нисбатан_Копия 1474 илова  01.01.2012 ўтган йилга нисбати" xfId="984"/>
    <cellStyle name="_вилоят-ОМУХТА_ПРОГНОЗ И 2008-2015 125 фоизлик ОКОНЧАТЕЛЬНЫЙ_Копия 1474 илова  01.01.2012 ўтган йилга нисбати" xfId="985"/>
    <cellStyle name="_вилоят-ОМУХТА_ПРОГНОЗ И 2008-2015 125 фоизлик ОКОНЧАТЕЛЬНЫЙ_Хоразм туман" xfId="986"/>
    <cellStyle name="_вилоят-ОМУХТА_ПРОГНОЗ И 2008-2015 125 фоизлик ОКОНЧАТЕЛЬНЫЙ_Хоразм туман_01.11.12 утган йилга нисбатан 2" xfId="987"/>
    <cellStyle name="_вилоят-ОМУХТА_ПРОГНОЗ И 2008-2015 125 фоизлик ОКОНЧАТЕЛЬНЫЙ_Хоразм туман_Копия 1474 илова  01.01.2012 ўтган йилга нисбати" xfId="988"/>
    <cellStyle name="_вилоят-ОМУХТА_Прог" xfId="989"/>
    <cellStyle name="_вилоят-ОМУХТА_Прог_01.11.12 утган йилга нисбатан 2" xfId="990"/>
    <cellStyle name="_вилоят-ОМУХТА_Прог_Копия 1474 илова  01.01.2012 ўтган йилга нисбати" xfId="991"/>
    <cellStyle name="_вилоят-ОМУХТА_Рес-га" xfId="992"/>
    <cellStyle name="_вилоят-ОМУХТА_Рес-га_Ўтган йилга нисбатан" xfId="993"/>
    <cellStyle name="_вилоят-ОМУХТА_Рес-га_Ўтган йилга нисбатан_01.11.12 утган йилга нисбатан 2" xfId="994"/>
    <cellStyle name="_вилоят-ОМУХТА_Рес-га_Ўтган йилга нисбатан_Копия 1474 илова  01.01.2012 ўтган йилга нисбати" xfId="995"/>
    <cellStyle name="_вилоят-ОМУХТА_Рес-га_Копия 1474 илова  01.01.2012 ўтган йилга нисбати" xfId="996"/>
    <cellStyle name="_вилоят-ОМУХТА_СВОД БАРЧА олдинги" xfId="997"/>
    <cellStyle name="_вилоят-ОМУХТА_СВОД БАРЧА олдинги_01.11.12 утган йилга нисбатан 2" xfId="998"/>
    <cellStyle name="_вилоят-ОМУХТА_СВОД БАРЧА олдинги_Копия 1474 илова  01.01.2012 ўтган йилга нисбати" xfId="999"/>
    <cellStyle name="_вилоят-ОМУХТА_выдача_2011-2015_1" xfId="1000"/>
    <cellStyle name="_вилоят-ОМУХТА_выдача_2011-2015_1_Ўтган йилга нисбатан" xfId="1001"/>
    <cellStyle name="_вилоят-ОМУХТА_выдача_2011-2015_1_Ўтган йилга нисбатан_01.11.12 утган йилга нисбатан 2" xfId="1002"/>
    <cellStyle name="_вилоят-ОМУХТА_выдача_2011-2015_1_Ўтган йилга нисбатан_Копия 1474 илова  01.01.2012 ўтган йилга нисбати" xfId="1003"/>
    <cellStyle name="_вилоят-ОМУХТА_выдача_2011-2015_1_Копия 1474 илова  01.01.2012 ўтган йилга нисбати" xfId="1004"/>
    <cellStyle name="_вилоят-ОМУХТА_выдача_2011-2015_1_Хоразм туман" xfId="1005"/>
    <cellStyle name="_вилоят-ОМУХТА_выдача_2011-2015_1_Хоразм туман_01.11.12 утган йилга нисбатан 2" xfId="1006"/>
    <cellStyle name="_вилоят-ОМУХТА_выдача_2011-2015_1_Хоразм туман_Копия 1474 илова  01.01.2012 ўтган йилга нисбати" xfId="1007"/>
    <cellStyle name="_вилоят-ОМУХТА_форма 01.01.2016" xfId="1008"/>
    <cellStyle name="_вилоят-ОМУХТА_форма 01.01.2016_01.11.12 утган йилга нисбатан 2" xfId="1009"/>
    <cellStyle name="_вилоят-ОМУХТА_форма 01.01.2016_Копия 1474 илова  01.01.2012 ўтган йилга нисбати" xfId="1010"/>
    <cellStyle name="_иктисодга" xfId="1011"/>
    <cellStyle name="_инвестиции" xfId="1012"/>
    <cellStyle name="_инвестиции_Прогноз_2012_24.09.11" xfId="1013"/>
    <cellStyle name="_кварталиктисод+" xfId="1014"/>
    <cellStyle name="_намуна прогноз" xfId="1015"/>
    <cellStyle name="_соц раз Азиз" xfId="1016"/>
    <cellStyle name="_таблицы к изменению" xfId="1017"/>
    <cellStyle name="_таблицы к изменению_Прогноз_2012_24.09.11" xfId="1018"/>
    <cellStyle name="_учта туман буйича касана" xfId="1019"/>
    <cellStyle name="_факторы" xfId="1020"/>
    <cellStyle name="_чора-тадбир свод" xfId="1021"/>
    <cellStyle name="_чора-тадбир свод_01.11.12 утган йилга нисбатан 2" xfId="1022"/>
    <cellStyle name="_чора-тадбир свод_67 та жадвал №2" xfId="1023"/>
    <cellStyle name="_чора-тадбир свод_67 та жадвал №2_01.11.12 утган йилга нисбатан 2" xfId="1024"/>
    <cellStyle name="_чора-тадбир свод_67 та жадвал №2_Копия 1474 илова  01.01.2012 ўтган йилга нисбати" xfId="1025"/>
    <cellStyle name="_чора-тадбир свод_67 талик жадвал-Иктисод №1" xfId="1026"/>
    <cellStyle name="_чора-тадбир свод_67 талик жадвал-Иктисод №1_01.11.12 утган йилга нисбатан 2" xfId="1027"/>
    <cellStyle name="_чора-тадбир свод_67 талик жадвал-Иктисод №1_Копия 1474 илова  01.01.2012 ўтган йилга нисбати" xfId="1028"/>
    <cellStyle name="_чора-тадбир свод_БАЖАРИЛИШИ 1-май" xfId="1029"/>
    <cellStyle name="_чора-тадбир свод_БАЖАРИЛИШИ 1-май_01.11.12 утган йилга нисбатан 2" xfId="1030"/>
    <cellStyle name="_чора-тадбир свод_БАЖАРИЛИШИ 1-май_КР_ Прогноз (4 жадвал)" xfId="1031"/>
    <cellStyle name="_чора-тадбир свод_БАЖАРИЛИШИ 1-май_КР_ Прогноз (4 жадвал)_01.11.12 утган йилга нисбатан 2" xfId="1032"/>
    <cellStyle name="_чора-тадбир свод_БАЖАРИЛИШИ 1-май_КР_ Прогноз (4 жадвал)_Копия 1474 илова  01.01.2012 ўтган йилга нисбати" xfId="1033"/>
    <cellStyle name="_чора-тадбир свод_БАЖАРИЛИШИ 1-май_Копия 1474 илова  01.01.2012 ўтган йилга нисбати" xfId="1034"/>
    <cellStyle name="_чора-тадбир свод_Бобир учун 67 талик жадвал-Иктисод" xfId="1035"/>
    <cellStyle name="_чора-тадбир свод_Бобир учун 67 талик жадвал-Иктисод_01.11.12 утган йилга нисбатан 2" xfId="1036"/>
    <cellStyle name="_чора-тадбир свод_Бобир учун 67 талик жадвал-Иктисод_Копия 1474 илова  01.01.2012 ўтган йилга нисбати" xfId="1037"/>
    <cellStyle name="_чора-тадбир свод_КР_ Прогноз (4 жадвал)" xfId="1038"/>
    <cellStyle name="_чора-тадбир свод_КР_ Прогноз (4 жадвал)_01.11.12 утган йилга нисбатан 2" xfId="1039"/>
    <cellStyle name="_чора-тадбир свод_КР_ Прогноз (4 жадвал)_Копия 1474 илова  01.01.2012 ўтган йилга нисбати" xfId="1040"/>
    <cellStyle name="_чора-тадбир свод_Касаначи 4 ой" xfId="1041"/>
    <cellStyle name="_чора-тадбир свод_Касаначи 4 ой_01.11.12 утган йилга нисбатан 2" xfId="1042"/>
    <cellStyle name="_чора-тадбир свод_Касаначи 4 ой_Копия 1474 илова  01.01.2012 ўтган йилга нисбати" xfId="1043"/>
    <cellStyle name="_чора-тадбир свод_Копия 1474 илова  01.01.2012 ўтган йилга нисбати" xfId="1044"/>
    <cellStyle name="_чора-тадбир свод_Прогноз_2012_24.09.11" xfId="1045"/>
    <cellStyle name="_чора-тадбир свод_Сухроб Вилоят свод" xfId="1046"/>
    <cellStyle name="_чора-тадбир свод_Сухроб Вилоят свод_01.11.12 утган йилга нисбатан 2" xfId="1047"/>
    <cellStyle name="_чора-тадбир свод_Сухроб Вилоят свод_КР_ Прогноз (4 жадвал)" xfId="1048"/>
    <cellStyle name="_чора-тадбир свод_Сухроб Вилоят свод_КР_ Прогноз (4 жадвал)_01.11.12 утган йилга нисбатан 2" xfId="1049"/>
    <cellStyle name="_чора-тадбир свод_Сухроб Вилоят свод_КР_ Прогноз (4 жадвал)_Копия 1474 илова  01.01.2012 ўтган йилга нисбати" xfId="1050"/>
    <cellStyle name="_чора-тадбир свод_Сухроб Вилоят свод_Копия 1474 илова  01.01.2012 ўтган йилга нисбати" xfId="1051"/>
    <cellStyle name="_чора-тадбир свод_ЯИЎ-сервис" xfId="1052"/>
    <cellStyle name="_чора-тадбир свод_ЯИЎ-сервис_01.11.12 утган йилга нисбатан 2" xfId="1053"/>
    <cellStyle name="_чора-тадбир свод_ЯИЎ-сервис_КР_ Прогноз (4 жадвал)" xfId="1054"/>
    <cellStyle name="_чора-тадбир свод_ЯИЎ-сервис_КР_ Прогноз (4 жадвал)_01.11.12 утган йилга нисбатан 2" xfId="1055"/>
    <cellStyle name="_чора-тадбир свод_ЯИЎ-сервис_КР_ Прогноз (4 жадвал)_Копия 1474 илова  01.01.2012 ўтган йилга нисбати" xfId="1056"/>
    <cellStyle name="_чора-тадбир свод_ЯИЎ-сервис_Копия 1474 илова  01.01.2012 ўтган йилга нисбати" xfId="1057"/>
    <cellStyle name="_чора-тадбир свод_иктисодга" xfId="1058"/>
    <cellStyle name="_чора-тадбир свод_иктисодга_01.11.12 утган йилга нисбатан 2" xfId="1059"/>
    <cellStyle name="_чора-тадбир свод_иктисодга_КР_ Прогноз (4 жадвал)" xfId="1060"/>
    <cellStyle name="_чора-тадбир свод_иктисодга_КР_ Прогноз (4 жадвал)_01.11.12 утган йилга нисбатан 2" xfId="1061"/>
    <cellStyle name="_чора-тадбир свод_иктисодга_КР_ Прогноз (4 жадвал)_Копия 1474 илова  01.01.2012 ўтган йилга нисбати" xfId="1062"/>
    <cellStyle name="_чора-тадбир свод_иктисодга_Копия 1474 илова  01.01.2012 ўтган йилга нисбати" xfId="1063"/>
    <cellStyle name="_чора-тадбир свод_учта туман буйича касана" xfId="1064"/>
    <cellStyle name="_чора-тадбир свод_учта туман буйича касана_01.11.12 утган йилга нисбатан 2" xfId="1065"/>
    <cellStyle name="_чора-тадбир свод_учта туман буйича касана_Копия 1474 илова  01.01.2012 ўтган йилга нисбати" xfId="1066"/>
    <cellStyle name="_чора-тадбир свод_қишлоқ таррақиёти 82 банд тўлиқ" xfId="1067"/>
    <cellStyle name="_чора-тадбир свод_қишлоқ таррақиёти 82 банд тўлиқ_01.11.12 утган йилга нисбатан 2" xfId="1068"/>
    <cellStyle name="_чора-тадбир свод_қишлоқ таррақиёти 82 банд тўлиқ_КР_ Прогноз (4 жадвал)" xfId="1069"/>
    <cellStyle name="_чора-тадбир свод_қишлоқ таррақиёти 82 банд тўлиқ_КР_ Прогноз (4 жадвал)_01.11.12 утган йилга нисбатан 2" xfId="1070"/>
    <cellStyle name="_чора-тадбир свод_қишлоқ таррақиёти 82 банд тўлиқ_КР_ Прогноз (4 жадвал)_Копия 1474 илова  01.01.2012 ўтган йилга нисбати" xfId="1071"/>
    <cellStyle name="_чора-тадбир свод_қишлоқ таррақиёти 82 банд тўлиқ_Копия 1474 илова  01.01.2012 ўтган йилга нисбати" xfId="1072"/>
    <cellStyle name="Aaia?iue" xfId="1073"/>
    <cellStyle name="Aaia?iue 2" xfId="1074"/>
    <cellStyle name="Aaia?iue [0]" xfId="1075"/>
    <cellStyle name="Aaia?iue [0] 2" xfId="1076"/>
    <cellStyle name="Aaia?iue_,, 255 якуни" xfId="1077"/>
    <cellStyle name="Accent1 - 20%" xfId="1078"/>
    <cellStyle name="Accent1 - 40%" xfId="1079"/>
    <cellStyle name="Accent1 - 60%" xfId="1080"/>
    <cellStyle name="Accent1 10" xfId="1081"/>
    <cellStyle name="Accent1 2" xfId="1082"/>
    <cellStyle name="Accent1 3" xfId="1083"/>
    <cellStyle name="Accent1 4" xfId="1084"/>
    <cellStyle name="Accent1 5" xfId="1085"/>
    <cellStyle name="Accent1 6" xfId="1086"/>
    <cellStyle name="Accent1 7" xfId="1087"/>
    <cellStyle name="Accent1 8" xfId="1088"/>
    <cellStyle name="Accent1 9" xfId="1089"/>
    <cellStyle name="Accent2 - 20%" xfId="1090"/>
    <cellStyle name="Accent2 - 40%" xfId="1091"/>
    <cellStyle name="Accent2 - 60%" xfId="1092"/>
    <cellStyle name="Accent2 10" xfId="1093"/>
    <cellStyle name="Accent2 2" xfId="1094"/>
    <cellStyle name="Accent2 3" xfId="1095"/>
    <cellStyle name="Accent2 4" xfId="1096"/>
    <cellStyle name="Accent2 5" xfId="1097"/>
    <cellStyle name="Accent2 6" xfId="1098"/>
    <cellStyle name="Accent2 7" xfId="1099"/>
    <cellStyle name="Accent2 8" xfId="1100"/>
    <cellStyle name="Accent2 9" xfId="1101"/>
    <cellStyle name="Accent3 - 20%" xfId="1102"/>
    <cellStyle name="Accent3 - 40%" xfId="1103"/>
    <cellStyle name="Accent3 - 60%" xfId="1104"/>
    <cellStyle name="Accent3 10" xfId="1105"/>
    <cellStyle name="Accent3 2" xfId="1106"/>
    <cellStyle name="Accent3 3" xfId="1107"/>
    <cellStyle name="Accent3 4" xfId="1108"/>
    <cellStyle name="Accent3 5" xfId="1109"/>
    <cellStyle name="Accent3 6" xfId="1110"/>
    <cellStyle name="Accent3 7" xfId="1111"/>
    <cellStyle name="Accent3 8" xfId="1112"/>
    <cellStyle name="Accent3 9" xfId="1113"/>
    <cellStyle name="Accent4 - 20%" xfId="1114"/>
    <cellStyle name="Accent4 - 40%" xfId="1115"/>
    <cellStyle name="Accent4 - 60%" xfId="1116"/>
    <cellStyle name="Accent4 10" xfId="1117"/>
    <cellStyle name="Accent4 2" xfId="1118"/>
    <cellStyle name="Accent4 3" xfId="1119"/>
    <cellStyle name="Accent4 4" xfId="1120"/>
    <cellStyle name="Accent4 5" xfId="1121"/>
    <cellStyle name="Accent4 6" xfId="1122"/>
    <cellStyle name="Accent4 7" xfId="1123"/>
    <cellStyle name="Accent4 8" xfId="1124"/>
    <cellStyle name="Accent4 9" xfId="1125"/>
    <cellStyle name="Accent5 - 20%" xfId="1126"/>
    <cellStyle name="Accent5 - 40%" xfId="1127"/>
    <cellStyle name="Accent5 - 60%" xfId="1128"/>
    <cellStyle name="Accent5 10" xfId="1129"/>
    <cellStyle name="Accent5 2" xfId="1130"/>
    <cellStyle name="Accent5 3" xfId="1131"/>
    <cellStyle name="Accent5 4" xfId="1132"/>
    <cellStyle name="Accent5 5" xfId="1133"/>
    <cellStyle name="Accent5 6" xfId="1134"/>
    <cellStyle name="Accent5 7" xfId="1135"/>
    <cellStyle name="Accent5 8" xfId="1136"/>
    <cellStyle name="Accent5 9" xfId="1137"/>
    <cellStyle name="Accent6 - 20%" xfId="1138"/>
    <cellStyle name="Accent6 - 40%" xfId="1139"/>
    <cellStyle name="Accent6 - 60%" xfId="1140"/>
    <cellStyle name="Accent6 10" xfId="1141"/>
    <cellStyle name="Accent6 2" xfId="1142"/>
    <cellStyle name="Accent6 3" xfId="1143"/>
    <cellStyle name="Accent6 4" xfId="1144"/>
    <cellStyle name="Accent6 5" xfId="1145"/>
    <cellStyle name="Accent6 6" xfId="1146"/>
    <cellStyle name="Accent6 7" xfId="1147"/>
    <cellStyle name="Accent6 8" xfId="1148"/>
    <cellStyle name="Accent6 9" xfId="1149"/>
    <cellStyle name="Acdldnnueer" xfId="1150"/>
    <cellStyle name="Alilciue [0]_ 2003 aia" xfId="1151"/>
    <cellStyle name="Alilciue_ 2003 aia" xfId="1152"/>
    <cellStyle name="Bad 2" xfId="1153"/>
    <cellStyle name="Bad 3" xfId="1154"/>
    <cellStyle name="Calculation 2" xfId="1155"/>
    <cellStyle name="Calculation 3" xfId="1156"/>
    <cellStyle name="Check Cell 2" xfId="1157"/>
    <cellStyle name="Check Cell 3" xfId="1158"/>
    <cellStyle name="clsAltData" xfId="1159"/>
    <cellStyle name="clsAltMRVData" xfId="1160"/>
    <cellStyle name="clsBlank" xfId="1161"/>
    <cellStyle name="clsBlank 2" xfId="1162"/>
    <cellStyle name="clsColumnHeader" xfId="1163"/>
    <cellStyle name="clsData" xfId="1164"/>
    <cellStyle name="clsDefault" xfId="1165"/>
    <cellStyle name="clsDefault 2" xfId="1166"/>
    <cellStyle name="clsFooter" xfId="1167"/>
    <cellStyle name="clsIndexTableTitle" xfId="1168"/>
    <cellStyle name="clsMRVData" xfId="1169"/>
    <cellStyle name="clsReportFooter" xfId="1170"/>
    <cellStyle name="clsReportHeader" xfId="1171"/>
    <cellStyle name="clsRowHeader" xfId="1172"/>
    <cellStyle name="clsScale" xfId="1173"/>
    <cellStyle name="clsSection" xfId="1174"/>
    <cellStyle name="Comma 10" xfId="1175"/>
    <cellStyle name="Comma 11" xfId="1176"/>
    <cellStyle name="Comma 12" xfId="1177"/>
    <cellStyle name="Comma 13" xfId="1178"/>
    <cellStyle name="Comma 14" xfId="1179"/>
    <cellStyle name="Comma 15" xfId="1180"/>
    <cellStyle name="Comma 16" xfId="1181"/>
    <cellStyle name="Comma 17" xfId="1182"/>
    <cellStyle name="Comma 2" xfId="1183"/>
    <cellStyle name="Comma 2 2" xfId="1184"/>
    <cellStyle name="Comma 2 2 2" xfId="1185"/>
    <cellStyle name="Comma 2 2 3" xfId="1186"/>
    <cellStyle name="Comma 2 3" xfId="1187"/>
    <cellStyle name="Comma 2 4" xfId="1188"/>
    <cellStyle name="Comma 3" xfId="1189"/>
    <cellStyle name="Comma 3 2" xfId="1190"/>
    <cellStyle name="Comma 4" xfId="1191"/>
    <cellStyle name="Comma 4 2" xfId="1192"/>
    <cellStyle name="Comma 5" xfId="1193"/>
    <cellStyle name="Comma 5 2" xfId="1194"/>
    <cellStyle name="Comma 6" xfId="1195"/>
    <cellStyle name="Comma 7" xfId="1196"/>
    <cellStyle name="Comma 8" xfId="1197"/>
    <cellStyle name="Comma 9" xfId="1198"/>
    <cellStyle name="Comma [0] 2" xfId="1199"/>
    <cellStyle name="Comma [0] 2 2" xfId="1200"/>
    <cellStyle name="Comma [0] 2 2 2" xfId="1201"/>
    <cellStyle name="Comma [0] 2 3" xfId="1202"/>
    <cellStyle name="Comma0" xfId="1203"/>
    <cellStyle name="Comma0 2" xfId="1204"/>
    <cellStyle name="Comma0 3" xfId="1205"/>
    <cellStyle name="common" xfId="1206"/>
    <cellStyle name="common 2" xfId="1207"/>
    <cellStyle name="Currency 2" xfId="1208"/>
    <cellStyle name="Currency0" xfId="1209"/>
    <cellStyle name="Currency0 2" xfId="1210"/>
    <cellStyle name="Currency0 3" xfId="1211"/>
    <cellStyle name="Date" xfId="1212"/>
    <cellStyle name="Date 2" xfId="1213"/>
    <cellStyle name="Emphasis 1" xfId="1214"/>
    <cellStyle name="Emphasis 2" xfId="1215"/>
    <cellStyle name="Emphasis 3" xfId="1216"/>
    <cellStyle name="Euro" xfId="1217"/>
    <cellStyle name="Euro 2" xfId="1218"/>
    <cellStyle name="Euro 3" xfId="1219"/>
    <cellStyle name="Excel.Chart" xfId="1220"/>
    <cellStyle name="Explanatory Text 2" xfId="1221"/>
    <cellStyle name="F2" xfId="1222"/>
    <cellStyle name="F2 2" xfId="1223"/>
    <cellStyle name="F3" xfId="1224"/>
    <cellStyle name="F3 2" xfId="1225"/>
    <cellStyle name="F4" xfId="1226"/>
    <cellStyle name="F4 2" xfId="1227"/>
    <cellStyle name="F5" xfId="1228"/>
    <cellStyle name="F5 2" xfId="1229"/>
    <cellStyle name="F6" xfId="1230"/>
    <cellStyle name="F6 2" xfId="1231"/>
    <cellStyle name="F7" xfId="1232"/>
    <cellStyle name="F7 2" xfId="1233"/>
    <cellStyle name="F8" xfId="1234"/>
    <cellStyle name="F8 2" xfId="1235"/>
    <cellStyle name="Fixed" xfId="1236"/>
    <cellStyle name="Fixed 2" xfId="1237"/>
    <cellStyle name="Good 2" xfId="1238"/>
    <cellStyle name="Good 3" xfId="1239"/>
    <cellStyle name="Grey" xfId="1240"/>
    <cellStyle name="Heading 1 2" xfId="1241"/>
    <cellStyle name="Heading 2 2" xfId="1242"/>
    <cellStyle name="Heading 3 2" xfId="1243"/>
    <cellStyle name="Heading 3 3" xfId="1244"/>
    <cellStyle name="Heading 4 2" xfId="1245"/>
    <cellStyle name="Heading 4 3" xfId="1246"/>
    <cellStyle name="HEADING1" xfId="1247"/>
    <cellStyle name="HEADING2" xfId="1248"/>
    <cellStyle name="Hipervínculo" xfId="1249"/>
    <cellStyle name="Hipervínculo visitado" xfId="1250"/>
    <cellStyle name="I?ioaioiue" xfId="1251"/>
    <cellStyle name="I?ioaioiue 2" xfId="1252"/>
    <cellStyle name="I`u?iue_Deri98_D" xfId="1253"/>
    <cellStyle name="Iau?iue" xfId="1254"/>
    <cellStyle name="Iau?iue 2" xfId="1255"/>
    <cellStyle name="imf-one decimal" xfId="1256"/>
    <cellStyle name="imf-one decimal 2" xfId="1257"/>
    <cellStyle name="imf-zero decimal" xfId="1258"/>
    <cellStyle name="Ineduararr?n? acdldnnueer" xfId="1259"/>
    <cellStyle name="Input 10" xfId="1260"/>
    <cellStyle name="Input 2" xfId="1261"/>
    <cellStyle name="Input 3" xfId="1262"/>
    <cellStyle name="Input 4" xfId="1263"/>
    <cellStyle name="Input 5" xfId="1264"/>
    <cellStyle name="Input 6" xfId="1265"/>
    <cellStyle name="Input 7" xfId="1266"/>
    <cellStyle name="Input 8" xfId="1267"/>
    <cellStyle name="Input 9" xfId="1268"/>
    <cellStyle name="Input [yellow]" xfId="1269"/>
    <cellStyle name="Linked Cell 2" xfId="1270"/>
    <cellStyle name="Linked Cell 3" xfId="1271"/>
    <cellStyle name="Millares [0]_11.1.3. bis" xfId="1272"/>
    <cellStyle name="Millares_11.1.3. bis" xfId="1273"/>
    <cellStyle name="Milliers [0]_Conversion Summary" xfId="1274"/>
    <cellStyle name="Milliers_Conversion Summary" xfId="1275"/>
    <cellStyle name="Moneda [0]_11.1.3. bis" xfId="1276"/>
    <cellStyle name="Moneda_11.1.3. bis" xfId="1277"/>
    <cellStyle name="Monйtaire [0]_Conversion Summary" xfId="1278"/>
    <cellStyle name="Monйtaire_Conversion Summary" xfId="1279"/>
    <cellStyle name="mystyle" xfId="1280"/>
    <cellStyle name="Neutral 2" xfId="1281"/>
    <cellStyle name="Neutral 3" xfId="1282"/>
    <cellStyle name="Normal - Style1" xfId="1283"/>
    <cellStyle name="Normal - Style1 2" xfId="1284"/>
    <cellStyle name="Normal 10" xfId="1285"/>
    <cellStyle name="Normal 11" xfId="1286"/>
    <cellStyle name="Normal 12" xfId="1287"/>
    <cellStyle name="Normal 13" xfId="1288"/>
    <cellStyle name="Normal 14" xfId="1289"/>
    <cellStyle name="Normal 2" xfId="1290"/>
    <cellStyle name="Normal 2 2" xfId="1291"/>
    <cellStyle name="Normal 2 3" xfId="1292"/>
    <cellStyle name="Normal 2 4" xfId="1293"/>
    <cellStyle name="Normal 3" xfId="1294"/>
    <cellStyle name="Normal 3 2" xfId="1295"/>
    <cellStyle name="Normal 3 3" xfId="1296"/>
    <cellStyle name="Normal 4" xfId="1297"/>
    <cellStyle name="Normal 5" xfId="1298"/>
    <cellStyle name="Normal 6" xfId="1299"/>
    <cellStyle name="Normal 7" xfId="1300"/>
    <cellStyle name="Normal 8" xfId="1301"/>
    <cellStyle name="Normal 9" xfId="1302"/>
    <cellStyle name="Normal 9 2" xfId="1303"/>
    <cellStyle name="Note 2" xfId="1304"/>
    <cellStyle name="Note 3" xfId="1305"/>
    <cellStyle name="Note 4" xfId="1306"/>
    <cellStyle name="Nun??c [0]_ 2003 aia" xfId="1307"/>
    <cellStyle name="Nun??c_ 2003 aia" xfId="1308"/>
    <cellStyle name="Ociriniaue [0]_1" xfId="1309"/>
    <cellStyle name="Ociriniaue_1" xfId="1310"/>
    <cellStyle name="Oeiainiaue" xfId="1311"/>
    <cellStyle name="Oeiainiaue 2" xfId="1312"/>
    <cellStyle name="Oeiainiaue [0]" xfId="1313"/>
    <cellStyle name="Oeiainiaue [0] 2" xfId="1314"/>
    <cellStyle name="Oeiainiaue [0]_~4174642" xfId="1315"/>
    <cellStyle name="Oeiainiaue [0]_Ўтган йилга нисбатан" xfId="1316"/>
    <cellStyle name="Oeiainiaue [0]_Копия 1474 илова  01.01.2012 ўтган йилга нисбати" xfId="1317"/>
    <cellStyle name="Oeiainiaue [0]_Копия Правленияга 01.11.11 Факт 3" xfId="1318"/>
    <cellStyle name="Oeiainiaue [0]_Наслли, гўшт сут, Зоовет 2010й 1 апрель" xfId="1319"/>
    <cellStyle name="Oeiainiaue [0]_Наслли, гўшт сут, Зоовет 2010й 1 апрель_Ўтган йилга нисбатан" xfId="1320"/>
    <cellStyle name="Oeiainiaue [0]_Наслли, гўшт сут, Зоовет 2010й 1 апрель_Андижон туман" xfId="1321"/>
    <cellStyle name="Oeiainiaue [0]_Наслли, гўшт сут, Зоовет 2010й 1 апрель_Андижон туман_01.11.12 утган йилга нисбатан 2" xfId="1322"/>
    <cellStyle name="Oeiainiaue [0]_Наслли, гўшт сут, Зоовет 2010й 1 апрель_Андижон туман_Копия 1474 илова  01.01.2012 ўтган йилга нисбати" xfId="1323"/>
    <cellStyle name="Oeiainiaue [0]_Наслли, гўшт сут, Зоовет 2010й 1 апрель_Бухоро" xfId="1324"/>
    <cellStyle name="Oeiainiaue [0]_Наслли, гўшт сут, Зоовет 2010й 1 апрель_Бухоро_Ўтган йилга нисбатан" xfId="1325"/>
    <cellStyle name="Oeiainiaue [0]_Наслли, гўшт сут, Зоовет 2010й 1 апрель_Бухоро_Копия 1474 илова  01.01.2012 ўтган йилга нисбати" xfId="1326"/>
    <cellStyle name="Oeiainiaue [0]_Наслли, гўшт сут, Зоовет 2010й 1 апрель_Копия 1474 илова  01.01.2012 ўтган йилга нисбати" xfId="1327"/>
    <cellStyle name="Oeiainiaue [0]_Наслли, гўшт сут, Зоовет 2010й 1 апрель_Навоий1 туман" xfId="1328"/>
    <cellStyle name="Oeiainiaue [0]_Наслли, гўшт сут, Зоовет 2010й 1 апрель_Навоий1 туман_Ўтган йилга нисбатан" xfId="1329"/>
    <cellStyle name="Oeiainiaue [0]_Наслли, гўшт сут, Зоовет 2010й 1 апрель_Навоий1 туман_Копия 1474 илова  01.01.2012 ўтган йилга нисбати" xfId="1330"/>
    <cellStyle name="Oeiainiaue [0]_Наслли, гўшт сут, Зоовет 2010й 1 апрель_СВОД БАРЧА олдинги" xfId="1331"/>
    <cellStyle name="Oeiainiaue [0]_Наслли, гўшт сут, Зоовет 2010й 1 апрель_Хоразм туман" xfId="1332"/>
    <cellStyle name="Oeiainiaue [0]_Наслли, гўшт сут, Зоовет 2010й 1 апрель_Хоразм туман_01.11.12 утган йилга нисбатан 2" xfId="1333"/>
    <cellStyle name="Oeiainiaue [0]_Наслли, гўшт сут, Зоовет 2010й 1 апрель_Хоразм туман_Копия 1474 илова  01.01.2012 ўтган йилга нисбати" xfId="1334"/>
    <cellStyle name="Oeiainiaue [0]_ПРОГНОЗ И 2008-2015 125 фоизлик ОКОНЧАТЕЛЬНЫЙ" xfId="1335"/>
    <cellStyle name="Oeiainiaue [0]_ПРОГНОЗ И 2008-2015 125 фоизлик ОКОНЧАТЕЛЬНЫЙ_Андижон туман" xfId="1336"/>
    <cellStyle name="Oeiainiaue [0]_ПРОГНОЗ И 2008-2015 125 фоизлик ОКОНЧАТЕЛЬНЫЙ_Андижон туман_01.11.12 утган йилга нисбатан 2" xfId="1337"/>
    <cellStyle name="Oeiainiaue [0]_ПРОГНОЗ И 2008-2015 125 фоизлик ОКОНЧАТЕЛЬНЫЙ_Андижон туман_Копия 1474 илова  01.01.2012 ўтган йилга нисбати" xfId="1338"/>
    <cellStyle name="Oeiainiaue [0]_ПРОГНОЗ И 2008-2015 125 фоизлик ОКОНЧАТЕЛЬНЫЙ_Бухоро" xfId="1339"/>
    <cellStyle name="Oeiainiaue [0]_ПРОГНОЗ И 2008-2015 125 фоизлик ОКОНЧАТЕЛЬНЫЙ_Бухоро_Ўтган йилга нисбатан" xfId="1340"/>
    <cellStyle name="Oeiainiaue [0]_ПРОГНОЗ И 2008-2015 125 фоизлик ОКОНЧАТЕЛЬНЫЙ_Бухоро_Копия 1474 илова  01.01.2012 ўтган йилга нисбати" xfId="1341"/>
    <cellStyle name="Oeiainiaue [0]_ПРОГНОЗ И 2008-2015 125 фоизлик ОКОНЧАТЕЛЬНЫЙ_Навоий1 туман" xfId="1342"/>
    <cellStyle name="Oeiainiaue [0]_ПРОГНОЗ И 2008-2015 125 фоизлик ОКОНЧАТЕЛЬНЫЙ_Навоий1 туман_Ўтган йилга нисбатан" xfId="1343"/>
    <cellStyle name="Oeiainiaue [0]_ПРОГНОЗ И 2008-2015 125 фоизлик ОКОНЧАТЕЛЬНЫЙ_Навоий1 туман_Копия 1474 илова  01.01.2012 ўтган йилга нисбати" xfId="1344"/>
    <cellStyle name="Oeiainiaue [0]_ПРОГНОЗ И 2008-2015 125 фоизлик ОКОНЧАТЕЛЬНЫЙ_Хоразм туман" xfId="1345"/>
    <cellStyle name="Oeiainiaue [0]_ПРОГНОЗ И 2008-2015 125 фоизлик ОКОНЧАТЕЛЬНЫЙ_Хоразм туман_01.11.12 утган йилга нисбатан 2" xfId="1346"/>
    <cellStyle name="Oeiainiaue [0]_ПРОГНОЗ И 2008-2015 125 фоизлик ОКОНЧАТЕЛЬНЫЙ_Хоразм туман_Копия 1474 илова  01.01.2012 ўтган йилга нисбати" xfId="1347"/>
    <cellStyle name="Oeiainiaue [0]_Прог" xfId="1348"/>
    <cellStyle name="Oeiainiaue [0]_Рес-га" xfId="1349"/>
    <cellStyle name="Oeiainiaue [0]_Рес-га_Ўтган йилга нисбатан" xfId="1350"/>
    <cellStyle name="Oeiainiaue [0]_Рес-га_Копия 1474 илова  01.01.2012 ўтган йилга нисбати" xfId="1351"/>
    <cellStyle name="Oeiainiaue [0]_СВОД БАРЧА олдинги" xfId="1352"/>
    <cellStyle name="Oeiainiaue [0]_Тасдик-Бош вазир охирги" xfId="1353"/>
    <cellStyle name="Oeiainiaue [0]_Тасдик-Бош вазир охирги_Ўтган йилга нисбатан" xfId="1354"/>
    <cellStyle name="Oeiainiaue [0]_Тасдик-Бош вазир охирги_Копия 1474 илова  01.01.2012 ўтган йилга нисбати" xfId="1355"/>
    <cellStyle name="Oeiainiaue [0]_выдача_2011-2015_1" xfId="1356"/>
    <cellStyle name="Oeiainiaue [0]_выдача_2011-2015_1_Ўтган йилга нисбатан" xfId="1357"/>
    <cellStyle name="Oeiainiaue [0]_выдача_2011-2015_1_Андижон туман" xfId="1358"/>
    <cellStyle name="Oeiainiaue [0]_выдача_2011-2015_1_Андижон туман_01.11.12 утган йилга нисбатан 2" xfId="1359"/>
    <cellStyle name="Oeiainiaue [0]_выдача_2011-2015_1_Андижон туман_Копия 1474 илова  01.01.2012 ўтган йилга нисбати" xfId="1360"/>
    <cellStyle name="Oeiainiaue [0]_выдача_2011-2015_1_Бухоро" xfId="1361"/>
    <cellStyle name="Oeiainiaue [0]_выдача_2011-2015_1_Бухоро_Ўтган йилга нисбатан" xfId="1362"/>
    <cellStyle name="Oeiainiaue [0]_выдача_2011-2015_1_Бухоро_Копия 1474 илова  01.01.2012 ўтган йилга нисбати" xfId="1363"/>
    <cellStyle name="Oeiainiaue [0]_выдача_2011-2015_1_Копия 1474 илова  01.01.2012 ўтган йилга нисбати" xfId="1364"/>
    <cellStyle name="Oeiainiaue [0]_выдача_2011-2015_1_Навоий1 туман" xfId="1365"/>
    <cellStyle name="Oeiainiaue [0]_выдача_2011-2015_1_Навоий1 туман_Ўтган йилга нисбатан" xfId="1366"/>
    <cellStyle name="Oeiainiaue [0]_выдача_2011-2015_1_Навоий1 туман_Копия 1474 илова  01.01.2012 ўтган йилга нисбати" xfId="1367"/>
    <cellStyle name="Oeiainiaue [0]_выдача_2011-2015_1_СВОД БАРЧА олдинги" xfId="1368"/>
    <cellStyle name="Oeiainiaue [0]_выдача_2011-2015_1_Хоразм туман" xfId="1369"/>
    <cellStyle name="Oeiainiaue [0]_выдача_2011-2015_1_Хоразм туман_01.11.12 утган йилга нисбатан 2" xfId="1370"/>
    <cellStyle name="Oeiainiaue [0]_выдача_2011-2015_1_Хоразм туман_Копия 1474 илова  01.01.2012 ўтган йилга нисбати" xfId="1371"/>
    <cellStyle name="Oeiainiaue [0]_форма 01.01.2016" xfId="1372"/>
    <cellStyle name="Oeiainiaue_,, 255 якуни" xfId="1373"/>
    <cellStyle name="Oeiainiaue_Ўтган йилга нисбатан" xfId="1374"/>
    <cellStyle name="Oeiainiaue_Копия 1474 илова  01.01.2012 ўтган йилга нисбати" xfId="1375"/>
    <cellStyle name="Oeiainiaue_Копия Правленияга 01.11.11 Факт 3" xfId="1376"/>
    <cellStyle name="Oeiainiaue_Наслли, гўшт сут, Зоовет 2010й 1 апрель" xfId="1377"/>
    <cellStyle name="Oeiainiaue_Наслли, гўшт сут, Зоовет 2010й 1 апрель_Ўтган йилга нисбатан" xfId="1378"/>
    <cellStyle name="Oeiainiaue_Наслли, гўшт сут, Зоовет 2010й 1 апрель_Андижон туман" xfId="1379"/>
    <cellStyle name="Oeiainiaue_Наслли, гўшт сут, Зоовет 2010й 1 апрель_Андижон туман_01.11.12 утган йилга нисбатан 2" xfId="1380"/>
    <cellStyle name="Oeiainiaue_Наслли, гўшт сут, Зоовет 2010й 1 апрель_Андижон туман_Копия 1474 илова  01.01.2012 ўтган йилга нисбати" xfId="1381"/>
    <cellStyle name="Oeiainiaue_Наслли, гўшт сут, Зоовет 2010й 1 апрель_Бухоро" xfId="1382"/>
    <cellStyle name="Oeiainiaue_Наслли, гўшт сут, Зоовет 2010й 1 апрель_Бухоро_Ўтган йилга нисбатан" xfId="1383"/>
    <cellStyle name="Oeiainiaue_Наслли, гўшт сут, Зоовет 2010й 1 апрель_Бухоро_Копия 1474 илова  01.01.2012 ўтган йилга нисбати" xfId="1384"/>
    <cellStyle name="Oeiainiaue_Наслли, гўшт сут, Зоовет 2010й 1 апрель_Копия 1474 илова  01.01.2012 ўтган йилга нисбати" xfId="1385"/>
    <cellStyle name="Oeiainiaue_Наслли, гўшт сут, Зоовет 2010й 1 апрель_Навоий1 туман" xfId="1386"/>
    <cellStyle name="Oeiainiaue_Наслли, гўшт сут, Зоовет 2010й 1 апрель_Навоий1 туман_Ўтган йилга нисбатан" xfId="1387"/>
    <cellStyle name="Oeiainiaue_Наслли, гўшт сут, Зоовет 2010й 1 апрель_Навоий1 туман_Копия 1474 илова  01.01.2012 ўтган йилга нисбати" xfId="1388"/>
    <cellStyle name="Oeiainiaue_Наслли, гўшт сут, Зоовет 2010й 1 апрель_СВОД БАРЧА олдинги" xfId="1389"/>
    <cellStyle name="Oeiainiaue_Наслли, гўшт сут, Зоовет 2010й 1 апрель_Хоразм туман" xfId="1390"/>
    <cellStyle name="Oeiainiaue_Наслли, гўшт сут, Зоовет 2010й 1 апрель_Хоразм туман_01.11.12 утган йилга нисбатан 2" xfId="1391"/>
    <cellStyle name="Oeiainiaue_Наслли, гўшт сут, Зоовет 2010й 1 апрель_Хоразм туман_Копия 1474 илова  01.01.2012 ўтган йилга нисбати" xfId="1392"/>
    <cellStyle name="Oeiainiaue_ПРОГНОЗ И 2008-2015 125 фоизлик ОКОНЧАТЕЛЬНЫЙ" xfId="1393"/>
    <cellStyle name="Oeiainiaue_ПРОГНОЗ И 2008-2015 125 фоизлик ОКОНЧАТЕЛЬНЫЙ_Андижон туман" xfId="1394"/>
    <cellStyle name="Oeiainiaue_ПРОГНОЗ И 2008-2015 125 фоизлик ОКОНЧАТЕЛЬНЫЙ_Андижон туман_01.11.12 утган йилга нисбатан 2" xfId="1395"/>
    <cellStyle name="Oeiainiaue_ПРОГНОЗ И 2008-2015 125 фоизлик ОКОНЧАТЕЛЬНЫЙ_Андижон туман_Копия 1474 илова  01.01.2012 ўтган йилга нисбати" xfId="1396"/>
    <cellStyle name="Oeiainiaue_ПРОГНОЗ И 2008-2015 125 фоизлик ОКОНЧАТЕЛЬНЫЙ_Бухоро" xfId="1397"/>
    <cellStyle name="Oeiainiaue_ПРОГНОЗ И 2008-2015 125 фоизлик ОКОНЧАТЕЛЬНЫЙ_Бухоро_Ўтган йилга нисбатан" xfId="1398"/>
    <cellStyle name="Oeiainiaue_ПРОГНОЗ И 2008-2015 125 фоизлик ОКОНЧАТЕЛЬНЫЙ_Бухоро_Копия 1474 илова  01.01.2012 ўтган йилга нисбати" xfId="1399"/>
    <cellStyle name="Oeiainiaue_ПРОГНОЗ И 2008-2015 125 фоизлик ОКОНЧАТЕЛЬНЫЙ_Навоий1 туман" xfId="1400"/>
    <cellStyle name="Oeiainiaue_ПРОГНОЗ И 2008-2015 125 фоизлик ОКОНЧАТЕЛЬНЫЙ_Навоий1 туман_Ўтган йилга нисбатан" xfId="1401"/>
    <cellStyle name="Oeiainiaue_ПРОГНОЗ И 2008-2015 125 фоизлик ОКОНЧАТЕЛЬНЫЙ_Навоий1 туман_Копия 1474 илова  01.01.2012 ўтган йилга нисбати" xfId="1402"/>
    <cellStyle name="Oeiainiaue_ПРОГНОЗ И 2008-2015 125 фоизлик ОКОНЧАТЕЛЬНЫЙ_Хоразм туман" xfId="1403"/>
    <cellStyle name="Oeiainiaue_ПРОГНОЗ И 2008-2015 125 фоизлик ОКОНЧАТЕЛЬНЫЙ_Хоразм туман_01.11.12 утган йилга нисбатан 2" xfId="1404"/>
    <cellStyle name="Oeiainiaue_ПРОГНОЗ И 2008-2015 125 фоизлик ОКОНЧАТЕЛЬНЫЙ_Хоразм туман_Копия 1474 илова  01.01.2012 ўтган йилга нисбати" xfId="1405"/>
    <cellStyle name="Oeiainiaue_Прог" xfId="1406"/>
    <cellStyle name="Oeiainiaue_Рес-га" xfId="1407"/>
    <cellStyle name="Oeiainiaue_Рес-га_Ўтган йилга нисбатан" xfId="1408"/>
    <cellStyle name="Oeiainiaue_Рес-га_Копия 1474 илова  01.01.2012 ўтган йилга нисбати" xfId="1409"/>
    <cellStyle name="Oeiainiaue_СВОД БАРЧА олдинги" xfId="1410"/>
    <cellStyle name="Oeiainiaue_Тасдик-Бош вазир охирги" xfId="1411"/>
    <cellStyle name="Oeiainiaue_Тасдик-Бош вазир охирги_Ўтган йилга нисбатан" xfId="1412"/>
    <cellStyle name="Oeiainiaue_Тасдик-Бош вазир охирги_Копия 1474 илова  01.01.2012 ўтган йилга нисбати" xfId="1413"/>
    <cellStyle name="Oeiainiaue_выдача_2011-2015_1" xfId="1414"/>
    <cellStyle name="Oeiainiaue_выдача_2011-2015_1_Ўтган йилга нисбатан" xfId="1415"/>
    <cellStyle name="Oeiainiaue_выдача_2011-2015_1_Андижон туман" xfId="1416"/>
    <cellStyle name="Oeiainiaue_выдача_2011-2015_1_Андижон туман_01.11.12 утган йилга нисбатан 2" xfId="1417"/>
    <cellStyle name="Oeiainiaue_выдача_2011-2015_1_Андижон туман_Копия 1474 илова  01.01.2012 ўтган йилга нисбати" xfId="1418"/>
    <cellStyle name="Oeiainiaue_выдача_2011-2015_1_Бухоро" xfId="1419"/>
    <cellStyle name="Oeiainiaue_выдача_2011-2015_1_Бухоро_Ўтган йилга нисбатан" xfId="1420"/>
    <cellStyle name="Oeiainiaue_выдача_2011-2015_1_Бухоро_Копия 1474 илова  01.01.2012 ўтган йилга нисбати" xfId="1421"/>
    <cellStyle name="Oeiainiaue_выдача_2011-2015_1_Копия 1474 илова  01.01.2012 ўтган йилга нисбати" xfId="1422"/>
    <cellStyle name="Oeiainiaue_выдача_2011-2015_1_Навоий1 туман" xfId="1423"/>
    <cellStyle name="Oeiainiaue_выдача_2011-2015_1_Навоий1 туман_Ўтган йилга нисбатан" xfId="1424"/>
    <cellStyle name="Oeiainiaue_выдача_2011-2015_1_Навоий1 туман_Копия 1474 илова  01.01.2012 ўтган йилга нисбати" xfId="1425"/>
    <cellStyle name="Oeiainiaue_выдача_2011-2015_1_СВОД БАРЧА олдинги" xfId="1426"/>
    <cellStyle name="Oeiainiaue_выдача_2011-2015_1_Хоразм туман" xfId="1427"/>
    <cellStyle name="Oeiainiaue_выдача_2011-2015_1_Хоразм туман_01.11.12 утган йилга нисбатан 2" xfId="1428"/>
    <cellStyle name="Oeiainiaue_выдача_2011-2015_1_Хоразм туман_Копия 1474 илова  01.01.2012 ўтган йилга нисбати" xfId="1429"/>
    <cellStyle name="Oeiainiaue_форма 01.01.2016" xfId="1430"/>
    <cellStyle name="Output 2" xfId="1431"/>
    <cellStyle name="Output 3" xfId="1432"/>
    <cellStyle name="Percent 2" xfId="1433"/>
    <cellStyle name="Percent 3" xfId="1434"/>
    <cellStyle name="Percent 4" xfId="1435"/>
    <cellStyle name="Percent 5" xfId="1436"/>
    <cellStyle name="Percent 6" xfId="1437"/>
    <cellStyle name="Percent 7" xfId="1438"/>
    <cellStyle name="Percent [2]" xfId="1439"/>
    <cellStyle name="percentage difference" xfId="1440"/>
    <cellStyle name="percentage difference one decimal" xfId="1441"/>
    <cellStyle name="percentage difference zero decimal" xfId="1442"/>
    <cellStyle name="S0" xfId="1443"/>
    <cellStyle name="S1" xfId="1444"/>
    <cellStyle name="S2" xfId="1445"/>
    <cellStyle name="S3" xfId="1446"/>
    <cellStyle name="S4" xfId="1447"/>
    <cellStyle name="S5" xfId="1448"/>
    <cellStyle name="S6" xfId="1449"/>
    <cellStyle name="S7" xfId="1450"/>
    <cellStyle name="s]&#13;&#10;;load=rrtsklst.exe&#13;&#10;Beep=yes&#13;&#10;NullPort=None&#13;&#10;BorderWidth=3&#13;&#10;CursorBlinkRate=530&#13;&#10;DoubleClickSpeed=452&#13;&#10;Programs=com" xfId="1451"/>
    <cellStyle name="s]&#13;&#10;load=&#13;&#10;run=&#13;&#10;NullPort=None&#13;&#10;device=Epson FX-1170,EPSON9,LPT1:&#13;&#10;&#13;&#10;[Desktop]&#13;&#10;Wallpaper=C:\WIN95\SKY.BMP&#13;&#10;TileWallpap" xfId="1452"/>
    <cellStyle name="Sheet Title" xfId="1453"/>
    <cellStyle name="Standard_COST INPUT SHEET" xfId="1454"/>
    <cellStyle name="Title 2" xfId="1455"/>
    <cellStyle name="Total 2" xfId="1456"/>
    <cellStyle name="Warning Text 2" xfId="1457"/>
    <cellStyle name="Warning Text 3" xfId="1458"/>
    <cellStyle name="Wдhrung [0]_Software Project Status" xfId="1459"/>
    <cellStyle name="Wдhrung_Software Project Status" xfId="1460"/>
    <cellStyle name="" xfId="1461"/>
    <cellStyle name=" 2" xfId="1462"/>
    <cellStyle name="_1 кв ФАКТОР" xfId="1463"/>
    <cellStyle name="1" xfId="1464"/>
    <cellStyle name="1 2" xfId="1465"/>
    <cellStyle name="2" xfId="1466"/>
    <cellStyle name="2 2" xfId="1467"/>
    <cellStyle name="" xfId="1468"/>
    <cellStyle name=" 2" xfId="1469"/>
    <cellStyle name="_1 кв ФАКТОР" xfId="1470"/>
    <cellStyle name="_1-кисм 1-свод" xfId="1471"/>
    <cellStyle name="_1q2010" xfId="1472"/>
    <cellStyle name="_МВЭС Хусанбой" xfId="1473"/>
    <cellStyle name="_СВОД Прогноз 2008-2012й" xfId="1474"/>
    <cellStyle name="_Фарғона_1-кисм 1-свод" xfId="1475"/>
    <cellStyle name="_доп. табл по Поручению министра - посл." xfId="1476"/>
    <cellStyle name="_308 хисоботи 2010йил 1 апрель холатига" xfId="1477"/>
    <cellStyle name="_Ўтган йилга нисбатан" xfId="1478"/>
    <cellStyle name="_КР Нукус   (2 жадвал)" xfId="1479"/>
    <cellStyle name="_Копия 1474 илова  01.01.2012 ўтган йилга нисбати" xfId="1480"/>
    <cellStyle name="_Кредит линия-русча" xfId="1481"/>
    <cellStyle name="_Наслли, гўшт сут, Зоовет 2010й 1 апрель" xfId="1482"/>
    <cellStyle name="_ПРОГНОЗ И 2008-2015 125 фоизлик ОКОНЧАТЕЛЬНЫЙ" xfId="1483"/>
    <cellStyle name="_Прог" xfId="1484"/>
    <cellStyle name="_СВОД БАРЧА олдинги" xfId="1485"/>
    <cellStyle name="_Тасдик-Бош вазир охирги" xfId="1486"/>
    <cellStyle name="_выдача_2011-2015_1" xfId="1487"/>
    <cellStyle name="_форма 01.01.2016" xfId="1488"/>
    <cellStyle name="’ћѓћ‚›‰" xfId="1489"/>
    <cellStyle name="’ћѓћ‚›‰ 2" xfId="1490"/>
    <cellStyle name="" xfId="1491"/>
    <cellStyle name=" 2" xfId="1492"/>
    <cellStyle name="_1 кв ФАКТОР" xfId="1493"/>
    <cellStyle name="Äåíåæíûé" xfId="1494"/>
    <cellStyle name="Äåíåæíûé [0]" xfId="1495"/>
    <cellStyle name="Äåíåæíûé_308 хисоботи 2010йил 1 апрель холатига" xfId="1496"/>
    <cellStyle name="Îáû÷íûé" xfId="1497"/>
    <cellStyle name="Ïðîöåíòíûé" xfId="1498"/>
    <cellStyle name="Ôèíàíñîâûé" xfId="1499"/>
    <cellStyle name="Ôèíàíñîâûé [0]" xfId="1500"/>
    <cellStyle name="Ôèíàíñîâûé [0]_308 хисоботи 2010йил 1 апрель холатига" xfId="1501"/>
    <cellStyle name="Ôèíàíñîâûé [0]_Ўтган йилга нисбатан" xfId="1502"/>
    <cellStyle name="Ôèíàíñîâûé [0]_КР Нукус   (2 жадвал)" xfId="1503"/>
    <cellStyle name="Ôèíàíñîâûé [0]_Копия 1474 илова  01.01.2012 ўтган йилга нисбати" xfId="1504"/>
    <cellStyle name="Ôèíàíñîâûé [0]_Наслли, гўшт сут, Зоовет 2010й 1 апрель" xfId="1505"/>
    <cellStyle name="Ôèíàíñîâûé [0]_Наслли, гўшт сут, Зоовет 2010й 1 апрель_Ўтган йилга нисбатан" xfId="1506"/>
    <cellStyle name="Ôèíàíñîâûé [0]_Наслли, гўшт сут, Зоовет 2010й 1 апрель_Андижон туман" xfId="1507"/>
    <cellStyle name="Ôèíàíñîâûé [0]_Наслли, гўшт сут, Зоовет 2010й 1 апрель_Андижон туман_01.11.12 утган йилга нисбатан 2" xfId="1508"/>
    <cellStyle name="Ôèíàíñîâûé [0]_Наслли, гўшт сут, Зоовет 2010й 1 апрель_Андижон туман_Копия 1474 илова  01.01.2012 ўтган йилга нисбати" xfId="1509"/>
    <cellStyle name="Ôèíàíñîâûé [0]_Наслли, гўшт сут, Зоовет 2010й 1 апрель_Бухоро" xfId="1510"/>
    <cellStyle name="Ôèíàíñîâûé [0]_Наслли, гўшт сут, Зоовет 2010й 1 апрель_Бухоро_Ўтган йилга нисбатан" xfId="1511"/>
    <cellStyle name="Ôèíàíñîâûé [0]_Наслли, гўшт сут, Зоовет 2010й 1 апрель_Бухоро_Копия 1474 илова  01.01.2012 ўтган йилга нисбати" xfId="1512"/>
    <cellStyle name="Ôèíàíñîâûé [0]_Наслли, гўшт сут, Зоовет 2010й 1 апрель_Копия 1474 илова  01.01.2012 ўтган йилга нисбати" xfId="1513"/>
    <cellStyle name="Ôèíàíñîâûé [0]_Наслли, гўшт сут, Зоовет 2010й 1 апрель_Навоий1 туман" xfId="1514"/>
    <cellStyle name="Ôèíàíñîâûé [0]_Наслли, гўшт сут, Зоовет 2010й 1 апрель_Навоий1 туман_Ўтган йилга нисбатан" xfId="1515"/>
    <cellStyle name="Ôèíàíñîâûé [0]_Наслли, гўшт сут, Зоовет 2010й 1 апрель_Навоий1 туман_Копия 1474 илова  01.01.2012 ўтган йилга нисбати" xfId="1516"/>
    <cellStyle name="Ôèíàíñîâûé [0]_Наслли, гўшт сут, Зоовет 2010й 1 апрель_СВОД БАРЧА олдинги" xfId="1517"/>
    <cellStyle name="Ôèíàíñîâûé [0]_Наслли, гўшт сут, Зоовет 2010й 1 апрель_Хоразм туман" xfId="1518"/>
    <cellStyle name="Ôèíàíñîâûé [0]_Наслли, гўшт сут, Зоовет 2010й 1 апрель_Хоразм туман_01.11.12 утган йилга нисбатан 2" xfId="1519"/>
    <cellStyle name="Ôèíàíñîâûé [0]_Наслли, гўшт сут, Зоовет 2010й 1 апрель_Хоразм туман_Копия 1474 илова  01.01.2012 ўтган йилга нисбати" xfId="1520"/>
    <cellStyle name="Ôèíàíñîâûé [0]_ПРОГНОЗ И 2008-2015 125 фоизлик ОКОНЧАТЕЛЬНЫЙ" xfId="1521"/>
    <cellStyle name="Ôèíàíñîâûé [0]_ПРОГНОЗ И 2008-2015 125 фоизлик ОКОНЧАТЕЛЬНЫЙ_Андижон туман" xfId="1522"/>
    <cellStyle name="Ôèíàíñîâûé [0]_ПРОГНОЗ И 2008-2015 125 фоизлик ОКОНЧАТЕЛЬНЫЙ_Андижон туман_01.11.12 утган йилга нисбатан 2" xfId="1523"/>
    <cellStyle name="Ôèíàíñîâûé [0]_ПРОГНОЗ И 2008-2015 125 фоизлик ОКОНЧАТЕЛЬНЫЙ_Андижон туман_Копия 1474 илова  01.01.2012 ўтган йилга нисбати" xfId="1524"/>
    <cellStyle name="Ôèíàíñîâûé [0]_ПРОГНОЗ И 2008-2015 125 фоизлик ОКОНЧАТЕЛЬНЫЙ_Бухоро" xfId="1525"/>
    <cellStyle name="Ôèíàíñîâûé [0]_ПРОГНОЗ И 2008-2015 125 фоизлик ОКОНЧАТЕЛЬНЫЙ_Бухоро_Ўтган йилга нисбатан" xfId="1526"/>
    <cellStyle name="Ôèíàíñîâûé [0]_ПРОГНОЗ И 2008-2015 125 фоизлик ОКОНЧАТЕЛЬНЫЙ_Бухоро_Копия 1474 илова  01.01.2012 ўтган йилга нисбати" xfId="1527"/>
    <cellStyle name="Ôèíàíñîâûé [0]_ПРОГНОЗ И 2008-2015 125 фоизлик ОКОНЧАТЕЛЬНЫЙ_Навоий1 туман" xfId="1528"/>
    <cellStyle name="Ôèíàíñîâûé [0]_ПРОГНОЗ И 2008-2015 125 фоизлик ОКОНЧАТЕЛЬНЫЙ_Навоий1 туман_Ўтган йилга нисбатан" xfId="1529"/>
    <cellStyle name="Ôèíàíñîâûé [0]_ПРОГНОЗ И 2008-2015 125 фоизлик ОКОНЧАТЕЛЬНЫЙ_Навоий1 туман_Копия 1474 илова  01.01.2012 ўтган йилга нисбати" xfId="1530"/>
    <cellStyle name="Ôèíàíñîâûé [0]_ПРОГНОЗ И 2008-2015 125 фоизлик ОКОНЧАТЕЛЬНЫЙ_Хоразм туман" xfId="1531"/>
    <cellStyle name="Ôèíàíñîâûé [0]_ПРОГНОЗ И 2008-2015 125 фоизлик ОКОНЧАТЕЛЬНЫЙ_Хоразм туман_01.11.12 утган йилга нисбатан 2" xfId="1532"/>
    <cellStyle name="Ôèíàíñîâûé [0]_ПРОГНОЗ И 2008-2015 125 фоизлик ОКОНЧАТЕЛЬНЫЙ_Хоразм туман_Копия 1474 илова  01.01.2012 ўтган йилга нисбати" xfId="1533"/>
    <cellStyle name="Ôèíàíñîâûé [0]_Прог" xfId="1534"/>
    <cellStyle name="Ôèíàíñîâûé [0]_Рес-га" xfId="1535"/>
    <cellStyle name="Ôèíàíñîâûé [0]_Рес-га_Ўтган йилга нисбатан" xfId="1536"/>
    <cellStyle name="Ôèíàíñîâûé [0]_Рес-га_Копия 1474 илова  01.01.2012 ўтган йилга нисбати" xfId="1537"/>
    <cellStyle name="Ôèíàíñîâûé [0]_СВОД БАРЧА олдинги" xfId="1538"/>
    <cellStyle name="Ôèíàíñîâûé [0]_Тасдик-Бош вазир охирги" xfId="1539"/>
    <cellStyle name="Ôèíàíñîâûé [0]_Тасдик-Бош вазир охирги_Ўтган йилга нисбатан" xfId="1540"/>
    <cellStyle name="Ôèíàíñîâûé [0]_Тасдик-Бош вазир охирги_Копия 1474 илова  01.01.2012 ўтган йилга нисбати" xfId="1541"/>
    <cellStyle name="Ôèíàíñîâûé [0]_выдача_2011-2015_1" xfId="1542"/>
    <cellStyle name="Ôèíàíñîâûé [0]_выдача_2011-2015_1_Ўтган йилга нисбатан" xfId="1543"/>
    <cellStyle name="Ôèíàíñîâûé [0]_выдача_2011-2015_1_Андижон туман" xfId="1544"/>
    <cellStyle name="Ôèíàíñîâûé [0]_выдача_2011-2015_1_Андижон туман_01.11.12 утган йилга нисбатан 2" xfId="1545"/>
    <cellStyle name="Ôèíàíñîâûé [0]_выдача_2011-2015_1_Андижон туман_Копия 1474 илова  01.01.2012 ўтган йилга нисбати" xfId="1546"/>
    <cellStyle name="Ôèíàíñîâûé [0]_выдача_2011-2015_1_Бухоро" xfId="1547"/>
    <cellStyle name="Ôèíàíñîâûé [0]_выдача_2011-2015_1_Бухоро_Ўтган йилга нисбатан" xfId="1548"/>
    <cellStyle name="Ôèíàíñîâûé [0]_выдача_2011-2015_1_Бухоро_Копия 1474 илова  01.01.2012 ўтган йилга нисбати" xfId="1549"/>
    <cellStyle name="Ôèíàíñîâûé [0]_выдача_2011-2015_1_Копия 1474 илова  01.01.2012 ўтган йилга нисбати" xfId="1550"/>
    <cellStyle name="Ôèíàíñîâûé [0]_выдача_2011-2015_1_Навоий1 туман" xfId="1551"/>
    <cellStyle name="Ôèíàíñîâûé [0]_выдача_2011-2015_1_Навоий1 туман_Ўтган йилга нисбатан" xfId="1552"/>
    <cellStyle name="Ôèíàíñîâûé [0]_выдача_2011-2015_1_Навоий1 туман_Копия 1474 илова  01.01.2012 ўтган йилга нисбати" xfId="1553"/>
    <cellStyle name="Ôèíàíñîâûé [0]_выдача_2011-2015_1_СВОД БАРЧА олдинги" xfId="1554"/>
    <cellStyle name="Ôèíàíñîâûé [0]_выдача_2011-2015_1_Хоразм туман" xfId="1555"/>
    <cellStyle name="Ôèíàíñîâûé [0]_выдача_2011-2015_1_Хоразм туман_01.11.12 утган йилга нисбатан 2" xfId="0"/>
    <cellStyle name="Ôèíàíñîâûé [0]_выдача_2011-2015_1_Хоразм туман_Копия 1474 илова  01.01.2012 ўтган йилга нисбати" xfId="0"/>
    <cellStyle name="Ôèíàíñîâûé [0]_форма 01.01.2016" xfId="0"/>
    <cellStyle name="Ôèíàíñîâûé_308 хисоботи 2010йил 1 апрель холатига" xfId="0"/>
    <cellStyle name="Ôèíàíñîâûé_Ўтган йилга нисбатан" xfId="0"/>
    <cellStyle name="Ôèíàíñîâûé_КР Нукус   (2 жадвал)" xfId="0"/>
    <cellStyle name="Ôèíàíñîâûé_Копия 1474 илова  01.01.2012 ўтган йилга нисбати" xfId="0"/>
    <cellStyle name="Ôèíàíñîâûé_Наслли, гўшт сут, Зоовет 2010й 1 апрель" xfId="0"/>
    <cellStyle name="Ôèíàíñîâûé_Наслли, гўшт сут, Зоовет 2010й 1 апрель_Ўтган йилга нисбатан" xfId="0"/>
    <cellStyle name="Ôèíàíñîâûé_Наслли, гўшт сут, Зоовет 2010й 1 апрель_Андижон туман" xfId="0"/>
    <cellStyle name="Ôèíàíñîâûé_Наслли, гўшт сут, Зоовет 2010й 1 апрель_Андижон туман_01.11.12 утган йилга нисбатан 2" xfId="0"/>
    <cellStyle name="Ôèíàíñîâûé_Наслли, гўшт сут, Зоовет 2010й 1 апрель_Андижон туман_Копия 1474 илова  01.01.2012 ўтган йилга нисбати" xfId="0"/>
    <cellStyle name="Ôèíàíñîâûé_Наслли, гўшт сут, Зоовет 2010й 1 апрель_Бухоро" xfId="0"/>
    <cellStyle name="Ôèíàíñîâûé_Наслли, гўшт сут, Зоовет 2010й 1 апрель_Бухоро_Ўтган йилга нисбатан" xfId="0"/>
    <cellStyle name="Ôèíàíñîâûé_Наслли, гўшт сут, Зоовет 2010й 1 апрель_Бухоро_Копия 1474 илова  01.01.2012 ўтган йилга нисбати" xfId="0"/>
    <cellStyle name="Ôèíàíñîâûé_Наслли, гўшт сут, Зоовет 2010й 1 апрель_Копия 1474 илова  01.01.2012 ўтган йилга нисбати" xfId="0"/>
    <cellStyle name="Ôèíàíñîâûé_Наслли, гўшт сут, Зоовет 2010й 1 апрель_Навоий1 туман" xfId="0"/>
    <cellStyle name="Ôèíàíñîâûé_Наслли, гўшт сут, Зоовет 2010й 1 апрель_Навоий1 туман_Ўтган йилга нисбатан" xfId="0"/>
    <cellStyle name="Ôèíàíñîâûé_Наслли, гўшт сут, Зоовет 2010й 1 апрель_Навоий1 туман_Копия 1474 илова  01.01.2012 ўтган йилга нисбати" xfId="0"/>
    <cellStyle name="Ôèíàíñîâûé_Наслли, гўшт сут, Зоовет 2010й 1 апрель_СВОД БАРЧА олдинги" xfId="0"/>
    <cellStyle name="Ôèíàíñîâûé_Наслли, гўшт сут, Зоовет 2010й 1 апрель_Хоразм туман" xfId="0"/>
    <cellStyle name="Ôèíàíñîâûé_Наслли, гўшт сут, Зоовет 2010й 1 апрель_Хоразм туман_01.11.12 утган йилга нисбатан 2" xfId="0"/>
    <cellStyle name="Ôèíàíñîâûé_Наслли, гўшт сут, Зоовет 2010й 1 апрель_Хоразм туман_Копия 1474 илова  01.01.2012 ўтган йилга нисбати" xfId="0"/>
    <cellStyle name="Ôèíàíñîâûé_ПРОГНОЗ И 2008-2015 125 фоизлик ОКОНЧАТЕЛЬНЫЙ" xfId="0"/>
    <cellStyle name="Ôèíàíñîâûé_ПРОГНОЗ И 2008-2015 125 фоизлик ОКОНЧАТЕЛЬНЫЙ_Андижон туман" xfId="0"/>
    <cellStyle name="Ôèíàíñîâûé_ПРОГНОЗ И 2008-2015 125 фоизлик ОКОНЧАТЕЛЬНЫЙ_Андижон туман_01.11.12 утган йилга нисбатан 2" xfId="0"/>
    <cellStyle name="Ôèíàíñîâûé_ПРОГНОЗ И 2008-2015 125 фоизлик ОКОНЧАТЕЛЬНЫЙ_Андижон туман_Копия 1474 илова  01.01.2012 ўтган йилга нисбати" xfId="0"/>
    <cellStyle name="Ôèíàíñîâûé_ПРОГНОЗ И 2008-2015 125 фоизлик ОКОНЧАТЕЛЬНЫЙ_Бухоро" xfId="0"/>
    <cellStyle name="Ôèíàíñîâûé_ПРОГНОЗ И 2008-2015 125 фоизлик ОКОНЧАТЕЛЬНЫЙ_Бухоро_Ўтган йилга нисбатан" xfId="0"/>
    <cellStyle name="Ôèíàíñîâûé_ПРОГНОЗ И 2008-2015 125 фоизлик ОКОНЧАТЕЛЬНЫЙ_Бухоро_Копия 1474 илова  01.01.2012 ўтган йилга нисбати" xfId="0"/>
    <cellStyle name="Ôèíàíñîâûé_ПРОГНОЗ И 2008-2015 125 фоизлик ОКОНЧАТЕЛЬНЫЙ_Навоий1 туман" xfId="0"/>
    <cellStyle name="Ôèíàíñîâûé_ПРОГНОЗ И 2008-2015 125 фоизлик ОКОНЧАТЕЛЬНЫЙ_Навоий1 туман_Ўтган йилга нисбатан" xfId="0"/>
    <cellStyle name="Ôèíàíñîâûé_ПРОГНОЗ И 2008-2015 125 фоизлик ОКОНЧАТЕЛЬНЫЙ_Навоий1 туман_Копия 1474 илова  01.01.2012 ўтган йилга нисбати" xfId="0"/>
    <cellStyle name="Ôèíàíñîâûé_ПРОГНОЗ И 2008-2015 125 фоизлик ОКОНЧАТЕЛЬНЫЙ_Хоразм туман" xfId="0"/>
    <cellStyle name="Ôèíàíñîâûé_ПРОГНОЗ И 2008-2015 125 фоизлик ОКОНЧАТЕЛЬНЫЙ_Хоразм туман_01.11.12 утган йилга нисбатан 2" xfId="0"/>
    <cellStyle name="Ôèíàíñîâûé_ПРОГНОЗ И 2008-2015 125 фоизлик ОКОНЧАТЕЛЬНЫЙ_Хоразм туман_Копия 1474 илова  01.01.2012 ўтган йилга нисбати" xfId="0"/>
    <cellStyle name="Ôèíàíñîâûé_Прог" xfId="0"/>
    <cellStyle name="Ôèíàíñîâûé_Рес-га" xfId="0"/>
    <cellStyle name="Ôèíàíñîâûé_Рес-га_Ўтган йилга нисбатан" xfId="0"/>
    <cellStyle name="Ôèíàíñîâûé_Рес-га_Копия 1474 илова  01.01.2012 ўтган йилга нисбати" xfId="0"/>
    <cellStyle name="Ôèíàíñîâûé_СВОД БАРЧА олдинги" xfId="0"/>
    <cellStyle name="Ôèíàíñîâûé_Тасдик-Бош вазир охирги" xfId="0"/>
    <cellStyle name="Ôèíàíñîâûé_Тасдик-Бош вазир охирги_Ўтган йилга нисбатан" xfId="0"/>
    <cellStyle name="Ôèíàíñîâûé_Тасдик-Бош вазир охирги_Копия 1474 илова  01.01.2012 ўтган йилга нисбати" xfId="0"/>
    <cellStyle name="Ôèíàíñîâûé_выдача_2011-2015_1" xfId="0"/>
    <cellStyle name="Ôèíàíñîâûé_выдача_2011-2015_1_Ўтган йилга нисбатан" xfId="0"/>
    <cellStyle name="Ôèíàíñîâûé_выдача_2011-2015_1_Андижон туман" xfId="0"/>
    <cellStyle name="Ôèíàíñîâûé_выдача_2011-2015_1_Андижон туман_01.11.12 утган йилга нисбатан 2" xfId="0"/>
    <cellStyle name="Ôèíàíñîâûé_выдача_2011-2015_1_Андижон туман_Копия 1474 илова  01.01.2012 ўтган йилга нисбати" xfId="0"/>
    <cellStyle name="Ôèíàíñîâûé_выдача_2011-2015_1_Бухоро" xfId="0"/>
    <cellStyle name="Ôèíàíñîâûé_выдача_2011-2015_1_Бухоро_Ўтган йилга нисбатан" xfId="0"/>
    <cellStyle name="Ôèíàíñîâûé_выдача_2011-2015_1_Бухоро_Копия 1474 илова  01.01.2012 ўтган йилга нисбати" xfId="0"/>
    <cellStyle name="Ôèíàíñîâûé_выдача_2011-2015_1_Копия 1474 илова  01.01.2012 ўтган йилга нисбати" xfId="0"/>
    <cellStyle name="Ôèíàíñîâûé_выдача_2011-2015_1_Навоий1 туман" xfId="0"/>
    <cellStyle name="Ôèíàíñîâûé_выдача_2011-2015_1_Навоий1 туман_Ўтган йилга нисбатан" xfId="0"/>
    <cellStyle name="Ôèíàíñîâûé_выдача_2011-2015_1_Навоий1 туман_Копия 1474 илова  01.01.2012 ўтган йилга нисбати" xfId="0"/>
    <cellStyle name="Ôèíàíñîâûé_выдача_2011-2015_1_СВОД БАРЧА олдинги" xfId="0"/>
    <cellStyle name="Ôèíàíñîâûé_выдача_2011-2015_1_Хоразм туман" xfId="0"/>
    <cellStyle name="Ôèíàíñîâûé_выдача_2011-2015_1_Хоразм туман_01.11.12 утган йилга нисбатан 2" xfId="0"/>
    <cellStyle name="Ôèíàíñîâûé_выдача_2011-2015_1_Хоразм туман_Копия 1474 илова  01.01.2012 ўтган йилга нисбати" xfId="0"/>
    <cellStyle name="Ôèíàíñîâûé_форма 01.01.2016" xfId="0"/>
    <cellStyle name="Џђћ–…ќ’ќ›‰" xfId="0"/>
    <cellStyle name="Џђћ–…ќ’ќ›‰ 2" xfId="0"/>
    <cellStyle name="Акцент1 2" xfId="0"/>
    <cellStyle name="Акцент1 3" xfId="0"/>
    <cellStyle name="Акцент2 2" xfId="0"/>
    <cellStyle name="Акцент2 3" xfId="0"/>
    <cellStyle name="Акцент3 2" xfId="0"/>
    <cellStyle name="Акцент3 3" xfId="0"/>
    <cellStyle name="Акцент4 2" xfId="0"/>
    <cellStyle name="Акцент4 3" xfId="0"/>
    <cellStyle name="Акцент5 2" xfId="0"/>
    <cellStyle name="Акцент5 3" xfId="0"/>
    <cellStyle name="Акцент6 2" xfId="0"/>
    <cellStyle name="Акцент6 3" xfId="0"/>
    <cellStyle name="Ввод  2" xfId="0"/>
    <cellStyle name="Ввод  3" xfId="0"/>
    <cellStyle name="Вывод 2" xfId="0"/>
    <cellStyle name="Вывод 3" xfId="0"/>
    <cellStyle name="Вычисление 2" xfId="0"/>
    <cellStyle name="Вычисление 3" xfId="0"/>
    <cellStyle name="Денежный 2" xfId="0"/>
    <cellStyle name="Денежный 3" xfId="0"/>
    <cellStyle name="Денежный 4" xfId="0"/>
    <cellStyle name="Заголовок 1 2" xfId="0"/>
    <cellStyle name="Заголовок 1 3" xfId="0"/>
    <cellStyle name="Заголовок 2 2" xfId="0"/>
    <cellStyle name="Заголовок 2 3" xfId="0"/>
    <cellStyle name="Заголовок 3 2" xfId="0"/>
    <cellStyle name="Заголовок 3 3" xfId="0"/>
    <cellStyle name="Заголовок 4 2" xfId="0"/>
    <cellStyle name="Заголовок 4 3" xfId="0"/>
    <cellStyle name="Итог 2" xfId="0"/>
    <cellStyle name="Итог 3" xfId="0"/>
    <cellStyle name="Контрольная ячейка 2" xfId="0"/>
    <cellStyle name="Контрольная ячейка 3" xfId="0"/>
    <cellStyle name="Нейтральный 2" xfId="0"/>
    <cellStyle name="Нейтральный 3" xfId="0"/>
    <cellStyle name="Обычный 10" xfId="0"/>
    <cellStyle name="Обычный 10 2" xfId="0"/>
    <cellStyle name="Обычный 10 2 2" xfId="0"/>
    <cellStyle name="Обычный 10 3" xfId="0"/>
    <cellStyle name="Обычный 107" xfId="0"/>
    <cellStyle name="Обычный 108" xfId="0"/>
    <cellStyle name="Обычный 109" xfId="0"/>
    <cellStyle name="Обычный 11" xfId="0"/>
    <cellStyle name="Обычный 11 2" xfId="0"/>
    <cellStyle name="Обычный 110" xfId="0"/>
    <cellStyle name="Обычный 12" xfId="0"/>
    <cellStyle name="Обычный 13" xfId="0"/>
    <cellStyle name="Обычный 14" xfId="0"/>
    <cellStyle name="Обычный 15" xfId="0"/>
    <cellStyle name="Обычный 15 2" xfId="0"/>
    <cellStyle name="Обычный 16" xfId="0"/>
    <cellStyle name="Обычный 16 2" xfId="0"/>
    <cellStyle name="Обычный 17" xfId="0"/>
    <cellStyle name="Обычный 17 2" xfId="0"/>
    <cellStyle name="Обычный 18" xfId="0"/>
    <cellStyle name="Обычный 18 2" xfId="0"/>
    <cellStyle name="Обычный 19" xfId="0"/>
    <cellStyle name="Обычный 19 2" xfId="0"/>
    <cellStyle name="Обычный 2" xfId="0"/>
    <cellStyle name="Обычный 2 10" xfId="0"/>
    <cellStyle name="Обычный 2 11" xfId="0"/>
    <cellStyle name="Обычный 2 11 2" xfId="0"/>
    <cellStyle name="Обычный 2 12" xfId="0"/>
    <cellStyle name="Обычный 2 12 2" xfId="0"/>
    <cellStyle name="Обычный 2 13" xfId="0"/>
    <cellStyle name="Обычный 2 14" xfId="0"/>
    <cellStyle name="Обычный 2 14 2" xfId="0"/>
    <cellStyle name="Обычный 2 15" xfId="0"/>
    <cellStyle name="Обычный 2 2" xfId="0"/>
    <cellStyle name="Обычный 2 2 10" xfId="0"/>
    <cellStyle name="Обычный 2 2 11" xfId="0"/>
    <cellStyle name="Обычный 2 2 12" xfId="0"/>
    <cellStyle name="Обычный 2 2 13" xfId="0"/>
    <cellStyle name="Обычный 2 2 14" xfId="0"/>
    <cellStyle name="Обычный 2 2 2" xfId="0"/>
    <cellStyle name="Обычный 2 2 2 2" xfId="0"/>
    <cellStyle name="Обычный 2 2 2 2 2" xfId="0"/>
    <cellStyle name="Обычный 2 2 2 2 2 2" xfId="0"/>
    <cellStyle name="Обычный 2 2 2 2 2 3" xfId="0"/>
    <cellStyle name="Обычный 2 2 2 2 2 4" xfId="0"/>
    <cellStyle name="Обычный 2 2 2 2 3" xfId="0"/>
    <cellStyle name="Обычный 2 2 2 2 4" xfId="0"/>
    <cellStyle name="Обычный 2 2 2 2 5" xfId="0"/>
    <cellStyle name="Обычный 2 2 2 2 6" xfId="0"/>
    <cellStyle name="Обычный 2 2 2 2 7" xfId="0"/>
    <cellStyle name="Обычный 2 2 2 3" xfId="0"/>
    <cellStyle name="Обычный 2 2 2 4" xfId="0"/>
    <cellStyle name="Обычный 2 2 2 5" xfId="0"/>
    <cellStyle name="Обычный 2 2 2 5 2" xfId="0"/>
    <cellStyle name="Обычный 2 2 2 5 3" xfId="0"/>
    <cellStyle name="Обычный 2 2 2 5 4" xfId="0"/>
    <cellStyle name="Обычный 2 2 2 6" xfId="0"/>
    <cellStyle name="Обычный 2 2 2 7" xfId="0"/>
    <cellStyle name="Обычный 2 2 2 8" xfId="0"/>
    <cellStyle name="Обычный 2 2 2 9" xfId="0"/>
    <cellStyle name="Обычный 2 2 3" xfId="0"/>
    <cellStyle name="Обычный 2 2 4" xfId="0"/>
    <cellStyle name="Обычный 2 2 5" xfId="0"/>
    <cellStyle name="Обычный 2 2 6" xfId="0"/>
    <cellStyle name="Обычный 2 2 7" xfId="0"/>
    <cellStyle name="Обычный 2 2 8" xfId="0"/>
    <cellStyle name="Обычный 2 2 8 2" xfId="0"/>
    <cellStyle name="Обычный 2 2 8 3" xfId="0"/>
    <cellStyle name="Обычный 2 2 8 4" xfId="0"/>
    <cellStyle name="Обычный 2 2 9" xfId="0"/>
    <cellStyle name="Обычный 2 3" xfId="0"/>
    <cellStyle name="Обычный 2 3 2" xfId="0"/>
    <cellStyle name="Обычный 2 3 3" xfId="0"/>
    <cellStyle name="Обычный 2 37" xfId="0"/>
    <cellStyle name="Обычный 2 3_01.11.12 утган йилга нисбатан 2" xfId="0"/>
    <cellStyle name="Обычный 2 4" xfId="0"/>
    <cellStyle name="Обычный 2 5" xfId="0"/>
    <cellStyle name="Обычный 2 6" xfId="0"/>
    <cellStyle name="Обычный 2 7" xfId="0"/>
    <cellStyle name="Обычный 2 8" xfId="0"/>
    <cellStyle name="Обычный 2 8 2" xfId="0"/>
    <cellStyle name="Обычный 2 8 3" xfId="0"/>
    <cellStyle name="Обычный 2 8 4" xfId="0"/>
    <cellStyle name="Обычный 2 8 5" xfId="0"/>
    <cellStyle name="Обычный 2 8_КРСВОД" xfId="0"/>
    <cellStyle name="Обычный 2 9" xfId="0"/>
    <cellStyle name="Обычный 20" xfId="0"/>
    <cellStyle name="Обычный 20 2" xfId="0"/>
    <cellStyle name="Обычный 21" xfId="0"/>
    <cellStyle name="Обычный 22" xfId="0"/>
    <cellStyle name="Обычный 23" xfId="0"/>
    <cellStyle name="Обычный 2_01.09.07 портфел" xfId="0"/>
    <cellStyle name="Обычный 3" xfId="0"/>
    <cellStyle name="Обычный 3 10" xfId="0"/>
    <cellStyle name="Обычный 3 10 2" xfId="0"/>
    <cellStyle name="Обычный 3 11" xfId="0"/>
    <cellStyle name="Обычный 3 2" xfId="0"/>
    <cellStyle name="Обычный 3 2 2" xfId="0"/>
    <cellStyle name="Обычный 3 3" xfId="0"/>
    <cellStyle name="Обычный 3 3 2" xfId="0"/>
    <cellStyle name="Обычный 3 4" xfId="0"/>
    <cellStyle name="Обычный 3 4 2" xfId="0"/>
    <cellStyle name="Обычный 3 5" xfId="0"/>
    <cellStyle name="Обычный 3 5 2" xfId="0"/>
    <cellStyle name="Обычный 3 6" xfId="0"/>
    <cellStyle name="Обычный 3 6 2" xfId="0"/>
    <cellStyle name="Обычный 3 7" xfId="0"/>
    <cellStyle name="Обычный 3 7 2" xfId="0"/>
    <cellStyle name="Обычный 3 8" xfId="0"/>
    <cellStyle name="Обычный 3 8 2" xfId="0"/>
    <cellStyle name="Обычный 3 9" xfId="0"/>
    <cellStyle name="Обычный 3 9 2" xfId="0"/>
    <cellStyle name="Обычный 3_~4749811" xfId="0"/>
    <cellStyle name="Обычный 4" xfId="0"/>
    <cellStyle name="Обычный 4 2" xfId="0"/>
    <cellStyle name="Обычный 4 2 2" xfId="0"/>
    <cellStyle name="Обычный 4 2 2 2" xfId="0"/>
    <cellStyle name="Обычный 4 3" xfId="0"/>
    <cellStyle name="Обычный 4 3 2" xfId="0"/>
    <cellStyle name="Обычный 4 4" xfId="0"/>
    <cellStyle name="Обычный 4 4 2" xfId="0"/>
    <cellStyle name="Обычный 4 5" xfId="0"/>
    <cellStyle name="Обычный 4 5 2" xfId="0"/>
    <cellStyle name="Обычный 4 6" xfId="0"/>
    <cellStyle name="Обычный 4 6 2" xfId="0"/>
    <cellStyle name="Обычный 4 7" xfId="0"/>
    <cellStyle name="Обычный 4_КРСВОД" xfId="0"/>
    <cellStyle name="Обычный 5" xfId="0"/>
    <cellStyle name="Обычный 5 2" xfId="0"/>
    <cellStyle name="Обычный 5 2 2" xfId="0"/>
    <cellStyle name="Обычный 5 3" xfId="0"/>
    <cellStyle name="Обычный 5 3 2" xfId="0"/>
    <cellStyle name="Обычный 5 4" xfId="0"/>
    <cellStyle name="Обычный 5 4 2" xfId="0"/>
    <cellStyle name="Обычный 5 5" xfId="0"/>
    <cellStyle name="Обычный 5 5 2" xfId="0"/>
    <cellStyle name="Обычный 5 6" xfId="0"/>
    <cellStyle name="Обычный 5 7" xfId="0"/>
    <cellStyle name="Обычный 5 7 2" xfId="0"/>
    <cellStyle name="Обычный 5 8" xfId="0"/>
    <cellStyle name="Обычный 5_КРСВОД" xfId="0"/>
    <cellStyle name="Обычный 6" xfId="0"/>
    <cellStyle name="Обычный 6 2" xfId="0"/>
    <cellStyle name="Обычный 6 2 2" xfId="0"/>
    <cellStyle name="Обычный 6 2 2 2" xfId="0"/>
    <cellStyle name="Обычный 6 2 3" xfId="0"/>
    <cellStyle name="Обычный 6 2 3 2" xfId="0"/>
    <cellStyle name="Обычный 6 2 4" xfId="0"/>
    <cellStyle name="Обычный 6 3" xfId="0"/>
    <cellStyle name="Обычный 6 3 2" xfId="0"/>
    <cellStyle name="Обычный 6 3 2 2" xfId="0"/>
    <cellStyle name="Обычный 6 3 3" xfId="0"/>
    <cellStyle name="Обычный 6 4" xfId="0"/>
    <cellStyle name="Обычный 6 4 2" xfId="0"/>
    <cellStyle name="Обычный 6 5" xfId="0"/>
    <cellStyle name="Обычный 6 5 2" xfId="0"/>
    <cellStyle name="Обычный 6 6" xfId="0"/>
    <cellStyle name="Обычный 6 6 2" xfId="0"/>
    <cellStyle name="Обычный 6 7" xfId="0"/>
    <cellStyle name="Обычный 6_КРСВОД" xfId="0"/>
    <cellStyle name="Обычный 7" xfId="0"/>
    <cellStyle name="Обычный 7 2" xfId="0"/>
    <cellStyle name="Обычный 7 2 2" xfId="0"/>
    <cellStyle name="Обычный 7 3" xfId="0"/>
    <cellStyle name="Обычный 7 3 2" xfId="0"/>
    <cellStyle name="Обычный 7 4" xfId="0"/>
    <cellStyle name="Обычный 7 4 2" xfId="0"/>
    <cellStyle name="Обычный 7 5" xfId="0"/>
    <cellStyle name="Обычный 7 5 2" xfId="0"/>
    <cellStyle name="Обычный 7 6" xfId="0"/>
    <cellStyle name="Обычный 7 6 2" xfId="0"/>
    <cellStyle name="Обычный 7_КРСВОД" xfId="0"/>
    <cellStyle name="Обычный 8" xfId="0"/>
    <cellStyle name="Обычный 8 2" xfId="0"/>
    <cellStyle name="Обычный 8 2 2" xfId="0"/>
    <cellStyle name="Обычный 8 2 2 2" xfId="0"/>
    <cellStyle name="Обычный 8 2 2 2 2" xfId="0"/>
    <cellStyle name="Обычный 8 2 2 3" xfId="0"/>
    <cellStyle name="Обычный 8 2 3" xfId="0"/>
    <cellStyle name="Обычный 8 2 3 2" xfId="0"/>
    <cellStyle name="Обычный 8 2 4" xfId="0"/>
    <cellStyle name="Обычный 8 2 4 2" xfId="0"/>
    <cellStyle name="Обычный 8 2 5" xfId="0"/>
    <cellStyle name="Обычный 8 3" xfId="0"/>
    <cellStyle name="Обычный 8 3 2" xfId="0"/>
    <cellStyle name="Обычный 8 3 2 2" xfId="0"/>
    <cellStyle name="Обычный 8 3 3" xfId="0"/>
    <cellStyle name="Обычный 8 3 3 2" xfId="0"/>
    <cellStyle name="Обычный 8 3 4" xfId="0"/>
    <cellStyle name="Обычный 8 4" xfId="0"/>
    <cellStyle name="Обычный 8 4 2" xfId="0"/>
    <cellStyle name="Обычный 8 4 2 2" xfId="0"/>
    <cellStyle name="Обычный 8 4 3" xfId="0"/>
    <cellStyle name="Обычный 8 5" xfId="0"/>
    <cellStyle name="Обычный 8 5 2" xfId="0"/>
    <cellStyle name="Обычный 8 6" xfId="0"/>
    <cellStyle name="Обычный 8 6 2" xfId="0"/>
    <cellStyle name="Обычный 8 7" xfId="0"/>
    <cellStyle name="Обычный 8_КРСВОД" xfId="0"/>
    <cellStyle name="Обычный 9" xfId="0"/>
    <cellStyle name="Обычный 9 2" xfId="0"/>
    <cellStyle name="Обычный 9 2 2" xfId="0"/>
    <cellStyle name="Обычный 9 3" xfId="0"/>
    <cellStyle name="Плохой 2" xfId="0"/>
    <cellStyle name="Плохой 3" xfId="0"/>
    <cellStyle name="Пояснение 2" xfId="0"/>
    <cellStyle name="Пояснение 3" xfId="0"/>
    <cellStyle name="Примечание 2" xfId="0"/>
    <cellStyle name="Примечание 2 2" xfId="0"/>
    <cellStyle name="Примечание 2 3" xfId="0"/>
    <cellStyle name="Примечание 3" xfId="0"/>
    <cellStyle name="Примечание 3 2" xfId="0"/>
    <cellStyle name="Примечание 3 3" xfId="0"/>
    <cellStyle name="Примечание 4" xfId="0"/>
    <cellStyle name="Примечание 4 2" xfId="0"/>
    <cellStyle name="Примечание 4 3" xfId="0"/>
    <cellStyle name="Примечание 5" xfId="0"/>
    <cellStyle name="Примечание 5 2" xfId="0"/>
    <cellStyle name="Примечание 5 3" xfId="0"/>
    <cellStyle name="Процентный 10" xfId="0"/>
    <cellStyle name="Процентный 2" xfId="0"/>
    <cellStyle name="Процентный 2 2" xfId="0"/>
    <cellStyle name="Процентный 2 3" xfId="0"/>
    <cellStyle name="Процентный 2 4" xfId="0"/>
    <cellStyle name="Процентный 2 5" xfId="0"/>
    <cellStyle name="Процентный 2 6" xfId="0"/>
    <cellStyle name="Процентный 3" xfId="0"/>
    <cellStyle name="Процентный 3 2" xfId="0"/>
    <cellStyle name="Процентный 3 2 2" xfId="0"/>
    <cellStyle name="Процентный 3 2 3" xfId="0"/>
    <cellStyle name="Процентный 3 3" xfId="0"/>
    <cellStyle name="Процентный 3 3 2" xfId="0"/>
    <cellStyle name="Процентный 3 3 3" xfId="0"/>
    <cellStyle name="Процентный 3 4" xfId="0"/>
    <cellStyle name="Процентный 3 4 2" xfId="0"/>
    <cellStyle name="Процентный 3 4 3" xfId="0"/>
    <cellStyle name="Процентный 3 5" xfId="0"/>
    <cellStyle name="Процентный 4" xfId="0"/>
    <cellStyle name="Процентный 4 2" xfId="0"/>
    <cellStyle name="Процентный 4 3" xfId="0"/>
    <cellStyle name="Процентный 5" xfId="0"/>
    <cellStyle name="Процентный 6" xfId="0"/>
    <cellStyle name="Процентный 7" xfId="0"/>
    <cellStyle name="Процентный 8" xfId="0"/>
    <cellStyle name="Процентный 9" xfId="0"/>
    <cellStyle name="Процентный 9 2" xfId="0"/>
    <cellStyle name="Связанная ячейка 2" xfId="0"/>
    <cellStyle name="Связанная ячейка 3" xfId="0"/>
    <cellStyle name="Стиль 1" xfId="0"/>
    <cellStyle name="Стиль 1 2" xfId="0"/>
    <cellStyle name="Стиль 1_РК озик-овкат 2009-2012 жыйналганы " xfId="0"/>
    <cellStyle name="Текст предупреждения 2" xfId="0"/>
    <cellStyle name="Текст предупреждения 3" xfId="0"/>
    <cellStyle name="Тысячи [0]_  осн" xfId="0"/>
    <cellStyle name="Тысячи_  осн" xfId="0"/>
    <cellStyle name="Финансовый 10" xfId="0"/>
    <cellStyle name="Финансовый 11" xfId="0"/>
    <cellStyle name="Финансовый 11 2" xfId="0"/>
    <cellStyle name="Финансовый 11 3" xfId="0"/>
    <cellStyle name="Финансовый 12" xfId="0"/>
    <cellStyle name="Финансовый 12 2" xfId="0"/>
    <cellStyle name="Финансовый 12 3" xfId="0"/>
    <cellStyle name="Финансовый 13" xfId="0"/>
    <cellStyle name="Финансовый 14" xfId="0"/>
    <cellStyle name="Финансовый 14 2" xfId="0"/>
    <cellStyle name="Финансовый 15" xfId="0"/>
    <cellStyle name="Финансовый 16" xfId="0"/>
    <cellStyle name="Финансовый 16 2" xfId="0"/>
    <cellStyle name="Финансовый 16 3" xfId="0"/>
    <cellStyle name="Финансовый 17" xfId="0"/>
    <cellStyle name="Финансовый 17 2" xfId="0"/>
    <cellStyle name="Финансовый 18" xfId="0"/>
    <cellStyle name="Финансовый 18 2" xfId="0"/>
    <cellStyle name="Финансовый 19" xfId="0"/>
    <cellStyle name="Финансовый 19 2" xfId="0"/>
    <cellStyle name="Финансовый 2" xfId="0"/>
    <cellStyle name="Финансовый 2 10" xfId="0"/>
    <cellStyle name="Финансовый 2 11" xfId="0"/>
    <cellStyle name="Финансовый 2 12" xfId="0"/>
    <cellStyle name="Финансовый 2 2" xfId="0"/>
    <cellStyle name="Финансовый 2 2 10" xfId="0"/>
    <cellStyle name="Финансовый 2 2 10 2" xfId="0"/>
    <cellStyle name="Финансовый 2 2 10 3" xfId="0"/>
    <cellStyle name="Финансовый 2 2 11" xfId="0"/>
    <cellStyle name="Финансовый 2 2 11 2" xfId="0"/>
    <cellStyle name="Финансовый 2 2 11 3" xfId="0"/>
    <cellStyle name="Финансовый 2 2 12" xfId="0"/>
    <cellStyle name="Финансовый 2 2 2" xfId="0"/>
    <cellStyle name="Финансовый 2 2 2 2" xfId="0"/>
    <cellStyle name="Финансовый 2 2 2 3" xfId="0"/>
    <cellStyle name="Финансовый 2 2 2 4" xfId="0"/>
    <cellStyle name="Финансовый 2 2 2 5" xfId="0"/>
    <cellStyle name="Финансовый 2 2 3" xfId="0"/>
    <cellStyle name="Финансовый 2 2 4" xfId="0"/>
    <cellStyle name="Финансовый 2 2 5" xfId="0"/>
    <cellStyle name="Финансовый 2 2 6" xfId="0"/>
    <cellStyle name="Финансовый 2 2 7" xfId="0"/>
    <cellStyle name="Финансовый 2 2 8" xfId="0"/>
    <cellStyle name="Финансовый 2 2 9" xfId="0"/>
    <cellStyle name="Финансовый 2 3" xfId="0"/>
    <cellStyle name="Финансовый 2 4" xfId="0"/>
    <cellStyle name="Финансовый 2 5" xfId="0"/>
    <cellStyle name="Финансовый 2 6" xfId="0"/>
    <cellStyle name="Финансовый 2 7" xfId="0"/>
    <cellStyle name="Финансовый 2 8" xfId="0"/>
    <cellStyle name="Финансовый 2 9" xfId="0"/>
    <cellStyle name="Финансовый 20" xfId="0"/>
    <cellStyle name="Финансовый 20 2" xfId="0"/>
    <cellStyle name="Финансовый 21" xfId="0"/>
    <cellStyle name="Финансовый 21 2" xfId="0"/>
    <cellStyle name="Финансовый 22" xfId="0"/>
    <cellStyle name="Финансовый 22 2" xfId="0"/>
    <cellStyle name="Финансовый 23" xfId="0"/>
    <cellStyle name="Финансовый 23 2" xfId="0"/>
    <cellStyle name="Финансовый 24" xfId="0"/>
    <cellStyle name="Финансовый 24 2" xfId="0"/>
    <cellStyle name="Финансовый 25" xfId="0"/>
    <cellStyle name="Финансовый 26" xfId="0"/>
    <cellStyle name="Финансовый 27" xfId="0"/>
    <cellStyle name="Финансовый 2_банк вилоят ув капитал" xfId="0"/>
    <cellStyle name="Финансовый 3" xfId="0"/>
    <cellStyle name="Финансовый 3 2" xfId="0"/>
    <cellStyle name="Финансовый 3 2 2" xfId="0"/>
    <cellStyle name="Финансовый 3 2 3" xfId="0"/>
    <cellStyle name="Финансовый 3 3" xfId="0"/>
    <cellStyle name="Финансовый 3 3 2" xfId="0"/>
    <cellStyle name="Финансовый 3 3 3" xfId="0"/>
    <cellStyle name="Финансовый 3 4" xfId="0"/>
    <cellStyle name="Финансовый 3 4 2" xfId="0"/>
    <cellStyle name="Финансовый 3 4 3" xfId="0"/>
    <cellStyle name="Финансовый 3 5" xfId="0"/>
    <cellStyle name="Финансовый 3 5 2" xfId="0"/>
    <cellStyle name="Финансовый 3 5 3" xfId="0"/>
    <cellStyle name="Финансовый 3 6" xfId="0"/>
    <cellStyle name="Финансовый 3 7" xfId="0"/>
    <cellStyle name="Финансовый 3 8" xfId="0"/>
    <cellStyle name="Финансовый 4" xfId="0"/>
    <cellStyle name="Финансовый 4 2" xfId="0"/>
    <cellStyle name="Финансовый 5" xfId="0"/>
    <cellStyle name="Финансовый 5 2" xfId="0"/>
    <cellStyle name="Финансовый 5 2 2" xfId="0"/>
    <cellStyle name="Финансовый 5 2 3" xfId="0"/>
    <cellStyle name="Финансовый 5 3" xfId="0"/>
    <cellStyle name="Финансовый 5 3 2" xfId="0"/>
    <cellStyle name="Финансовый 5 3 3" xfId="0"/>
    <cellStyle name="Финансовый 5 4" xfId="0"/>
    <cellStyle name="Финансовый 5 4 2" xfId="0"/>
    <cellStyle name="Финансовый 5 4 3" xfId="0"/>
    <cellStyle name="Финансовый 5 5" xfId="0"/>
    <cellStyle name="Финансовый 5 5 2" xfId="0"/>
    <cellStyle name="Финансовый 5 5 3" xfId="0"/>
    <cellStyle name="Финансовый 5 6" xfId="0"/>
    <cellStyle name="Финансовый 6" xfId="0"/>
    <cellStyle name="Финансовый 6 2" xfId="0"/>
    <cellStyle name="Финансовый 6 2 2" xfId="0"/>
    <cellStyle name="Финансовый 6 2 3" xfId="0"/>
    <cellStyle name="Финансовый 6 3" xfId="0"/>
    <cellStyle name="Финансовый 6 3 2" xfId="0"/>
    <cellStyle name="Финансовый 6 3 3" xfId="0"/>
    <cellStyle name="Финансовый 6 4" xfId="0"/>
    <cellStyle name="Финансовый 6 4 2" xfId="0"/>
    <cellStyle name="Финансовый 6 4 3" xfId="0"/>
    <cellStyle name="Финансовый 6 5" xfId="0"/>
    <cellStyle name="Финансовый 6 5 2" xfId="0"/>
    <cellStyle name="Финансовый 6 5 3" xfId="0"/>
    <cellStyle name="Финансовый 6 6" xfId="0"/>
    <cellStyle name="Финансовый 7" xfId="0"/>
    <cellStyle name="Финансовый 7 2" xfId="0"/>
    <cellStyle name="Финансовый 7 2 2" xfId="0"/>
    <cellStyle name="Финансовый 7 2 3" xfId="0"/>
    <cellStyle name="Финансовый 7 3" xfId="0"/>
    <cellStyle name="Финансовый 7 3 2" xfId="0"/>
    <cellStyle name="Финансовый 7 3 3" xfId="0"/>
    <cellStyle name="Финансовый 7 4" xfId="0"/>
    <cellStyle name="Финансовый 7 4 2" xfId="0"/>
    <cellStyle name="Финансовый 7 4 3" xfId="0"/>
    <cellStyle name="Финансовый 7 5" xfId="0"/>
    <cellStyle name="Финансовый 7 5 2" xfId="0"/>
    <cellStyle name="Финансовый 7 5 3" xfId="0"/>
    <cellStyle name="Финансовый 7 6" xfId="0"/>
    <cellStyle name="Финансовый 7 7" xfId="0"/>
    <cellStyle name="Финансовый 7 8" xfId="0"/>
    <cellStyle name="Финансовый 7 8 2" xfId="0"/>
    <cellStyle name="Финансовый 7 9" xfId="0"/>
    <cellStyle name="Финансовый 8" xfId="0"/>
    <cellStyle name="Финансовый 8 2" xfId="0"/>
    <cellStyle name="Финансовый 8 2 2" xfId="0"/>
    <cellStyle name="Финансовый 8 2 3" xfId="0"/>
    <cellStyle name="Финансовый 8 3" xfId="0"/>
    <cellStyle name="Финансовый 8 3 2" xfId="0"/>
    <cellStyle name="Финансовый 8 3 3" xfId="0"/>
    <cellStyle name="Финансовый 8 4" xfId="0"/>
    <cellStyle name="Финансовый 8 4 2" xfId="0"/>
    <cellStyle name="Финансовый 8 4 3" xfId="0"/>
    <cellStyle name="Финансовый 8 5" xfId="0"/>
    <cellStyle name="Финансовый 8 5 2" xfId="0"/>
    <cellStyle name="Финансовый 8 5 3" xfId="0"/>
    <cellStyle name="Финансовый 8 6" xfId="0"/>
    <cellStyle name="Финансовый 8 7" xfId="0"/>
    <cellStyle name="Финансовый 9" xfId="0"/>
    <cellStyle name="Финансовый 9 2" xfId="0"/>
    <cellStyle name="Финансовый 9 2 2" xfId="0"/>
    <cellStyle name="Финансовый 9 2 3" xfId="0"/>
    <cellStyle name="Финансовый 9 3" xfId="0"/>
    <cellStyle name="Финансовый 9 3 2" xfId="0"/>
    <cellStyle name="Финансовый 9 3 3" xfId="0"/>
    <cellStyle name="Финансовый 9 4" xfId="0"/>
    <cellStyle name="Финансовый 9 4 2" xfId="0"/>
    <cellStyle name="Финансовый 9 4 3" xfId="0"/>
    <cellStyle name="Финансовый 9 5" xfId="0"/>
    <cellStyle name="Финансовый 9 5 2" xfId="0"/>
    <cellStyle name="Финансовый 9 5 3" xfId="0"/>
    <cellStyle name="Финансовый 9 6" xfId="0"/>
    <cellStyle name="Финансовый 9 7" xfId="0"/>
    <cellStyle name="Финансовый [0] 2" xfId="0"/>
    <cellStyle name="Хороший 2" xfId="0"/>
    <cellStyle name="Хороший 3" xfId="0"/>
    <cellStyle name="ельводхоз" xfId="0"/>
    <cellStyle name="”?љ‘?ђћ‚ђќќ›‰" xfId="0"/>
    <cellStyle name="”?љ‘?ђћ‚ђќќ›‰ 2" xfId="0"/>
    <cellStyle name="”?ќђќ‘ћ‚›‰" xfId="0"/>
    <cellStyle name="”?ќђќ‘ћ‚›‰ 2" xfId="0"/>
    <cellStyle name="”љ‘ђћ‚ђќќ›‰" xfId="0"/>
    <cellStyle name="”љ‘ђћ‚ђќќ›‰ 2" xfId="0"/>
    <cellStyle name="”ќђќ‘ћ‚›‰" xfId="0"/>
    <cellStyle name="”ќђќ‘ћ‚›‰ 2" xfId="0"/>
    <cellStyle name="”€љ‘€ђћ‚ђќќ›‰" xfId="0"/>
    <cellStyle name="”€љ‘€ђћ‚ђќќ›‰ 2" xfId="0"/>
    <cellStyle name="”€ќђќ‘ћ‚›‰" xfId="0"/>
    <cellStyle name="”€ќђќ‘ћ‚›‰ 2" xfId="0"/>
    <cellStyle name="„ђ’ђ" xfId="0"/>
    <cellStyle name="„ђ’ђ 2" xfId="0"/>
    <cellStyle name="„…ќ…†ќ›‰" xfId="0"/>
    <cellStyle name="„…ќ…†ќ›‰ 2" xfId="0"/>
    <cellStyle name="‡ђѓћ‹ћ‚ћљ1" xfId="0"/>
    <cellStyle name="‡ђѓћ‹ћ‚ћљ1 2" xfId="0"/>
    <cellStyle name="‡ђѓћ‹ћ‚ћљ2" xfId="0"/>
    <cellStyle name="‡ђѓћ‹ћ‚ћљ2 2" xfId="0"/>
    <cellStyle name="€’ћѓћ‚›‰" xfId="0"/>
    <cellStyle name="€’ћѓћ‚›‰ 2" xfId="0"/>
  </cellStyles>
  <colors>
    <indexedColors>
      <rgbColor rgb="FF000000"/>
      <rgbColor rgb="FFFFFFFF"/>
      <rgbColor rgb="FFFF0000"/>
      <rgbColor rgb="FF00FF00"/>
      <rgbColor rgb="FF0000FF"/>
      <rgbColor rgb="FFFF9F9F"/>
      <rgbColor rgb="FFFF00FF"/>
      <rgbColor rgb="FF00FFFF"/>
      <rgbColor rgb="FF800000"/>
      <rgbColor rgb="FF008000"/>
      <rgbColor rgb="FF000080"/>
      <rgbColor rgb="FFB2B2B2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FCFC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B0B0B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Z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7" activeCellId="0" sqref="C17"/>
    </sheetView>
  </sheetViews>
  <sheetFormatPr defaultColWidth="8.83203125" defaultRowHeight="12.75" zeroHeight="false" outlineLevelRow="0" outlineLevelCol="0"/>
  <cols>
    <col collapsed="false" customWidth="true" hidden="false" outlineLevel="0" max="2" min="2" style="0" width="29.66"/>
    <col collapsed="false" customWidth="true" hidden="false" outlineLevel="0" max="3" min="3" style="0" width="24.16"/>
  </cols>
  <sheetData>
    <row r="1" customFormat="false" ht="12.75" hidden="false" customHeight="false" outlineLevel="0" collapsed="false">
      <c r="B1" s="0" t="s">
        <v>0</v>
      </c>
      <c r="Z1" s="0" t="n">
        <f aca="false">AVERAGE(INDEX('Gold price'!$B:$B,MATCH("2025M1",'Gold price'!$A:$A,0)):INDEX('Gold price'!$B:$B,MATCH("2025M9",'Gold price'!$A:$A,0)))</f>
        <v>3202.82360823556</v>
      </c>
    </row>
    <row r="3" customFormat="false" ht="12.75" hidden="false" customHeight="false" outlineLevel="0" collapsed="false">
      <c r="B3" s="0" t="s">
        <v>1</v>
      </c>
      <c r="C3" s="0" t="n">
        <v>1.644853627</v>
      </c>
    </row>
    <row r="4" customFormat="false" ht="12.75" hidden="false" customHeight="false" outlineLevel="0" collapsed="false">
      <c r="B4" s="0" t="s">
        <v>2</v>
      </c>
      <c r="C4" s="0" t="n">
        <f aca="false">'Gold price'!D430</f>
        <v>4.81332296229341</v>
      </c>
    </row>
    <row r="5" customFormat="false" ht="12.75" hidden="false" customHeight="false" outlineLevel="0" collapsed="false">
      <c r="B5" s="0" t="s">
        <v>3</v>
      </c>
      <c r="C5" s="0" t="n">
        <f aca="false">C4*SQRT(12)</f>
        <v>16.6738398478602</v>
      </c>
    </row>
    <row r="6" customFormat="false" ht="12.75" hidden="false" customHeight="false" outlineLevel="0" collapsed="false">
      <c r="B6" s="0" t="s">
        <v>4</v>
      </c>
      <c r="C6" s="0" t="n">
        <f aca="false">'Gold price'!E430</f>
        <v>3.25907254969863</v>
      </c>
    </row>
    <row r="9" customFormat="false" ht="12.75" hidden="false" customHeight="false" outlineLevel="0" collapsed="false">
      <c r="B9" s="0" t="s">
        <v>5</v>
      </c>
    </row>
    <row r="11" customFormat="false" ht="12.75" hidden="false" customHeight="false" outlineLevel="0" collapsed="false">
      <c r="B11" s="0" t="s">
        <v>6</v>
      </c>
      <c r="C11" s="0" t="s">
        <v>7</v>
      </c>
      <c r="D11" s="0" t="s">
        <v>8</v>
      </c>
      <c r="E11" s="0" t="s">
        <v>9</v>
      </c>
      <c r="F11" s="0" t="s">
        <v>10</v>
      </c>
      <c r="G11" s="0" t="s">
        <v>11</v>
      </c>
      <c r="H11" s="0" t="s">
        <v>12</v>
      </c>
      <c r="I11" s="0" t="s">
        <v>13</v>
      </c>
      <c r="J11" s="0" t="s">
        <v>14</v>
      </c>
      <c r="K11" s="0" t="s">
        <v>15</v>
      </c>
    </row>
    <row r="12" customFormat="false" ht="23.85" hidden="false" customHeight="false" outlineLevel="0" collapsed="false">
      <c r="B12" s="1" t="s">
        <v>16</v>
      </c>
      <c r="C12" s="2" t="n">
        <f aca="false">Value!D18</f>
        <v>7471</v>
      </c>
      <c r="D12" s="3" t="n">
        <f aca="false">Value!F18</f>
        <v>1002</v>
      </c>
      <c r="E12" s="4" t="n">
        <f aca="false">Value!J18</f>
        <v>10.71</v>
      </c>
      <c r="F12" s="4" t="n">
        <f aca="false">Value!L18</f>
        <v>3877.64</v>
      </c>
      <c r="G12" s="4" t="n">
        <f aca="false">Value!M18</f>
        <v>55092.42</v>
      </c>
      <c r="H12" s="4" t="n">
        <f aca="false">Value!N18</f>
        <v>10121.89</v>
      </c>
      <c r="I12" s="4" t="n">
        <f aca="false">Value!O18</f>
        <v>921.28</v>
      </c>
      <c r="J12" s="2" t="n">
        <f aca="false">Value!Q18</f>
        <v>807.1</v>
      </c>
      <c r="K12" s="4" t="n">
        <f aca="false">IFERROR(Volume!H18*$Z$1*1,"")</f>
        <v>3263.67725679204</v>
      </c>
    </row>
    <row r="13" customFormat="false" ht="12.75" hidden="false" customHeight="false" outlineLevel="0" collapsed="false">
      <c r="B13" s="0" t="s">
        <v>17</v>
      </c>
      <c r="C13" s="0" t="n">
        <f aca="false">IF(C12="","",C12*$C$3*$C$5/100)</f>
        <v>2048.99839870732</v>
      </c>
      <c r="D13" s="0" t="n">
        <f aca="false">IF(D12="","",D12*$C$3*$C$5/100)</f>
        <v>274.808780016696</v>
      </c>
      <c r="E13" s="0" t="n">
        <f aca="false">IF(E12="","",E12*$C$3*$C$5/100)</f>
        <v>2.93732737922037</v>
      </c>
      <c r="F13" s="0" t="n">
        <f aca="false">IF(F12="","",F12*$C$3*$C$5/100)</f>
        <v>1063.48255263866</v>
      </c>
      <c r="G13" s="0" t="n">
        <f aca="false">IF(G12="","",G12*$C$3*$C$5/100)</f>
        <v>15109.6614055563</v>
      </c>
      <c r="H13" s="0" t="n">
        <f aca="false">IF(H12="","",H12*$C$3*$C$5/100)</f>
        <v>2776.03217800718</v>
      </c>
      <c r="I13" s="0" t="n">
        <f aca="false">IF(I12="","",I12*$C$3*$C$5/100)</f>
        <v>252.670491870041</v>
      </c>
      <c r="J13" s="0" t="n">
        <f aca="false">IF(J12="","",J12*$C$3*$C$5/100)</f>
        <v>221.355455440594</v>
      </c>
      <c r="K13" s="0" t="n">
        <f aca="false">IF(K12="","",K12*$C$3*$C$5/100)</f>
        <v>895.096971364526</v>
      </c>
    </row>
    <row r="16" customFormat="false" ht="12.75" hidden="false" customHeight="false" outlineLevel="0" collapsed="false">
      <c r="B16" s="0" t="s">
        <v>18</v>
      </c>
    </row>
    <row r="20" customFormat="false" ht="12.75" hidden="false" customHeight="false" outlineLevel="0" collapsed="false">
      <c r="B20" s="0" t="s">
        <v>6</v>
      </c>
      <c r="C20" s="0" t="s">
        <v>7</v>
      </c>
      <c r="D20" s="0" t="s">
        <v>8</v>
      </c>
      <c r="E20" s="0" t="s">
        <v>9</v>
      </c>
      <c r="F20" s="0" t="s">
        <v>11</v>
      </c>
      <c r="G20" s="0" t="s">
        <v>12</v>
      </c>
      <c r="H20" s="0" t="s">
        <v>13</v>
      </c>
      <c r="I20" s="0" t="s">
        <v>14</v>
      </c>
    </row>
    <row r="21" customFormat="false" ht="23.85" hidden="false" customHeight="false" outlineLevel="0" collapsed="false">
      <c r="B21" s="1" t="s">
        <v>16</v>
      </c>
      <c r="C21" s="2" t="n">
        <f aca="false">IFERROR(INDEX($C$12:$AG$12,MATCH(C20,$C$11:$AG$11,0)),"" )</f>
        <v>7471</v>
      </c>
      <c r="D21" s="3" t="n">
        <f aca="false">IFERROR(INDEX($C$12:$AG$12,MATCH(D20,$C$11:$AG$11,0)),"" )</f>
        <v>1002</v>
      </c>
      <c r="E21" s="4" t="n">
        <f aca="false">IFERROR(INDEX($C$12:$AG$12,MATCH(E20,$C$11:$AG$11,0)),"" )</f>
        <v>10.71</v>
      </c>
      <c r="F21" s="4" t="n">
        <f aca="false">IFERROR(INDEX($C$12:$AG$12,MATCH(F20,$C$11:$AG$11,0)),"" )</f>
        <v>55092.42</v>
      </c>
      <c r="G21" s="4" t="n">
        <f aca="false">IFERROR(INDEX($C$12:$AG$12,MATCH(G20,$C$11:$AG$11,0)),"" )</f>
        <v>10121.89</v>
      </c>
      <c r="H21" s="2" t="n">
        <f aca="false">IFERROR(INDEX($C$12:$AG$12,MATCH(H20,$C$11:$AG$11,0)),"" )</f>
        <v>921.28</v>
      </c>
      <c r="I21" s="2" t="n">
        <f aca="false">IFERROR(INDEX($C$12:$AG$12,MATCH(I20,$C$11:$AG$11,0)),"" )</f>
        <v>807.1</v>
      </c>
    </row>
    <row r="22" customFormat="false" ht="12.75" hidden="false" customHeight="false" outlineLevel="0" collapsed="false">
      <c r="B22" s="0" t="s">
        <v>17</v>
      </c>
      <c r="C22" s="0" t="n">
        <f aca="false">IFERROR(INDEX($C$13:$AG$13,MATCH(C20,$C$11:$AG$11,0)),"" )</f>
        <v>2048.99839870732</v>
      </c>
      <c r="D22" s="0" t="n">
        <f aca="false">IFERROR(INDEX($C$13:$AG$13,MATCH(D20,$C$11:$AG$11,0)),"" )</f>
        <v>274.808780016696</v>
      </c>
      <c r="E22" s="0" t="n">
        <f aca="false">IFERROR(INDEX($C$13:$AG$13,MATCH(E20,$C$11:$AG$11,0)),"" )</f>
        <v>2.93732737922037</v>
      </c>
      <c r="F22" s="0" t="n">
        <f aca="false">IFERROR(INDEX($C$13:$AG$13,MATCH(F20,$C$11:$AG$11,0)),"" )</f>
        <v>15109.6614055563</v>
      </c>
      <c r="G22" s="0" t="n">
        <f aca="false">IFERROR(INDEX($C$13:$AG$13,MATCH(G20,$C$11:$AG$11,0)),"" )</f>
        <v>2776.03217800718</v>
      </c>
      <c r="H22" s="0" t="n">
        <f aca="false">IFERROR(INDEX($C$13:$AG$13,MATCH(H20,$C$11:$AG$11,0)),"" )</f>
        <v>252.670491870041</v>
      </c>
      <c r="I22" s="0" t="n">
        <f aca="false">IFERROR(INDEX($C$13:$AG$13,MATCH(I20,$C$11:$AG$11,0)),"" )</f>
        <v>221.355455440594</v>
      </c>
    </row>
    <row r="23" customFormat="false" ht="12.75" hidden="false" customHeight="false" outlineLevel="0" collapsed="false">
      <c r="B23" s="0" t="s">
        <v>19</v>
      </c>
      <c r="C23" s="2" t="n">
        <f aca="false">IFERROR(INDEX('Total Reserves'!$C$18:$P$18,MATCH("*"&amp;C20&amp;"*",'Total Reserves'!$C$1:$P$1,0)),"")</f>
        <v>14425.9</v>
      </c>
      <c r="D23" s="4" t="n">
        <f aca="false">IFERROR(INDEX('Total Reserves'!$C$18:$P$18,MATCH("*"&amp;D20&amp;"*",'Total Reserves'!$C$1:$P$1,0)),"")</f>
        <v>6158.7</v>
      </c>
      <c r="E23" s="4" t="n">
        <f aca="false">IFERROR(INDEX('Total Reserves'!$C$18:$P$18,MATCH("*"&amp;E20&amp;"*",'Total Reserves'!$C$1:$P$1,0)),"")</f>
        <v>5999.34</v>
      </c>
      <c r="F23" s="4" t="n">
        <f aca="false">IFERROR(INDEX('Total Reserves'!$C$18:$P$18,MATCH("*"&amp;F20&amp;"*",'Total Reserves'!$C$1:$P$1,0)),"")</f>
        <v>66311.75</v>
      </c>
      <c r="G23" s="4" t="n">
        <f aca="false">IFERROR(INDEX('Total Reserves'!$C$18:$P$18,MATCH("*"&amp;G20&amp;"*",'Total Reserves'!$C$1:$P$1,0)),"")</f>
        <v>175830.49</v>
      </c>
      <c r="H23" s="4" t="n">
        <f aca="false">IFERROR(INDEX('Total Reserves'!$C$18:$P$18,MATCH("*"&amp;H20&amp;"*",'Total Reserves'!$C$1:$P$1,0)),"")</f>
        <v>6076.9</v>
      </c>
      <c r="I23" s="2" t="n">
        <f aca="false">IFERROR(INDEX('Total Reserves'!$C$18:$P$18,MATCH("*"&amp;I20&amp;"*",'Total Reserves'!$C$1:$P$1,0)),"")</f>
        <v>7082.7</v>
      </c>
    </row>
    <row r="24" customFormat="false" ht="12.75" hidden="false" customHeight="false" outlineLevel="0" collapsed="false">
      <c r="B24" s="0" t="s">
        <v>20</v>
      </c>
      <c r="C24" s="0" t="n">
        <f aca="false">IF(OR(C22="",C23=""),"",C22/C23*100)</f>
        <v>14.2036087780126</v>
      </c>
      <c r="D24" s="0" t="n">
        <f aca="false">IF(OR(D22="",D23=""),"",D22/D23*100)</f>
        <v>4.46212317561654</v>
      </c>
      <c r="E24" s="0" t="n">
        <f aca="false">IF(OR(E22="",E23=""),"",E22/E23*100)</f>
        <v>0.0489608420129609</v>
      </c>
      <c r="F24" s="0" t="n">
        <f aca="false">IF(OR(F22="",F23=""),"",F22/F23*100)</f>
        <v>22.7857980004393</v>
      </c>
      <c r="G24" s="0" t="n">
        <f aca="false">IF(OR(G22="",G23=""),"",G22/G23*100)</f>
        <v>1.57881160315664</v>
      </c>
      <c r="H24" s="0" t="n">
        <f aca="false">IF(OR(H22="",H23=""),"",H22/H23*100)</f>
        <v>4.15788464299299</v>
      </c>
      <c r="I24" s="0" t="n">
        <f aca="false">IF(OR(I22="",I23=""),"",I22/I23*100)</f>
        <v>3.12529763283203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30"/>
  <sheetViews>
    <sheetView showFormulas="false" showGridLines="true" showRowColHeaders="true" showZeros="true" rightToLeft="false" tabSelected="false" showOutlineSymbols="true" defaultGridColor="true" view="normal" topLeftCell="A64" colorId="64" zoomScale="100" zoomScaleNormal="100" zoomScalePageLayoutView="100" workbookViewId="0">
      <selection pane="topLeft" activeCell="H23" activeCellId="0" sqref="H23"/>
    </sheetView>
  </sheetViews>
  <sheetFormatPr defaultColWidth="9.1640625" defaultRowHeight="15" zeroHeight="false" outlineLevelRow="0" outlineLevelCol="0"/>
  <cols>
    <col collapsed="false" customWidth="false" hidden="false" outlineLevel="0" max="16384" min="1" style="5" width="9.16"/>
  </cols>
  <sheetData>
    <row r="1" customFormat="false" ht="15" hidden="false" customHeight="false" outlineLevel="0" collapsed="false">
      <c r="B1" s="5" t="s">
        <v>21</v>
      </c>
      <c r="C1" s="5" t="s">
        <v>22</v>
      </c>
      <c r="D1" s="5" t="s">
        <v>2</v>
      </c>
      <c r="E1" s="5" t="s">
        <v>4</v>
      </c>
    </row>
    <row r="2" customFormat="false" ht="15" hidden="false" customHeight="false" outlineLevel="0" collapsed="false">
      <c r="A2" s="5" t="s">
        <v>23</v>
      </c>
      <c r="B2" s="5" t="n">
        <v>409.819061279297</v>
      </c>
    </row>
    <row r="3" customFormat="false" ht="15" hidden="false" customHeight="false" outlineLevel="0" collapsed="false">
      <c r="A3" s="5" t="s">
        <v>24</v>
      </c>
      <c r="B3" s="5" t="n">
        <v>417.181060791016</v>
      </c>
      <c r="C3" s="5" t="n">
        <f aca="false">IF(OR(B3="",B2=""),"",LN(B3/B2)*100)</f>
        <v>1.78045777637422</v>
      </c>
    </row>
    <row r="4" customFormat="false" ht="15" hidden="false" customHeight="false" outlineLevel="0" collapsed="false">
      <c r="A4" s="5" t="s">
        <v>25</v>
      </c>
      <c r="B4" s="5" t="n">
        <v>392.703338623047</v>
      </c>
      <c r="C4" s="5" t="n">
        <f aca="false">IF(OR(B4="",B3=""),"",LN(B4/B3)*100)</f>
        <v>-6.04658628397791</v>
      </c>
    </row>
    <row r="5" customFormat="false" ht="15" hidden="false" customHeight="false" outlineLevel="0" collapsed="false">
      <c r="A5" s="5" t="s">
        <v>26</v>
      </c>
      <c r="B5" s="5" t="n">
        <v>374.292114257813</v>
      </c>
      <c r="C5" s="5" t="n">
        <f aca="false">IF(OR(B5="",B4=""),"",LN(B5/B4)*100)</f>
        <v>-4.80179165459846</v>
      </c>
      <c r="D5" s="5" t="n">
        <f aca="false">IF(COUNT($C3:$C5)&lt;3,"",STDEV($C3:$C5))</f>
        <v>4.20591131550911</v>
      </c>
    </row>
    <row r="6" customFormat="false" ht="15" hidden="false" customHeight="false" outlineLevel="0" collapsed="false">
      <c r="A6" s="5" t="s">
        <v>27</v>
      </c>
      <c r="B6" s="5" t="n">
        <v>369.197631835938</v>
      </c>
      <c r="C6" s="5" t="n">
        <f aca="false">IF(OR(B6="",B5=""),"",LN(B6/B5)*100)</f>
        <v>-1.37044584198046</v>
      </c>
      <c r="D6" s="5" t="n">
        <f aca="false">IF(COUNT($C4:$C6)&lt;3,"",STDEV($C4:$C6))</f>
        <v>2.42177404631354</v>
      </c>
    </row>
    <row r="7" customFormat="false" ht="15" hidden="false" customHeight="false" outlineLevel="0" collapsed="false">
      <c r="A7" s="5" t="s">
        <v>28</v>
      </c>
      <c r="B7" s="5" t="n">
        <v>352.527618408203</v>
      </c>
      <c r="C7" s="5" t="n">
        <f aca="false">IF(OR(B7="",B6=""),"",LN(B7/B6)*100)</f>
        <v>-4.62031190186234</v>
      </c>
      <c r="D7" s="5" t="n">
        <f aca="false">IF(COUNT($C5:$C7)&lt;3,"",STDEV($C5:$C7))</f>
        <v>1.93083308417189</v>
      </c>
    </row>
    <row r="8" customFormat="false" ht="15" hidden="false" customHeight="false" outlineLevel="0" collapsed="false">
      <c r="A8" s="5" t="s">
        <v>29</v>
      </c>
      <c r="B8" s="5" t="n">
        <v>362.498565673828</v>
      </c>
      <c r="C8" s="5" t="n">
        <f aca="false">IF(OR(B8="",B7=""),"",LN(B8/B7)*100)</f>
        <v>2.78915482477398</v>
      </c>
      <c r="D8" s="5" t="n">
        <f aca="false">IF(COUNT($C6:$C8)&lt;3,"",STDEV($C6:$C8))</f>
        <v>3.71402980348765</v>
      </c>
    </row>
    <row r="9" customFormat="false" ht="15" hidden="false" customHeight="false" outlineLevel="0" collapsed="false">
      <c r="A9" s="5" t="s">
        <v>30</v>
      </c>
      <c r="B9" s="5" t="n">
        <v>394.631805419922</v>
      </c>
      <c r="C9" s="5" t="n">
        <f aca="false">IF(OR(B9="",B8=""),"",LN(B9/B8)*100)</f>
        <v>8.49326744877091</v>
      </c>
      <c r="D9" s="5" t="n">
        <f aca="false">IF(COUNT($C7:$C9)&lt;3,"",STDEV($C7:$C9))</f>
        <v>6.57524475318507</v>
      </c>
    </row>
    <row r="10" customFormat="false" ht="15" hidden="false" customHeight="false" outlineLevel="0" collapsed="false">
      <c r="A10" s="5" t="s">
        <v>31</v>
      </c>
      <c r="B10" s="5" t="n">
        <v>389.755004882813</v>
      </c>
      <c r="C10" s="5" t="n">
        <f aca="false">IF(OR(B10="",B9=""),"",LN(B10/B9)*100)</f>
        <v>-1.24348428928857</v>
      </c>
      <c r="D10" s="5" t="n">
        <f aca="false">IF(COUNT($C8:$C10)&lt;3,"",STDEV($C8:$C10))</f>
        <v>4.8922287603251</v>
      </c>
    </row>
    <row r="11" customFormat="false" ht="15" hidden="false" customHeight="false" outlineLevel="0" collapsed="false">
      <c r="A11" s="5" t="s">
        <v>32</v>
      </c>
      <c r="B11" s="5" t="n">
        <v>380.995208740234</v>
      </c>
      <c r="C11" s="5" t="n">
        <f aca="false">IF(OR(B11="",B10=""),"",LN(B11/B10)*100)</f>
        <v>-2.27315495571925</v>
      </c>
      <c r="D11" s="5" t="n">
        <f aca="false">IF(COUNT($C9:$C11)&lt;3,"",STDEV($C9:$C11))</f>
        <v>5.94110550152943</v>
      </c>
    </row>
    <row r="12" customFormat="false" ht="15" hidden="false" customHeight="false" outlineLevel="0" collapsed="false">
      <c r="A12" s="5" t="s">
        <v>33</v>
      </c>
      <c r="B12" s="5" t="n">
        <v>381.794097900391</v>
      </c>
      <c r="C12" s="5" t="n">
        <f aca="false">IF(OR(B12="",B11=""),"",LN(B12/B11)*100)</f>
        <v>0.209465299343003</v>
      </c>
      <c r="D12" s="5" t="n">
        <f aca="false">IF(COUNT($C10:$C12)&lt;3,"",STDEV($C10:$C12))</f>
        <v>1.2473096059959</v>
      </c>
    </row>
    <row r="13" customFormat="false" ht="15" hidden="false" customHeight="false" outlineLevel="0" collapsed="false">
      <c r="A13" s="5" t="s">
        <v>34</v>
      </c>
      <c r="B13" s="5" t="n">
        <v>376.682342529297</v>
      </c>
      <c r="C13" s="5" t="n">
        <f aca="false">IF(OR(B13="",B12=""),"",LN(B13/B12)*100)</f>
        <v>-1.34792130493926</v>
      </c>
      <c r="D13" s="5" t="n">
        <f aca="false">IF(COUNT($C11:$C13)&lt;3,"",STDEV($C11:$C13))</f>
        <v>1.25465225425075</v>
      </c>
    </row>
    <row r="14" customFormat="false" ht="15" hidden="false" customHeight="false" outlineLevel="0" collapsed="false">
      <c r="A14" s="5" t="s">
        <v>35</v>
      </c>
      <c r="B14" s="5" t="n">
        <v>383.702270507813</v>
      </c>
      <c r="C14" s="5" t="n">
        <f aca="false">IF(OR(B14="",B13=""),"",LN(B14/B13)*100)</f>
        <v>1.84646751324177</v>
      </c>
      <c r="D14" s="5" t="n">
        <f aca="false">IF(COUNT($C12:$C14)&lt;3,"",STDEV($C12:$C14))</f>
        <v>1.59735975937521</v>
      </c>
      <c r="E14" s="5" t="n">
        <f aca="false">IF(COUNT($C3:$C14)&lt;12,"",STDEV($C3:$C14))</f>
        <v>3.98062494934324</v>
      </c>
    </row>
    <row r="15" customFormat="false" ht="15" hidden="false" customHeight="false" outlineLevel="0" collapsed="false">
      <c r="A15" s="5" t="s">
        <v>36</v>
      </c>
      <c r="B15" s="5" t="n">
        <v>364.391662597656</v>
      </c>
      <c r="C15" s="5" t="n">
        <f aca="false">IF(OR(B15="",B14=""),"",LN(B15/B14)*100)</f>
        <v>-5.16376293239246</v>
      </c>
      <c r="D15" s="5" t="n">
        <f aca="false">IF(COUNT($C13:$C15)&lt;3,"",STDEV($C13:$C15))</f>
        <v>3.50970317235949</v>
      </c>
      <c r="E15" s="5" t="n">
        <f aca="false">IF(COUNT($C4:$C15)&lt;12,"",STDEV($C4:$C15))</f>
        <v>4.11376711426545</v>
      </c>
    </row>
    <row r="16" customFormat="false" ht="15" hidden="false" customHeight="false" outlineLevel="0" collapsed="false">
      <c r="A16" s="5" t="s">
        <v>37</v>
      </c>
      <c r="B16" s="5" t="n">
        <v>362.760803222656</v>
      </c>
      <c r="C16" s="5" t="n">
        <f aca="false">IF(OR(B16="",B15=""),"",LN(B16/B15)*100)</f>
        <v>-0.448561253977092</v>
      </c>
      <c r="D16" s="5" t="n">
        <f aca="false">IF(COUNT($C14:$C16)&lt;3,"",STDEV($C14:$C16))</f>
        <v>3.57406432537222</v>
      </c>
      <c r="E16" s="5" t="n">
        <f aca="false">IF(COUNT($C5:$C16)&lt;12,"",STDEV($C5:$C16))</f>
        <v>3.81152677920712</v>
      </c>
    </row>
    <row r="17" customFormat="false" ht="15" hidden="false" customHeight="false" outlineLevel="0" collapsed="false">
      <c r="A17" s="5" t="s">
        <v>38</v>
      </c>
      <c r="B17" s="5" t="n">
        <v>358.323333740234</v>
      </c>
      <c r="C17" s="5" t="n">
        <f aca="false">IF(OR(B17="",B16=""),"",LN(B17/B16)*100)</f>
        <v>-1.23079271123674</v>
      </c>
      <c r="D17" s="5" t="n">
        <f aca="false">IF(COUNT($C15:$C17)&lt;3,"",STDEV($C15:$C17))</f>
        <v>2.52696351646778</v>
      </c>
      <c r="E17" s="5" t="n">
        <f aca="false">IF(COUNT($C6:$C17)&lt;12,"",STDEV($C6:$C17))</f>
        <v>3.59191504895339</v>
      </c>
    </row>
    <row r="18" customFormat="false" ht="15" hidden="false" customHeight="false" outlineLevel="0" collapsed="false">
      <c r="A18" s="5" t="s">
        <v>39</v>
      </c>
      <c r="B18" s="5" t="n">
        <v>356.964294433594</v>
      </c>
      <c r="C18" s="5" t="n">
        <f aca="false">IF(OR(B18="",B17=""),"",LN(B18/B17)*100)</f>
        <v>-0.379998447749823</v>
      </c>
      <c r="D18" s="5" t="n">
        <f aca="false">IF(COUNT($C16:$C18)&lt;3,"",STDEV($C16:$C18))</f>
        <v>0.472658754618764</v>
      </c>
      <c r="E18" s="5" t="n">
        <f aca="false">IF(COUNT($C7:$C18)&lt;12,"",STDEV($C7:$C18))</f>
        <v>3.57802202106459</v>
      </c>
    </row>
    <row r="19" customFormat="false" ht="15" hidden="false" customHeight="false" outlineLevel="0" collapsed="false">
      <c r="A19" s="5" t="s">
        <v>40</v>
      </c>
      <c r="B19" s="5" t="n">
        <v>366.910003662109</v>
      </c>
      <c r="C19" s="5" t="n">
        <f aca="false">IF(OR(B19="",B18=""),"",LN(B19/B18)*100)</f>
        <v>2.7480835168127</v>
      </c>
      <c r="D19" s="5" t="n">
        <f aca="false">IF(COUNT($C17:$C19)&lt;3,"",STDEV($C17:$C19))</f>
        <v>2.0952407854445</v>
      </c>
      <c r="E19" s="5" t="n">
        <f aca="false">IF(COUNT($C8:$C19)&lt;12,"",STDEV($C8:$C19))</f>
        <v>3.39308162176582</v>
      </c>
    </row>
    <row r="20" customFormat="false" ht="15" hidden="false" customHeight="false" outlineLevel="0" collapsed="false">
      <c r="A20" s="5" t="s">
        <v>41</v>
      </c>
      <c r="B20" s="5" t="n">
        <v>367.792266845703</v>
      </c>
      <c r="C20" s="5" t="n">
        <f aca="false">IF(OR(B20="",B19=""),"",LN(B20/B19)*100)</f>
        <v>0.240169016237603</v>
      </c>
      <c r="D20" s="5" t="n">
        <f aca="false">IF(COUNT($C18:$C20)&lt;3,"",STDEV($C18:$C20))</f>
        <v>1.65625781017554</v>
      </c>
      <c r="E20" s="5" t="n">
        <f aca="false">IF(COUNT($C9:$C20)&lt;12,"",STDEV($C9:$C20))</f>
        <v>3.30397395033367</v>
      </c>
    </row>
    <row r="21" customFormat="false" ht="15" hidden="false" customHeight="false" outlineLevel="0" collapsed="false">
      <c r="A21" s="5" t="s">
        <v>42</v>
      </c>
      <c r="B21" s="5" t="n">
        <v>356.669525146484</v>
      </c>
      <c r="C21" s="5" t="n">
        <f aca="false">IF(OR(B21="",B20=""),"",LN(B21/B20)*100)</f>
        <v>-3.07086333309545</v>
      </c>
      <c r="D21" s="5" t="n">
        <f aca="false">IF(COUNT($C19:$C21)&lt;3,"",STDEV($C19:$C21))</f>
        <v>2.91869585039223</v>
      </c>
      <c r="E21" s="5" t="n">
        <f aca="false">IF(COUNT($C10:$C21)&lt;12,"",STDEV($C10:$C21))</f>
        <v>2.11108403245174</v>
      </c>
    </row>
    <row r="22" customFormat="false" ht="15" hidden="false" customHeight="false" outlineLevel="0" collapsed="false">
      <c r="A22" s="5" t="s">
        <v>43</v>
      </c>
      <c r="B22" s="5" t="n">
        <v>348.742858886719</v>
      </c>
      <c r="C22" s="5" t="n">
        <f aca="false">IF(OR(B22="",B21=""),"",LN(B22/B21)*100)</f>
        <v>-2.24747965696714</v>
      </c>
      <c r="D22" s="5" t="n">
        <f aca="false">IF(COUNT($C20:$C22)&lt;3,"",STDEV($C20:$C22))</f>
        <v>1.72381804036572</v>
      </c>
      <c r="E22" s="5" t="n">
        <f aca="false">IF(COUNT($C11:$C22)&lt;12,"",STDEV($C11:$C22))</f>
        <v>2.14797756981025</v>
      </c>
    </row>
    <row r="23" customFormat="false" ht="15" hidden="false" customHeight="false" outlineLevel="0" collapsed="false">
      <c r="A23" s="5" t="s">
        <v>44</v>
      </c>
      <c r="B23" s="5" t="n">
        <v>358.814361572266</v>
      </c>
      <c r="C23" s="5" t="n">
        <f aca="false">IF(OR(B23="",B22=""),"",LN(B23/B22)*100)</f>
        <v>2.84702994467017</v>
      </c>
      <c r="D23" s="5" t="n">
        <f aca="false">IF(COUNT($C21:$C23)&lt;3,"",STDEV($C21:$C23))</f>
        <v>3.20555376407657</v>
      </c>
      <c r="E23" s="5" t="n">
        <f aca="false">IF(COUNT($C12:$C23)&lt;12,"",STDEV($C12:$C23))</f>
        <v>2.3547541782145</v>
      </c>
    </row>
    <row r="24" customFormat="false" ht="15" hidden="false" customHeight="false" outlineLevel="0" collapsed="false">
      <c r="A24" s="5" t="s">
        <v>45</v>
      </c>
      <c r="B24" s="5" t="n">
        <v>359.589996337891</v>
      </c>
      <c r="C24" s="5" t="n">
        <f aca="false">IF(OR(B24="",B23=""),"",LN(B24/B23)*100)</f>
        <v>0.215932728821503</v>
      </c>
      <c r="D24" s="5" t="n">
        <f aca="false">IF(COUNT($C22:$C24)&lt;3,"",STDEV($C22:$C24))</f>
        <v>2.54771470220137</v>
      </c>
      <c r="E24" s="5" t="n">
        <f aca="false">IF(COUNT($C13:$C24)&lt;12,"",STDEV($C13:$C24))</f>
        <v>2.35493201667823</v>
      </c>
    </row>
    <row r="25" customFormat="false" ht="15" hidden="false" customHeight="false" outlineLevel="0" collapsed="false">
      <c r="A25" s="5" t="s">
        <v>46</v>
      </c>
      <c r="B25" s="5" t="n">
        <v>361.532012939453</v>
      </c>
      <c r="C25" s="5" t="n">
        <f aca="false">IF(OR(B25="",B24=""),"",LN(B25/B24)*100)</f>
        <v>0.538611017672481</v>
      </c>
      <c r="D25" s="5" t="n">
        <f aca="false">IF(COUNT($C23:$C25)&lt;3,"",STDEV($C23:$C25))</f>
        <v>1.43501404057379</v>
      </c>
      <c r="E25" s="5" t="n">
        <f aca="false">IF(COUNT($C14:$C25)&lt;12,"",STDEV($C14:$C25))</f>
        <v>2.35610041433307</v>
      </c>
    </row>
    <row r="26" customFormat="false" ht="15" hidden="false" customHeight="false" outlineLevel="0" collapsed="false">
      <c r="A26" s="5" t="s">
        <v>47</v>
      </c>
      <c r="B26" s="5" t="n">
        <v>354.700958251953</v>
      </c>
      <c r="C26" s="5" t="n">
        <f aca="false">IF(OR(B26="",B25=""),"",LN(B26/B25)*100)</f>
        <v>-1.9075530166859</v>
      </c>
      <c r="D26" s="5" t="n">
        <f aca="false">IF(COUNT($C24:$C26)&lt;3,"",STDEV($C24:$C26))</f>
        <v>1.32897400729895</v>
      </c>
      <c r="E26" s="5" t="n">
        <f aca="false">IF(COUNT($C15:$C26)&lt;12,"",STDEV($C15:$C26))</f>
        <v>2.28731182327431</v>
      </c>
    </row>
    <row r="27" customFormat="false" ht="15" hidden="false" customHeight="false" outlineLevel="0" collapsed="false">
      <c r="A27" s="5" t="s">
        <v>48</v>
      </c>
      <c r="B27" s="5" t="n">
        <v>353.779998779297</v>
      </c>
      <c r="C27" s="5" t="n">
        <f aca="false">IF(OR(B27="",B26=""),"",LN(B27/B26)*100)</f>
        <v>-0.259981579532838</v>
      </c>
      <c r="D27" s="5" t="n">
        <f aca="false">IF(COUNT($C25:$C27)&lt;3,"",STDEV($C25:$C27))</f>
        <v>1.24739463548511</v>
      </c>
      <c r="E27" s="5" t="n">
        <f aca="false">IF(COUNT($C16:$C27)&lt;12,"",STDEV($C16:$C27))</f>
        <v>1.79322606432761</v>
      </c>
    </row>
    <row r="28" customFormat="false" ht="15" hidden="false" customHeight="false" outlineLevel="0" collapsed="false">
      <c r="A28" s="5" t="s">
        <v>49</v>
      </c>
      <c r="B28" s="5" t="n">
        <v>344.183319091797</v>
      </c>
      <c r="C28" s="5" t="n">
        <f aca="false">IF(OR(B28="",B27=""),"",LN(B28/B27)*100)</f>
        <v>-2.75008277979762</v>
      </c>
      <c r="D28" s="5" t="n">
        <f aca="false">IF(COUNT($C26:$C28)&lt;3,"",STDEV($C26:$C28))</f>
        <v>1.26655385658696</v>
      </c>
      <c r="E28" s="5" t="n">
        <f aca="false">IF(COUNT($C17:$C28)&lt;12,"",STDEV($C17:$C28))</f>
        <v>1.93435293340476</v>
      </c>
    </row>
    <row r="29" customFormat="false" ht="15" hidden="false" customHeight="false" outlineLevel="0" collapsed="false">
      <c r="A29" s="5" t="s">
        <v>50</v>
      </c>
      <c r="B29" s="5" t="n">
        <v>338.691589355469</v>
      </c>
      <c r="C29" s="5" t="n">
        <f aca="false">IF(OR(B29="",B28=""),"",LN(B29/B28)*100)</f>
        <v>-1.60844923877242</v>
      </c>
      <c r="D29" s="5" t="n">
        <f aca="false">IF(COUNT($C27:$C29)&lt;3,"",STDEV($C27:$C29))</f>
        <v>1.24648145845074</v>
      </c>
      <c r="E29" s="5" t="n">
        <f aca="false">IF(COUNT($C18:$C29)&lt;12,"",STDEV($C18:$C29))</f>
        <v>1.95141956502044</v>
      </c>
    </row>
    <row r="30" customFormat="false" ht="15" hidden="false" customHeight="false" outlineLevel="0" collapsed="false">
      <c r="A30" s="5" t="s">
        <v>51</v>
      </c>
      <c r="B30" s="5" t="n">
        <v>337.098937988281</v>
      </c>
      <c r="C30" s="5" t="n">
        <f aca="false">IF(OR(B30="",B29=""),"",LN(B30/B29)*100)</f>
        <v>-0.471345557938947</v>
      </c>
      <c r="D30" s="5" t="n">
        <f aca="false">IF(COUNT($C28:$C30)&lt;3,"",STDEV($C28:$C30))</f>
        <v>1.1393693613313</v>
      </c>
      <c r="E30" s="5" t="n">
        <f aca="false">IF(COUNT($C19:$C30)&lt;12,"",STDEV($C19:$C30))</f>
        <v>1.95121664070217</v>
      </c>
    </row>
    <row r="31" customFormat="false" ht="15" hidden="false" customHeight="false" outlineLevel="0" collapsed="false">
      <c r="A31" s="5" t="s">
        <v>52</v>
      </c>
      <c r="B31" s="5" t="n">
        <v>341.021911621094</v>
      </c>
      <c r="C31" s="5" t="n">
        <f aca="false">IF(OR(B31="",B30=""),"",LN(B31/B30)*100)</f>
        <v>1.15702603726684</v>
      </c>
      <c r="D31" s="5" t="n">
        <f aca="false">IF(COUNT($C29:$C31)&lt;3,"",STDEV($C29:$C31))</f>
        <v>1.38999114717939</v>
      </c>
      <c r="E31" s="5" t="n">
        <f aca="false">IF(COUNT($C20:$C31)&lt;12,"",STDEV($C20:$C31))</f>
        <v>1.75647168894124</v>
      </c>
    </row>
    <row r="32" customFormat="false" ht="15" hidden="false" customHeight="false" outlineLevel="0" collapsed="false">
      <c r="A32" s="5" t="s">
        <v>53</v>
      </c>
      <c r="B32" s="5" t="n">
        <v>352.254486083984</v>
      </c>
      <c r="C32" s="5" t="n">
        <f aca="false">IF(OR(B32="",B31=""),"",LN(B32/B31)*100)</f>
        <v>3.24071540368765</v>
      </c>
      <c r="D32" s="5" t="n">
        <f aca="false">IF(COUNT($C30:$C32)&lt;3,"",STDEV($C30:$C32))</f>
        <v>1.86067872968622</v>
      </c>
      <c r="E32" s="5" t="n">
        <f aca="false">IF(COUNT($C21:$C32)&lt;12,"",STDEV($C21:$C32))</f>
        <v>2.0734372475461</v>
      </c>
    </row>
    <row r="33" customFormat="false" ht="15" hidden="false" customHeight="false" outlineLevel="0" collapsed="false">
      <c r="A33" s="5" t="s">
        <v>54</v>
      </c>
      <c r="B33" s="5" t="n">
        <v>342.892852783203</v>
      </c>
      <c r="C33" s="5" t="n">
        <f aca="false">IF(OR(B33="",B32=""),"",LN(B33/B32)*100)</f>
        <v>-2.69358704012723</v>
      </c>
      <c r="D33" s="5" t="n">
        <f aca="false">IF(COUNT($C31:$C33)&lt;3,"",STDEV($C31:$C33))</f>
        <v>3.01067345572937</v>
      </c>
      <c r="E33" s="5" t="n">
        <f aca="false">IF(COUNT($C22:$C33)&lt;12,"",STDEV($C22:$C33))</f>
        <v>2.03101688321573</v>
      </c>
    </row>
    <row r="34" customFormat="false" ht="15" hidden="false" customHeight="false" outlineLevel="0" collapsed="false">
      <c r="A34" s="5" t="s">
        <v>55</v>
      </c>
      <c r="B34" s="5" t="n">
        <v>345.006500244141</v>
      </c>
      <c r="C34" s="5" t="n">
        <f aca="false">IF(OR(B34="",B33=""),"",LN(B34/B33)*100)</f>
        <v>0.614524233314385</v>
      </c>
      <c r="D34" s="5" t="n">
        <f aca="false">IF(COUNT($C32:$C34)&lt;3,"",STDEV($C32:$C34))</f>
        <v>2.97367409544392</v>
      </c>
      <c r="E34" s="5" t="n">
        <f aca="false">IF(COUNT($C23:$C34)&lt;12,"",STDEV($C23:$C34))</f>
        <v>1.95164721581831</v>
      </c>
    </row>
    <row r="35" customFormat="false" ht="15" hidden="false" customHeight="false" outlineLevel="0" collapsed="false">
      <c r="A35" s="5" t="s">
        <v>56</v>
      </c>
      <c r="B35" s="5" t="n">
        <v>344.892395019531</v>
      </c>
      <c r="C35" s="5" t="n">
        <f aca="false">IF(OR(B35="",B34=""),"",LN(B35/B34)*100)</f>
        <v>-0.0330788254435048</v>
      </c>
      <c r="D35" s="5" t="n">
        <f aca="false">IF(COUNT($C33:$C35)&lt;3,"",STDEV($C33:$C35))</f>
        <v>1.75315400918761</v>
      </c>
      <c r="E35" s="5" t="n">
        <f aca="false">IF(COUNT($C24:$C35)&lt;12,"",STDEV($C24:$C35))</f>
        <v>1.72113603190221</v>
      </c>
    </row>
    <row r="36" customFormat="false" ht="15" hidden="false" customHeight="false" outlineLevel="0" collapsed="false">
      <c r="A36" s="5" t="s">
        <v>57</v>
      </c>
      <c r="B36" s="5" t="n">
        <v>335.050537109375</v>
      </c>
      <c r="C36" s="5" t="n">
        <f aca="false">IF(OR(B36="",B35=""),"",LN(B36/B35)*100)</f>
        <v>-2.89510923965977</v>
      </c>
      <c r="D36" s="5" t="n">
        <f aca="false">IF(COUNT($C34:$C36)&lt;3,"",STDEV($C34:$C36))</f>
        <v>1.86762482528978</v>
      </c>
      <c r="E36" s="5" t="n">
        <f aca="false">IF(COUNT($C25:$C36)&lt;12,"",STDEV($C25:$C36))</f>
        <v>1.86015669526989</v>
      </c>
    </row>
    <row r="37" customFormat="false" ht="15" hidden="false" customHeight="false" outlineLevel="0" collapsed="false">
      <c r="A37" s="5" t="s">
        <v>58</v>
      </c>
      <c r="B37" s="5" t="n">
        <v>334.80712890625</v>
      </c>
      <c r="C37" s="5" t="n">
        <f aca="false">IF(OR(B37="",B36=""),"",LN(B37/B36)*100)</f>
        <v>-0.0726746072149938</v>
      </c>
      <c r="D37" s="5" t="n">
        <f aca="false">IF(COUNT($C35:$C37)&lt;3,"",STDEV($C35:$C37))</f>
        <v>1.64108313684676</v>
      </c>
      <c r="E37" s="5" t="n">
        <f aca="false">IF(COUNT($C26:$C37)&lt;12,"",STDEV($C26:$C37))</f>
        <v>1.83466436676696</v>
      </c>
    </row>
    <row r="38" customFormat="false" ht="15" hidden="false" customHeight="false" outlineLevel="0" collapsed="false">
      <c r="A38" s="5" t="s">
        <v>59</v>
      </c>
      <c r="B38" s="5" t="n">
        <v>329.030548095703</v>
      </c>
      <c r="C38" s="5" t="n">
        <f aca="false">IF(OR(B38="",B37=""),"",LN(B38/B37)*100)</f>
        <v>-1.74040336083754</v>
      </c>
      <c r="D38" s="5" t="n">
        <f aca="false">IF(COUNT($C36:$C38)&lt;3,"",STDEV($C36:$C38))</f>
        <v>1.41896688454839</v>
      </c>
      <c r="E38" s="5" t="n">
        <f aca="false">IF(COUNT($C27:$C38)&lt;12,"",STDEV($C27:$C38))</f>
        <v>1.82477356334903</v>
      </c>
    </row>
    <row r="39" customFormat="false" ht="15" hidden="false" customHeight="false" outlineLevel="0" collapsed="false">
      <c r="A39" s="5" t="s">
        <v>60</v>
      </c>
      <c r="B39" s="5" t="n">
        <v>329.299987792969</v>
      </c>
      <c r="C39" s="5" t="n">
        <f aca="false">IF(OR(B39="",B38=""),"",LN(B39/B38)*100)</f>
        <v>0.0818554503010278</v>
      </c>
      <c r="D39" s="5" t="n">
        <f aca="false">IF(COUNT($C37:$C39)&lt;3,"",STDEV($C37:$C39))</f>
        <v>1.01043108862072</v>
      </c>
      <c r="E39" s="5" t="n">
        <f aca="false">IF(COUNT($C28:$C39)&lt;12,"",STDEV($C28:$C39))</f>
        <v>1.83365411915085</v>
      </c>
    </row>
    <row r="40" customFormat="false" ht="15" hidden="false" customHeight="false" outlineLevel="0" collapsed="false">
      <c r="A40" s="5" t="s">
        <v>61</v>
      </c>
      <c r="B40" s="5" t="n">
        <v>330.096954345703</v>
      </c>
      <c r="C40" s="5" t="n">
        <f aca="false">IF(OR(B40="",B39=""),"",LN(B40/B39)*100)</f>
        <v>0.241726004435254</v>
      </c>
      <c r="D40" s="5" t="n">
        <f aca="false">IF(COUNT($C38:$C40)&lt;3,"",STDEV($C38:$C40))</f>
        <v>1.10113748683865</v>
      </c>
      <c r="E40" s="5" t="n">
        <f aca="false">IF(COUNT($C29:$C40)&lt;12,"",STDEV($C29:$C40))</f>
        <v>1.71385379998999</v>
      </c>
    </row>
    <row r="41" customFormat="false" ht="15" hidden="false" customHeight="false" outlineLevel="0" collapsed="false">
      <c r="A41" s="5" t="s">
        <v>62</v>
      </c>
      <c r="B41" s="5" t="n">
        <v>342.05712890625</v>
      </c>
      <c r="C41" s="5" t="n">
        <f aca="false">IF(OR(B41="",B40=""),"",LN(B41/B40)*100)</f>
        <v>3.55913543408704</v>
      </c>
      <c r="D41" s="5" t="n">
        <f aca="false">IF(COUNT($C39:$C41)&lt;3,"",STDEV($C39:$C41))</f>
        <v>1.96308600608246</v>
      </c>
      <c r="E41" s="5" t="n">
        <f aca="false">IF(COUNT($C30:$C41)&lt;12,"",STDEV($C30:$C41))</f>
        <v>1.99463605491012</v>
      </c>
    </row>
    <row r="42" customFormat="false" ht="15" hidden="false" customHeight="false" outlineLevel="0" collapsed="false">
      <c r="A42" s="5" t="s">
        <v>63</v>
      </c>
      <c r="B42" s="5" t="n">
        <v>366.667999267578</v>
      </c>
      <c r="C42" s="5" t="n">
        <f aca="false">IF(OR(B42="",B41=""),"",LN(B42/B41)*100)</f>
        <v>6.94790377799645</v>
      </c>
      <c r="D42" s="5" t="n">
        <f aca="false">IF(COUNT($C40:$C42)&lt;3,"",STDEV($C40:$C42))</f>
        <v>3.35315216234991</v>
      </c>
      <c r="E42" s="5" t="n">
        <f aca="false">IF(COUNT($C31:$C42)&lt;12,"",STDEV($C31:$C42))</f>
        <v>2.79619425940482</v>
      </c>
    </row>
    <row r="43" customFormat="false" ht="15" hidden="false" customHeight="false" outlineLevel="0" collapsed="false">
      <c r="A43" s="5" t="s">
        <v>64</v>
      </c>
      <c r="B43" s="5" t="n">
        <v>371.809997558594</v>
      </c>
      <c r="C43" s="5" t="n">
        <f aca="false">IF(OR(B43="",B42=""),"",LN(B43/B42)*100)</f>
        <v>1.39261600622473</v>
      </c>
      <c r="D43" s="5" t="n">
        <f aca="false">IF(COUNT($C41:$C43)&lt;3,"",STDEV($C41:$C43))</f>
        <v>2.79996367676392</v>
      </c>
      <c r="E43" s="5" t="n">
        <f aca="false">IF(COUNT($C32:$C43)&lt;12,"",STDEV($C32:$C43))</f>
        <v>2.80051341376212</v>
      </c>
    </row>
    <row r="44" customFormat="false" ht="15" hidden="false" customHeight="false" outlineLevel="0" collapsed="false">
      <c r="A44" s="5" t="s">
        <v>65</v>
      </c>
      <c r="B44" s="5" t="n">
        <v>392.399993896484</v>
      </c>
      <c r="C44" s="5" t="n">
        <f aca="false">IF(OR(B44="",B43=""),"",LN(B44/B43)*100)</f>
        <v>5.38987475967688</v>
      </c>
      <c r="D44" s="5" t="n">
        <f aca="false">IF(COUNT($C42:$C44)&lt;3,"",STDEV($C42:$C44))</f>
        <v>2.86550618539355</v>
      </c>
      <c r="E44" s="5" t="n">
        <f aca="false">IF(COUNT($C33:$C44)&lt;12,"",STDEV($C33:$C44))</f>
        <v>3.03523472705667</v>
      </c>
    </row>
    <row r="45" customFormat="false" ht="15" hidden="false" customHeight="false" outlineLevel="0" collapsed="false">
      <c r="A45" s="5" t="s">
        <v>66</v>
      </c>
      <c r="B45" s="5" t="n">
        <v>378.700012207031</v>
      </c>
      <c r="C45" s="5" t="n">
        <f aca="false">IF(OR(B45="",B44=""),"",LN(B45/B44)*100)</f>
        <v>-3.55373449950969</v>
      </c>
      <c r="D45" s="5" t="n">
        <f aca="false">IF(COUNT($C43:$C45)&lt;3,"",STDEV($C43:$C45))</f>
        <v>4.480189866673</v>
      </c>
      <c r="E45" s="5" t="n">
        <f aca="false">IF(COUNT($C34:$C45)&lt;12,"",STDEV($C34:$C45))</f>
        <v>3.13627373523223</v>
      </c>
    </row>
    <row r="46" customFormat="false" ht="15" hidden="false" customHeight="false" outlineLevel="0" collapsed="false">
      <c r="A46" s="5" t="s">
        <v>67</v>
      </c>
      <c r="B46" s="5" t="n">
        <v>354.399993896484</v>
      </c>
      <c r="C46" s="5" t="n">
        <f aca="false">IF(OR(B46="",B45=""),"",LN(B46/B45)*100)</f>
        <v>-6.63181656329737</v>
      </c>
      <c r="D46" s="5" t="n">
        <f aca="false">IF(COUNT($C44:$C46)&lt;3,"",STDEV($C44:$C46))</f>
        <v>6.24478179545789</v>
      </c>
      <c r="E46" s="5" t="n">
        <f aca="false">IF(COUNT($C35:$C46)&lt;12,"",STDEV($C35:$C46))</f>
        <v>3.80695275277363</v>
      </c>
    </row>
    <row r="47" customFormat="false" ht="15" hidden="false" customHeight="false" outlineLevel="0" collapsed="false">
      <c r="A47" s="5" t="s">
        <v>68</v>
      </c>
      <c r="B47" s="5" t="n">
        <v>362.380004882813</v>
      </c>
      <c r="C47" s="5" t="n">
        <f aca="false">IF(OR(B47="",B46=""),"",LN(B47/B46)*100)</f>
        <v>2.22671969734358</v>
      </c>
      <c r="D47" s="5" t="n">
        <f aca="false">IF(COUNT($C45:$C47)&lt;3,"",STDEV($C45:$C47))</f>
        <v>4.49744195060594</v>
      </c>
      <c r="E47" s="5" t="n">
        <f aca="false">IF(COUNT($C36:$C47)&lt;12,"",STDEV($C36:$C47))</f>
        <v>3.84875025177879</v>
      </c>
    </row>
    <row r="48" customFormat="false" ht="15" hidden="false" customHeight="false" outlineLevel="0" collapsed="false">
      <c r="A48" s="5" t="s">
        <v>69</v>
      </c>
      <c r="B48" s="5" t="n">
        <v>374.167510986328</v>
      </c>
      <c r="C48" s="5" t="n">
        <f aca="false">IF(OR(B48="",B47=""),"",LN(B48/B47)*100)</f>
        <v>3.2010188997119</v>
      </c>
      <c r="D48" s="5" t="n">
        <f aca="false">IF(COUNT($C46:$C48)&lt;3,"",STDEV($C46:$C48))</f>
        <v>5.4176805747392</v>
      </c>
      <c r="E48" s="5" t="n">
        <f aca="false">IF(COUNT($C37:$C48)&lt;12,"",STDEV($C37:$C48))</f>
        <v>3.77412595330101</v>
      </c>
    </row>
    <row r="49" customFormat="false" ht="15" hidden="false" customHeight="false" outlineLevel="0" collapsed="false">
      <c r="A49" s="5" t="s">
        <v>70</v>
      </c>
      <c r="B49" s="5" t="n">
        <v>383.302001953125</v>
      </c>
      <c r="C49" s="5" t="n">
        <f aca="false">IF(OR(B49="",B48=""),"",LN(B49/B48)*100)</f>
        <v>2.41196078340818</v>
      </c>
      <c r="D49" s="5" t="n">
        <f aca="false">IF(COUNT($C47:$C49)&lt;3,"",STDEV($C47:$C49))</f>
        <v>0.51739506288823</v>
      </c>
      <c r="E49" s="5" t="n">
        <f aca="false">IF(COUNT($C38:$C49)&lt;12,"",STDEV($C38:$C49))</f>
        <v>3.78284966075346</v>
      </c>
    </row>
    <row r="50" customFormat="false" ht="15" hidden="false" customHeight="false" outlineLevel="0" collapsed="false">
      <c r="A50" s="5" t="s">
        <v>71</v>
      </c>
      <c r="B50" s="5" t="n">
        <v>387.077514648438</v>
      </c>
      <c r="C50" s="5" t="n">
        <f aca="false">IF(OR(B50="",B49=""),"",LN(B50/B49)*100)</f>
        <v>0.980177390890843</v>
      </c>
      <c r="D50" s="5" t="n">
        <f aca="false">IF(COUNT($C48:$C50)&lt;3,"",STDEV($C48:$C50))</f>
        <v>1.1258147717169</v>
      </c>
      <c r="E50" s="5" t="n">
        <f aca="false">IF(COUNT($C39:$C50)&lt;12,"",STDEV($C39:$C50))</f>
        <v>3.6753593534964</v>
      </c>
    </row>
    <row r="51" customFormat="false" ht="15" hidden="false" customHeight="false" outlineLevel="0" collapsed="false">
      <c r="A51" s="5" t="s">
        <v>72</v>
      </c>
      <c r="B51" s="5" t="n">
        <v>382.304992675781</v>
      </c>
      <c r="C51" s="5" t="n">
        <f aca="false">IF(OR(B51="",B50=""),"",LN(B51/B50)*100)</f>
        <v>-1.24062690295922</v>
      </c>
      <c r="D51" s="5" t="n">
        <f aca="false">IF(COUNT($C49:$C51)&lt;3,"",STDEV($C49:$C51))</f>
        <v>1.84044252836441</v>
      </c>
      <c r="E51" s="5" t="n">
        <f aca="false">IF(COUNT($C40:$C51)&lt;12,"",STDEV($C40:$C51))</f>
        <v>3.73629369669858</v>
      </c>
    </row>
    <row r="52" customFormat="false" ht="15" hidden="false" customHeight="false" outlineLevel="0" collapsed="false">
      <c r="A52" s="5" t="s">
        <v>73</v>
      </c>
      <c r="B52" s="5" t="n">
        <v>383.877502441406</v>
      </c>
      <c r="C52" s="5" t="n">
        <f aca="false">IF(OR(B52="",B51=""),"",LN(B52/B51)*100)</f>
        <v>0.410479744350224</v>
      </c>
      <c r="D52" s="5" t="n">
        <f aca="false">IF(COUNT($C50:$C52)&lt;3,"",STDEV($C50:$C52))</f>
        <v>1.15344991806076</v>
      </c>
      <c r="E52" s="5" t="n">
        <f aca="false">IF(COUNT($C41:$C52)&lt;12,"",STDEV($C41:$C52))</f>
        <v>3.73249504436988</v>
      </c>
    </row>
    <row r="53" customFormat="false" ht="15" hidden="false" customHeight="false" outlineLevel="0" collapsed="false">
      <c r="A53" s="5" t="s">
        <v>74</v>
      </c>
      <c r="B53" s="5" t="n">
        <v>377.321044921875</v>
      </c>
      <c r="C53" s="5" t="n">
        <f aca="false">IF(OR(B53="",B52=""),"",LN(B53/B52)*100)</f>
        <v>-1.72270945330121</v>
      </c>
      <c r="D53" s="5" t="n">
        <f aca="false">IF(COUNT($C51:$C53)&lt;3,"",STDEV($C51:$C53))</f>
        <v>1.11870854851405</v>
      </c>
      <c r="E53" s="5" t="n">
        <f aca="false">IF(COUNT($C42:$C53)&lt;12,"",STDEV($C42:$C53))</f>
        <v>3.74783907912453</v>
      </c>
    </row>
    <row r="54" customFormat="false" ht="15" hidden="false" customHeight="false" outlineLevel="0" collapsed="false">
      <c r="A54" s="5" t="s">
        <v>75</v>
      </c>
      <c r="B54" s="5" t="n">
        <v>381.589996337891</v>
      </c>
      <c r="C54" s="5" t="n">
        <f aca="false">IF(OR(B54="",B53=""),"",LN(B54/B53)*100)</f>
        <v>1.12503210797978</v>
      </c>
      <c r="D54" s="5" t="n">
        <f aca="false">IF(COUNT($C52:$C54)&lt;3,"",STDEV($C52:$C54))</f>
        <v>1.48159335588371</v>
      </c>
      <c r="E54" s="5" t="n">
        <f aca="false">IF(COUNT($C43:$C54)&lt;12,"",STDEV($C43:$C54))</f>
        <v>3.22205924167455</v>
      </c>
    </row>
    <row r="55" customFormat="false" ht="15" hidden="false" customHeight="false" outlineLevel="0" collapsed="false">
      <c r="A55" s="5" t="s">
        <v>76</v>
      </c>
      <c r="B55" s="5" t="n">
        <v>385.743194580078</v>
      </c>
      <c r="C55" s="5" t="n">
        <f aca="false">IF(OR(B55="",B54=""),"",LN(B55/B54)*100)</f>
        <v>1.08251248568354</v>
      </c>
      <c r="D55" s="5" t="n">
        <f aca="false">IF(COUNT($C53:$C55)&lt;3,"",STDEV($C53:$C55))</f>
        <v>1.63200847858749</v>
      </c>
      <c r="E55" s="5" t="n">
        <f aca="false">IF(COUNT($C44:$C55)&lt;12,"",STDEV($C44:$C55))</f>
        <v>3.21401660806068</v>
      </c>
    </row>
    <row r="56" customFormat="false" ht="15" hidden="false" customHeight="false" outlineLevel="0" collapsed="false">
      <c r="A56" s="5" t="s">
        <v>77</v>
      </c>
      <c r="B56" s="5" t="n">
        <v>385.399993896484</v>
      </c>
      <c r="C56" s="5" t="n">
        <f aca="false">IF(OR(B56="",B55=""),"",LN(B56/B55)*100)</f>
        <v>-0.0890108896459827</v>
      </c>
      <c r="D56" s="5" t="n">
        <f aca="false">IF(COUNT($C54:$C56)&lt;3,"",STDEV($C54:$C56))</f>
        <v>0.688981777372457</v>
      </c>
      <c r="E56" s="5" t="n">
        <f aca="false">IF(COUNT($C45:$C56)&lt;12,"",STDEV($C45:$C56))</f>
        <v>2.78704724598817</v>
      </c>
    </row>
    <row r="57" customFormat="false" ht="15" hidden="false" customHeight="false" outlineLevel="0" collapsed="false">
      <c r="A57" s="5" t="s">
        <v>78</v>
      </c>
      <c r="B57" s="5" t="n">
        <v>380.761352539063</v>
      </c>
      <c r="C57" s="5" t="n">
        <f aca="false">IF(OR(B57="",B56=""),"",LN(B57/B56)*100)</f>
        <v>-1.210893255773</v>
      </c>
      <c r="D57" s="5" t="n">
        <f aca="false">IF(COUNT($C55:$C57)&lt;3,"",STDEV($C55:$C57))</f>
        <v>1.14679240763939</v>
      </c>
      <c r="E57" s="5" t="n">
        <f aca="false">IF(COUNT($C46:$C57)&lt;12,"",STDEV($C46:$C57))</f>
        <v>2.60291151616283</v>
      </c>
    </row>
    <row r="58" customFormat="false" ht="15" hidden="false" customHeight="false" outlineLevel="0" collapsed="false">
      <c r="A58" s="5" t="s">
        <v>79</v>
      </c>
      <c r="B58" s="5" t="n">
        <v>391.928100585938</v>
      </c>
      <c r="C58" s="5" t="n">
        <f aca="false">IF(OR(B58="",B57=""),"",LN(B58/B57)*100)</f>
        <v>2.89055985092225</v>
      </c>
      <c r="D58" s="5" t="n">
        <f aca="false">IF(COUNT($C56:$C58)&lt;3,"",STDEV($C56:$C58))</f>
        <v>2.11968470249301</v>
      </c>
      <c r="E58" s="5" t="n">
        <f aca="false">IF(COUNT($C47:$C58)&lt;12,"",STDEV($C47:$C58))</f>
        <v>1.6646906717279</v>
      </c>
    </row>
    <row r="59" customFormat="false" ht="15" hidden="false" customHeight="false" outlineLevel="0" collapsed="false">
      <c r="A59" s="5" t="s">
        <v>80</v>
      </c>
      <c r="B59" s="5" t="n">
        <v>389.594451904297</v>
      </c>
      <c r="C59" s="5" t="n">
        <f aca="false">IF(OR(B59="",B58=""),"",LN(B59/B58)*100)</f>
        <v>-0.597207491999134</v>
      </c>
      <c r="D59" s="5" t="n">
        <f aca="false">IF(COUNT($C57:$C59)&lt;3,"",STDEV($C57:$C59))</f>
        <v>2.21220285542969</v>
      </c>
      <c r="E59" s="5" t="n">
        <f aca="false">IF(COUNT($C48:$C59)&lt;12,"",STDEV($C48:$C59))</f>
        <v>1.65018500592618</v>
      </c>
    </row>
    <row r="60" customFormat="false" ht="15" hidden="false" customHeight="false" outlineLevel="0" collapsed="false">
      <c r="A60" s="5" t="s">
        <v>81</v>
      </c>
      <c r="B60" s="5" t="n">
        <v>384.441253662109</v>
      </c>
      <c r="C60" s="5" t="n">
        <f aca="false">IF(OR(B60="",B59=""),"",LN(B60/B59)*100)</f>
        <v>-1.33153402166627</v>
      </c>
      <c r="D60" s="5" t="n">
        <f aca="false">IF(COUNT($C58:$C60)&lt;3,"",STDEV($C58:$C60))</f>
        <v>2.25572727220703</v>
      </c>
      <c r="E60" s="5" t="n">
        <f aca="false">IF(COUNT($C49:$C60)&lt;12,"",STDEV($C49:$C60))</f>
        <v>1.51474364591084</v>
      </c>
    </row>
    <row r="61" customFormat="false" ht="15" hidden="false" customHeight="false" outlineLevel="0" collapsed="false">
      <c r="A61" s="5" t="s">
        <v>82</v>
      </c>
      <c r="B61" s="5" t="n">
        <v>379.399993896484</v>
      </c>
      <c r="C61" s="5" t="n">
        <f aca="false">IF(OR(B61="",B60=""),"",LN(B61/B60)*100)</f>
        <v>-1.31999495446413</v>
      </c>
      <c r="D61" s="5" t="n">
        <f aca="false">IF(COUNT($C59:$C61)&lt;3,"",STDEV($C59:$C61))</f>
        <v>0.420672144339956</v>
      </c>
      <c r="E61" s="5" t="n">
        <f aca="false">IF(COUNT($C50:$C61)&lt;12,"",STDEV($C50:$C61))</f>
        <v>1.40414824861727</v>
      </c>
    </row>
    <row r="62" customFormat="false" ht="15" hidden="false" customHeight="false" outlineLevel="0" collapsed="false">
      <c r="A62" s="5" t="s">
        <v>83</v>
      </c>
      <c r="B62" s="5" t="n">
        <v>378.549987792969</v>
      </c>
      <c r="C62" s="5" t="n">
        <f aca="false">IF(OR(B62="",B61=""),"",LN(B62/B61)*100)</f>
        <v>-0.224290911112622</v>
      </c>
      <c r="D62" s="5" t="n">
        <f aca="false">IF(COUNT($C60:$C62)&lt;3,"",STDEV($C60:$C62))</f>
        <v>0.635962237683608</v>
      </c>
      <c r="E62" s="5" t="n">
        <f aca="false">IF(COUNT($C51:$C62)&lt;12,"",STDEV($C51:$C62))</f>
        <v>1.36352529836633</v>
      </c>
    </row>
    <row r="63" customFormat="false" ht="15" hidden="false" customHeight="false" outlineLevel="0" collapsed="false">
      <c r="A63" s="5" t="s">
        <v>84</v>
      </c>
      <c r="B63" s="5" t="n">
        <v>376.505249023438</v>
      </c>
      <c r="C63" s="5" t="n">
        <f aca="false">IF(OR(B63="",B62=""),"",LN(B63/B62)*100)</f>
        <v>-0.541614353042014</v>
      </c>
      <c r="D63" s="5" t="n">
        <f aca="false">IF(COUNT($C61:$C63)&lt;3,"",STDEV($C61:$C63))</f>
        <v>0.563787471494506</v>
      </c>
      <c r="E63" s="5" t="n">
        <f aca="false">IF(COUNT($C52:$C63)&lt;12,"",STDEV($C52:$C63))</f>
        <v>1.32884831286989</v>
      </c>
    </row>
    <row r="64" customFormat="false" ht="15" hidden="false" customHeight="false" outlineLevel="0" collapsed="false">
      <c r="A64" s="5" t="s">
        <v>85</v>
      </c>
      <c r="B64" s="5" t="n">
        <v>381.661895751953</v>
      </c>
      <c r="C64" s="5" t="n">
        <f aca="false">IF(OR(B64="",B63=""),"",LN(B64/B63)*100)</f>
        <v>1.36031382567964</v>
      </c>
      <c r="D64" s="5" t="n">
        <f aca="false">IF(COUNT($C62:$C64)&lt;3,"",STDEV($C62:$C64))</f>
        <v>1.0189044063501</v>
      </c>
      <c r="E64" s="5" t="n">
        <f aca="false">IF(COUNT($C53:$C64)&lt;12,"",STDEV($C53:$C64))</f>
        <v>1.39065032427314</v>
      </c>
    </row>
    <row r="65" customFormat="false" ht="15" hidden="false" customHeight="false" outlineLevel="0" collapsed="false">
      <c r="A65" s="5" t="s">
        <v>86</v>
      </c>
      <c r="B65" s="5" t="n">
        <v>391.04443359375</v>
      </c>
      <c r="C65" s="5" t="n">
        <f aca="false">IF(OR(B65="",B64=""),"",LN(B65/B64)*100)</f>
        <v>2.42860674045802</v>
      </c>
      <c r="D65" s="5" t="n">
        <f aca="false">IF(COUNT($C63:$C65)&lt;3,"",STDEV($C63:$C65))</f>
        <v>1.50448185394251</v>
      </c>
      <c r="E65" s="5" t="n">
        <f aca="false">IF(COUNT($C54:$C65)&lt;12,"",STDEV($C54:$C65))</f>
        <v>1.45126167178667</v>
      </c>
    </row>
    <row r="66" customFormat="false" ht="15" hidden="false" customHeight="false" outlineLevel="0" collapsed="false">
      <c r="A66" s="5" t="s">
        <v>87</v>
      </c>
      <c r="B66" s="5" t="n">
        <v>385.219055175781</v>
      </c>
      <c r="C66" s="5" t="n">
        <f aca="false">IF(OR(B66="",B65=""),"",LN(B66/B65)*100)</f>
        <v>-1.50090474677351</v>
      </c>
      <c r="D66" s="5" t="n">
        <f aca="false">IF(COUNT($C64:$C66)&lt;3,"",STDEV($C64:$C66))</f>
        <v>2.03178419127135</v>
      </c>
      <c r="E66" s="5" t="n">
        <f aca="false">IF(COUNT($C55:$C66)&lt;12,"",STDEV($C55:$C66))</f>
        <v>1.51188237259342</v>
      </c>
    </row>
    <row r="67" customFormat="false" ht="15" hidden="false" customHeight="false" outlineLevel="0" collapsed="false">
      <c r="A67" s="5" t="s">
        <v>88</v>
      </c>
      <c r="B67" s="5" t="n">
        <v>387.490478515625</v>
      </c>
      <c r="C67" s="5" t="n">
        <f aca="false">IF(OR(B67="",B66=""),"",LN(B67/B66)*100)</f>
        <v>0.587912995321146</v>
      </c>
      <c r="D67" s="5" t="n">
        <f aca="false">IF(COUNT($C65:$C67)&lt;3,"",STDEV($C65:$C67))</f>
        <v>1.96606093290451</v>
      </c>
      <c r="E67" s="5" t="n">
        <f aca="false">IF(COUNT($C56:$C67)&lt;12,"",STDEV($C56:$C67))</f>
        <v>1.48859667399045</v>
      </c>
    </row>
    <row r="68" customFormat="false" ht="15" hidden="false" customHeight="false" outlineLevel="0" collapsed="false">
      <c r="A68" s="5" t="s">
        <v>89</v>
      </c>
      <c r="B68" s="5" t="n">
        <v>386.240478515625</v>
      </c>
      <c r="C68" s="5" t="n">
        <f aca="false">IF(OR(B68="",B67=""),"",LN(B68/B67)*100)</f>
        <v>-0.323110010305594</v>
      </c>
      <c r="D68" s="5" t="n">
        <f aca="false">IF(COUNT($C66:$C68)&lt;3,"",STDEV($C66:$C68))</f>
        <v>1.04724423430593</v>
      </c>
      <c r="E68" s="5" t="n">
        <f aca="false">IF(COUNT($C57:$C68)&lt;12,"",STDEV($C57:$C68))</f>
        <v>1.49193785346448</v>
      </c>
    </row>
    <row r="69" customFormat="false" ht="15" hidden="false" customHeight="false" outlineLevel="0" collapsed="false">
      <c r="A69" s="5" t="s">
        <v>90</v>
      </c>
      <c r="B69" s="5" t="n">
        <v>383.697631835938</v>
      </c>
      <c r="C69" s="5" t="n">
        <f aca="false">IF(OR(B69="",B68=""),"",LN(B69/B68)*100)</f>
        <v>-0.660535149773923</v>
      </c>
      <c r="D69" s="5" t="n">
        <f aca="false">IF(COUNT($C67:$C69)&lt;3,"",STDEV($C67:$C69))</f>
        <v>0.645812332456537</v>
      </c>
      <c r="E69" s="5" t="n">
        <f aca="false">IF(COUNT($C58:$C69)&lt;12,"",STDEV($C58:$C69))</f>
        <v>1.45881287904442</v>
      </c>
    </row>
    <row r="70" customFormat="false" ht="15" hidden="false" customHeight="false" outlineLevel="0" collapsed="false">
      <c r="A70" s="5" t="s">
        <v>91</v>
      </c>
      <c r="B70" s="5" t="n">
        <v>383.217498779297</v>
      </c>
      <c r="C70" s="5" t="n">
        <f aca="false">IF(OR(B70="",B69=""),"",LN(B70/B69)*100)</f>
        <v>-0.125211539113834</v>
      </c>
      <c r="D70" s="5" t="n">
        <f aca="false">IF(COUNT($C68:$C70)&lt;3,"",STDEV($C68:$C70))</f>
        <v>0.270675358370937</v>
      </c>
      <c r="E70" s="5" t="n">
        <f aca="false">IF(COUNT($C59:$C70)&lt;12,"",STDEV($C59:$C70))</f>
        <v>1.1559349064061</v>
      </c>
    </row>
    <row r="71" customFormat="false" ht="15" hidden="false" customHeight="false" outlineLevel="0" collapsed="false">
      <c r="A71" s="5" t="s">
        <v>92</v>
      </c>
      <c r="B71" s="5" t="n">
        <v>383.069030761719</v>
      </c>
      <c r="C71" s="5" t="n">
        <f aca="false">IF(OR(B71="",B70=""),"",LN(B71/B70)*100)</f>
        <v>-0.0387500011320083</v>
      </c>
      <c r="D71" s="5" t="n">
        <f aca="false">IF(COUNT($C69:$C71)&lt;3,"",STDEV($C69:$C71))</f>
        <v>0.3368144238677</v>
      </c>
      <c r="E71" s="5" t="n">
        <f aca="false">IF(COUNT($C60:$C71)&lt;12,"",STDEV($C60:$C71))</f>
        <v>1.14915348861864</v>
      </c>
    </row>
    <row r="72" customFormat="false" ht="15" hidden="false" customHeight="false" outlineLevel="0" collapsed="false">
      <c r="A72" s="5" t="s">
        <v>93</v>
      </c>
      <c r="B72" s="5" t="n">
        <v>385.676300048828</v>
      </c>
      <c r="C72" s="5" t="n">
        <f aca="false">IF(OR(B72="",B71=""),"",LN(B72/B71)*100)</f>
        <v>0.678320681692849</v>
      </c>
      <c r="D72" s="5" t="n">
        <f aca="false">IF(COUNT($C70:$C72)&lt;3,"",STDEV($C70:$C72))</f>
        <v>0.441083890658684</v>
      </c>
      <c r="E72" s="5" t="n">
        <f aca="false">IF(COUNT($C61:$C72)&lt;12,"",STDEV($C61:$C72))</f>
        <v>1.10545805281573</v>
      </c>
    </row>
    <row r="73" customFormat="false" ht="15" hidden="false" customHeight="false" outlineLevel="0" collapsed="false">
      <c r="A73" s="5" t="s">
        <v>94</v>
      </c>
      <c r="B73" s="5" t="n">
        <v>387.557678222656</v>
      </c>
      <c r="C73" s="5" t="n">
        <f aca="false">IF(OR(B73="",B72=""),"",LN(B73/B72)*100)</f>
        <v>0.486626801038158</v>
      </c>
      <c r="D73" s="5" t="n">
        <f aca="false">IF(COUNT($C71:$C73)&lt;3,"",STDEV($C71:$C73))</f>
        <v>0.371249622290697</v>
      </c>
      <c r="E73" s="5" t="n">
        <f aca="false">IF(COUNT($C62:$C73)&lt;12,"",STDEV($C62:$C73))</f>
        <v>1.02550495774219</v>
      </c>
    </row>
    <row r="74" customFormat="false" ht="15" hidden="false" customHeight="false" outlineLevel="0" collapsed="false">
      <c r="A74" s="5" t="s">
        <v>95</v>
      </c>
      <c r="B74" s="5" t="n">
        <v>400.070587158203</v>
      </c>
      <c r="C74" s="5" t="n">
        <f aca="false">IF(OR(B74="",B73=""),"",LN(B74/B73)*100)</f>
        <v>3.17763146918707</v>
      </c>
      <c r="D74" s="5" t="n">
        <f aca="false">IF(COUNT($C72:$C74)&lt;3,"",STDEV($C72:$C74))</f>
        <v>1.50137753859385</v>
      </c>
      <c r="E74" s="5" t="n">
        <f aca="false">IF(COUNT($C63:$C74)&lt;12,"",STDEV($C63:$C74))</f>
        <v>1.3295484160572</v>
      </c>
    </row>
    <row r="75" customFormat="false" ht="15" hidden="false" customHeight="false" outlineLevel="0" collapsed="false">
      <c r="A75" s="5" t="s">
        <v>96</v>
      </c>
      <c r="B75" s="5" t="n">
        <v>404.484222412109</v>
      </c>
      <c r="C75" s="5" t="n">
        <f aca="false">IF(OR(B75="",B74=""),"",LN(B75/B74)*100)</f>
        <v>1.09717311413044</v>
      </c>
      <c r="D75" s="5" t="n">
        <f aca="false">IF(COUNT($C73:$C75)&lt;3,"",STDEV($C73:$C75))</f>
        <v>1.41082599278784</v>
      </c>
      <c r="E75" s="5" t="n">
        <f aca="false">IF(COUNT($C64:$C75)&lt;12,"",STDEV($C64:$C75))</f>
        <v>1.30108726003349</v>
      </c>
    </row>
    <row r="76" customFormat="false" ht="15" hidden="false" customHeight="false" outlineLevel="0" collapsed="false">
      <c r="A76" s="5" t="s">
        <v>97</v>
      </c>
      <c r="B76" s="5" t="n">
        <v>396.326324462891</v>
      </c>
      <c r="C76" s="5" t="n">
        <f aca="false">IF(OR(B76="",B75=""),"",LN(B76/B75)*100)</f>
        <v>-2.03748069918874</v>
      </c>
      <c r="D76" s="5" t="n">
        <f aca="false">IF(COUNT($C74:$C76)&lt;3,"",STDEV($C74:$C76))</f>
        <v>2.62525415992506</v>
      </c>
      <c r="E76" s="5" t="n">
        <f aca="false">IF(COUNT($C65:$C76)&lt;12,"",STDEV($C65:$C76))</f>
        <v>1.47768776482881</v>
      </c>
    </row>
    <row r="77" customFormat="false" ht="15" hidden="false" customHeight="false" outlineLevel="0" collapsed="false">
      <c r="A77" s="5" t="s">
        <v>98</v>
      </c>
      <c r="B77" s="5" t="n">
        <v>393.144989013672</v>
      </c>
      <c r="C77" s="5" t="n">
        <f aca="false">IF(OR(B77="",B76=""),"",LN(B77/B76)*100)</f>
        <v>-0.805945096454015</v>
      </c>
      <c r="D77" s="5" t="n">
        <f aca="false">IF(COUNT($C75:$C77)&lt;3,"",STDEV($C75:$C77))</f>
        <v>1.57927163557645</v>
      </c>
      <c r="E77" s="5" t="n">
        <f aca="false">IF(COUNT($C66:$C77)&lt;12,"",STDEV($C66:$C77))</f>
        <v>1.34608037935006</v>
      </c>
    </row>
    <row r="78" customFormat="false" ht="15" hidden="false" customHeight="false" outlineLevel="0" collapsed="false">
      <c r="A78" s="5" t="s">
        <v>99</v>
      </c>
      <c r="B78" s="5" t="n">
        <v>391.94287109375</v>
      </c>
      <c r="C78" s="5" t="n">
        <f aca="false">IF(OR(B78="",B77=""),"",LN(B78/B77)*100)</f>
        <v>-0.306238045568545</v>
      </c>
      <c r="D78" s="5" t="n">
        <f aca="false">IF(COUNT($C76:$C78)&lt;3,"",STDEV($C76:$C78))</f>
        <v>0.891028263975739</v>
      </c>
      <c r="E78" s="5" t="n">
        <f aca="false">IF(COUNT($C67:$C78)&lt;12,"",STDEV($C67:$C78))</f>
        <v>1.26299492085514</v>
      </c>
    </row>
    <row r="79" customFormat="false" ht="15" hidden="false" customHeight="false" outlineLevel="0" collapsed="false">
      <c r="A79" s="5" t="s">
        <v>100</v>
      </c>
      <c r="B79" s="5" t="n">
        <v>385.272491455078</v>
      </c>
      <c r="C79" s="5" t="n">
        <f aca="false">IF(OR(B79="",B78=""),"",LN(B79/B78)*100)</f>
        <v>-1.7165238214155</v>
      </c>
      <c r="D79" s="5" t="n">
        <f aca="false">IF(COUNT($C77:$C79)&lt;3,"",STDEV($C77:$C79))</f>
        <v>0.715048567186571</v>
      </c>
      <c r="E79" s="5" t="n">
        <f aca="false">IF(COUNT($C68:$C79)&lt;12,"",STDEV($C68:$C79))</f>
        <v>1.36080163306982</v>
      </c>
    </row>
    <row r="80" customFormat="false" ht="15" hidden="false" customHeight="false" outlineLevel="0" collapsed="false">
      <c r="A80" s="5" t="s">
        <v>101</v>
      </c>
      <c r="B80" s="5" t="n">
        <v>383.586364746094</v>
      </c>
      <c r="C80" s="5" t="n">
        <f aca="false">IF(OR(B80="",B79=""),"",LN(B80/B79)*100)</f>
        <v>-0.43860570726479</v>
      </c>
      <c r="D80" s="5" t="n">
        <f aca="false">IF(COUNT($C78:$C80)&lt;3,"",STDEV($C78:$C80))</f>
        <v>0.77883479997298</v>
      </c>
      <c r="E80" s="5" t="n">
        <f aca="false">IF(COUNT($C69:$C80)&lt;12,"",STDEV($C69:$C80))</f>
        <v>1.36333165813187</v>
      </c>
    </row>
    <row r="81" customFormat="false" ht="15" hidden="false" customHeight="false" outlineLevel="0" collapsed="false">
      <c r="A81" s="5" t="s">
        <v>102</v>
      </c>
      <c r="B81" s="5" t="n">
        <v>387.471435546875</v>
      </c>
      <c r="C81" s="5" t="n">
        <f aca="false">IF(OR(B81="",B80=""),"",LN(B81/B80)*100)</f>
        <v>1.0077334481346</v>
      </c>
      <c r="D81" s="5" t="n">
        <f aca="false">IF(COUNT($C79:$C81)&lt;3,"",STDEV($C79:$C81))</f>
        <v>1.36299604606986</v>
      </c>
      <c r="E81" s="5" t="n">
        <f aca="false">IF(COUNT($C70:$C81)&lt;12,"",STDEV($C70:$C81))</f>
        <v>1.38118595559472</v>
      </c>
    </row>
    <row r="82" customFormat="false" ht="15" hidden="false" customHeight="false" outlineLevel="0" collapsed="false">
      <c r="A82" s="5" t="s">
        <v>103</v>
      </c>
      <c r="B82" s="5" t="n">
        <v>382.964996337891</v>
      </c>
      <c r="C82" s="5" t="n">
        <f aca="false">IF(OR(B82="",B81=""),"",LN(B82/B81)*100)</f>
        <v>-1.1698539728232</v>
      </c>
      <c r="D82" s="5" t="n">
        <f aca="false">IF(COUNT($C80:$C82)&lt;3,"",STDEV($C80:$C82))</f>
        <v>1.10818981182807</v>
      </c>
      <c r="E82" s="5" t="n">
        <f aca="false">IF(COUNT($C71:$C82)&lt;12,"",STDEV($C71:$C82))</f>
        <v>1.42754606910611</v>
      </c>
    </row>
    <row r="83" customFormat="false" ht="15" hidden="false" customHeight="false" outlineLevel="0" collapsed="false">
      <c r="A83" s="5" t="s">
        <v>104</v>
      </c>
      <c r="B83" s="5" t="n">
        <v>381.072723388672</v>
      </c>
      <c r="C83" s="5" t="n">
        <f aca="false">IF(OR(B83="",B82=""),"",LN(B83/B82)*100)</f>
        <v>-0.495335968210093</v>
      </c>
      <c r="D83" s="5" t="n">
        <f aca="false">IF(COUNT($C81:$C83)&lt;3,"",STDEV($C81:$C83))</f>
        <v>1.11475551765186</v>
      </c>
      <c r="E83" s="5" t="n">
        <f aca="false">IF(COUNT($C72:$C83)&lt;12,"",STDEV($C72:$C83))</f>
        <v>1.43458050359506</v>
      </c>
    </row>
    <row r="84" customFormat="false" ht="15" hidden="false" customHeight="false" outlineLevel="0" collapsed="false">
      <c r="A84" s="5" t="s">
        <v>105</v>
      </c>
      <c r="B84" s="5" t="n">
        <v>378.516662597656</v>
      </c>
      <c r="C84" s="5" t="n">
        <f aca="false">IF(OR(B84="",B83=""),"",LN(B84/B83)*100)</f>
        <v>-0.673013732465595</v>
      </c>
      <c r="D84" s="5" t="n">
        <f aca="false">IF(COUNT($C82:$C84)&lt;3,"",STDEV($C82:$C84))</f>
        <v>0.349617445907353</v>
      </c>
      <c r="E84" s="5" t="n">
        <f aca="false">IF(COUNT($C73:$C84)&lt;12,"",STDEV($C73:$C84))</f>
        <v>1.42577597279315</v>
      </c>
    </row>
    <row r="85" customFormat="false" ht="15" hidden="false" customHeight="false" outlineLevel="0" collapsed="false">
      <c r="A85" s="5" t="s">
        <v>106</v>
      </c>
      <c r="B85" s="5" t="n">
        <v>368.977661132813</v>
      </c>
      <c r="C85" s="5" t="n">
        <f aca="false">IF(OR(B85="",B84=""),"",LN(B85/B84)*100)</f>
        <v>-2.55239913511018</v>
      </c>
      <c r="D85" s="5" t="n">
        <f aca="false">IF(COUNT($C83:$C85)&lt;3,"",STDEV($C83:$C85))</f>
        <v>1.13982219024149</v>
      </c>
      <c r="E85" s="5" t="n">
        <f aca="false">IF(COUNT($C74:$C85)&lt;12,"",STDEV($C74:$C85))</f>
        <v>1.56438777076253</v>
      </c>
    </row>
    <row r="86" customFormat="false" ht="15" hidden="false" customHeight="false" outlineLevel="0" collapsed="false">
      <c r="A86" s="5" t="s">
        <v>107</v>
      </c>
      <c r="B86" s="5" t="n">
        <v>355.200012207031</v>
      </c>
      <c r="C86" s="5" t="n">
        <f aca="false">IF(OR(B86="",B85=""),"",LN(B86/B85)*100)</f>
        <v>-3.805505778785</v>
      </c>
      <c r="D86" s="5" t="n">
        <f aca="false">IF(COUNT($C84:$C86)&lt;3,"",STDEV($C84:$C86))</f>
        <v>1.5766458158778</v>
      </c>
      <c r="E86" s="5" t="n">
        <f aca="false">IF(COUNT($C75:$C86)&lt;12,"",STDEV($C75:$C86))</f>
        <v>1.39881080261745</v>
      </c>
    </row>
    <row r="87" customFormat="false" ht="15" hidden="false" customHeight="false" outlineLevel="0" collapsed="false">
      <c r="A87" s="5" t="s">
        <v>108</v>
      </c>
      <c r="B87" s="5" t="n">
        <v>346.713195800781</v>
      </c>
      <c r="C87" s="5" t="n">
        <f aca="false">IF(OR(B87="",B86=""),"",LN(B87/B86)*100)</f>
        <v>-2.4183132367766</v>
      </c>
      <c r="D87" s="5" t="n">
        <f aca="false">IF(COUNT($C85:$C87)&lt;3,"",STDEV($C85:$C87))</f>
        <v>0.765131626710682</v>
      </c>
      <c r="E87" s="5" t="n">
        <f aca="false">IF(COUNT($C76:$C87)&lt;12,"",STDEV($C76:$C87))</f>
        <v>1.2851570973992</v>
      </c>
    </row>
    <row r="88" customFormat="false" ht="15" hidden="false" customHeight="false" outlineLevel="0" collapsed="false">
      <c r="A88" s="5" t="s">
        <v>109</v>
      </c>
      <c r="B88" s="5" t="n">
        <v>351.805267333984</v>
      </c>
      <c r="C88" s="5" t="n">
        <f aca="false">IF(OR(B88="",B87=""),"",LN(B88/B87)*100)</f>
        <v>1.45798915985968</v>
      </c>
      <c r="D88" s="5" t="n">
        <f aca="false">IF(COUNT($C86:$C88)&lt;3,"",STDEV($C86:$C88))</f>
        <v>2.72807631821124</v>
      </c>
      <c r="E88" s="5" t="n">
        <f aca="false">IF(COUNT($C77:$C88)&lt;12,"",STDEV($C77:$C88))</f>
        <v>1.4802494793432</v>
      </c>
    </row>
    <row r="89" customFormat="false" ht="15" hidden="false" customHeight="false" outlineLevel="0" collapsed="false">
      <c r="A89" s="5" t="s">
        <v>110</v>
      </c>
      <c r="B89" s="5" t="n">
        <v>344.583343505859</v>
      </c>
      <c r="C89" s="5" t="n">
        <f aca="false">IF(OR(B89="",B88=""),"",LN(B89/B88)*100)</f>
        <v>-2.07418175244604</v>
      </c>
      <c r="D89" s="5" t="n">
        <f aca="false">IF(COUNT($C87:$C89)&lt;3,"",STDEV($C87:$C89))</f>
        <v>2.14555269112702</v>
      </c>
      <c r="E89" s="5" t="n">
        <f aca="false">IF(COUNT($C78:$C89)&lt;12,"",STDEV($C78:$C89))</f>
        <v>1.51064255783824</v>
      </c>
    </row>
    <row r="90" customFormat="false" ht="15" hidden="false" customHeight="false" outlineLevel="0" collapsed="false">
      <c r="A90" s="5" t="s">
        <v>111</v>
      </c>
      <c r="B90" s="5" t="n">
        <v>343.702789306641</v>
      </c>
      <c r="C90" s="5" t="n">
        <f aca="false">IF(OR(B90="",B89=""),"",LN(B90/B89)*100)</f>
        <v>-0.255868784113634</v>
      </c>
      <c r="D90" s="5" t="n">
        <f aca="false">IF(COUNT($C88:$C90)&lt;3,"",STDEV($C88:$C90))</f>
        <v>1.76634285350008</v>
      </c>
      <c r="E90" s="5" t="n">
        <f aca="false">IF(COUNT($C79:$C90)&lt;12,"",STDEV($C79:$C90))</f>
        <v>1.51311256953657</v>
      </c>
    </row>
    <row r="91" customFormat="false" ht="15" hidden="false" customHeight="false" outlineLevel="0" collapsed="false">
      <c r="A91" s="5" t="s">
        <v>112</v>
      </c>
      <c r="B91" s="5" t="n">
        <v>340.476318359375</v>
      </c>
      <c r="C91" s="5" t="n">
        <f aca="false">IF(OR(B91="",B90=""),"",LN(B91/B90)*100)</f>
        <v>-0.943172578436849</v>
      </c>
      <c r="D91" s="5" t="n">
        <f aca="false">IF(COUNT($C89:$C91)&lt;3,"",STDEV($C89:$C91))</f>
        <v>0.918134912761543</v>
      </c>
      <c r="E91" s="5" t="n">
        <f aca="false">IF(COUNT($C80:$C91)&lt;12,"",STDEV($C80:$C91))</f>
        <v>1.50062827987695</v>
      </c>
    </row>
    <row r="92" customFormat="false" ht="15" hidden="false" customHeight="false" outlineLevel="0" collapsed="false">
      <c r="A92" s="5" t="s">
        <v>113</v>
      </c>
      <c r="B92" s="5" t="n">
        <v>324.088623046875</v>
      </c>
      <c r="C92" s="5" t="n">
        <f aca="false">IF(OR(B92="",B91=""),"",LN(B92/B91)*100)</f>
        <v>-4.93285672526802</v>
      </c>
      <c r="D92" s="5" t="n">
        <f aca="false">IF(COUNT($C90:$C92)&lt;3,"",STDEV($C90:$C92))</f>
        <v>2.52534427682216</v>
      </c>
      <c r="E92" s="5" t="n">
        <f aca="false">IF(COUNT($C81:$C92)&lt;12,"",STDEV($C81:$C92))</f>
        <v>1.8578994601897</v>
      </c>
    </row>
    <row r="93" customFormat="false" ht="15" hidden="false" customHeight="false" outlineLevel="0" collapsed="false">
      <c r="A93" s="5" t="s">
        <v>114</v>
      </c>
      <c r="B93" s="5" t="n">
        <v>324.049987792969</v>
      </c>
      <c r="C93" s="5" t="n">
        <f aca="false">IF(OR(B93="",B92=""),"",LN(B93/B92)*100)</f>
        <v>-0.0119219109325181</v>
      </c>
      <c r="D93" s="5" t="n">
        <f aca="false">IF(COUNT($C91:$C93)&lt;3,"",STDEV($C91:$C93))</f>
        <v>2.61407749324507</v>
      </c>
      <c r="E93" s="5" t="n">
        <f aca="false">IF(COUNT($C82:$C93)&lt;12,"",STDEV($C82:$C93))</f>
        <v>1.75818408788911</v>
      </c>
    </row>
    <row r="94" customFormat="false" ht="15" hidden="false" customHeight="false" outlineLevel="0" collapsed="false">
      <c r="A94" s="5" t="s">
        <v>115</v>
      </c>
      <c r="B94" s="5" t="n">
        <v>324.476196289063</v>
      </c>
      <c r="C94" s="5" t="n">
        <f aca="false">IF(OR(B94="",B93=""),"",LN(B94/B93)*100)</f>
        <v>0.131439120860782</v>
      </c>
      <c r="D94" s="5" t="n">
        <f aca="false">IF(COUNT($C92:$C94)&lt;3,"",STDEV($C92:$C94))</f>
        <v>2.88337892785223</v>
      </c>
      <c r="E94" s="5" t="n">
        <f aca="false">IF(COUNT($C83:$C94)&lt;12,"",STDEV($C83:$C94))</f>
        <v>1.81878018015145</v>
      </c>
    </row>
    <row r="95" customFormat="false" ht="15" hidden="false" customHeight="false" outlineLevel="0" collapsed="false">
      <c r="A95" s="5" t="s">
        <v>116</v>
      </c>
      <c r="B95" s="5" t="n">
        <v>323.883331298828</v>
      </c>
      <c r="C95" s="5" t="n">
        <f aca="false">IF(OR(B95="",B94=""),"",LN(B95/B94)*100)</f>
        <v>-0.182881605112033</v>
      </c>
      <c r="D95" s="5" t="n">
        <f aca="false">IF(COUNT($C93:$C95)&lt;3,"",STDEV($C93:$C95))</f>
        <v>0.157362173158434</v>
      </c>
      <c r="E95" s="5" t="n">
        <f aca="false">IF(COUNT($C84:$C95)&lt;12,"",STDEV($C84:$C95))</f>
        <v>1.83477978571793</v>
      </c>
    </row>
    <row r="96" customFormat="false" ht="15" hidden="false" customHeight="false" outlineLevel="0" collapsed="false">
      <c r="A96" s="5" t="s">
        <v>117</v>
      </c>
      <c r="B96" s="5" t="n">
        <v>305.346160888672</v>
      </c>
      <c r="C96" s="5" t="n">
        <f aca="false">IF(OR(B96="",B95=""),"",LN(B96/B95)*100)</f>
        <v>-5.8937275593325</v>
      </c>
      <c r="D96" s="5" t="n">
        <f aca="false">IF(COUNT($C94:$C96)&lt;3,"",STDEV($C94:$C96))</f>
        <v>3.39153830770355</v>
      </c>
      <c r="E96" s="5" t="n">
        <f aca="false">IF(COUNT($C85:$C96)&lt;12,"",STDEV($C85:$C96))</f>
        <v>2.23390423136374</v>
      </c>
    </row>
    <row r="97" customFormat="false" ht="15" hidden="false" customHeight="false" outlineLevel="0" collapsed="false">
      <c r="A97" s="5" t="s">
        <v>118</v>
      </c>
      <c r="B97" s="5" t="n">
        <v>287.619995117188</v>
      </c>
      <c r="C97" s="5" t="n">
        <f aca="false">IF(OR(B97="",B96=""),"",LN(B97/B96)*100)</f>
        <v>-5.9805939286053</v>
      </c>
      <c r="D97" s="5" t="n">
        <f aca="false">IF(COUNT($C95:$C97)&lt;3,"",STDEV($C95:$C97))</f>
        <v>3.32251850922692</v>
      </c>
      <c r="E97" s="5" t="n">
        <f aca="false">IF(COUNT($C86:$C97)&lt;12,"",STDEV($C86:$C97))</f>
        <v>2.53866925246831</v>
      </c>
    </row>
    <row r="98" customFormat="false" ht="15" hidden="false" customHeight="false" outlineLevel="0" collapsed="false">
      <c r="A98" s="5" t="s">
        <v>119</v>
      </c>
      <c r="B98" s="5" t="n">
        <v>289.5</v>
      </c>
      <c r="C98" s="5" t="n">
        <f aca="false">IF(OR(B98="",B97=""),"",LN(B98/B97)*100)</f>
        <v>0.651514953142455</v>
      </c>
      <c r="D98" s="5" t="n">
        <f aca="false">IF(COUNT($C96:$C98)&lt;3,"",STDEV($C96:$C98))</f>
        <v>3.80422163594993</v>
      </c>
      <c r="E98" s="5" t="n">
        <f aca="false">IF(COUNT($C87:$C98)&lt;12,"",STDEV($C87:$C98))</f>
        <v>2.58815833631892</v>
      </c>
    </row>
    <row r="99" customFormat="false" ht="15" hidden="false" customHeight="false" outlineLevel="0" collapsed="false">
      <c r="A99" s="5" t="s">
        <v>120</v>
      </c>
      <c r="B99" s="5" t="n">
        <v>297.455261230469</v>
      </c>
      <c r="C99" s="5" t="n">
        <f aca="false">IF(OR(B99="",B98=""),"",LN(B99/B98)*100)</f>
        <v>2.71085342454731</v>
      </c>
      <c r="D99" s="5" t="n">
        <f aca="false">IF(COUNT($C97:$C99)&lt;3,"",STDEV($C97:$C99))</f>
        <v>4.5417874647872</v>
      </c>
      <c r="E99" s="5" t="n">
        <f aca="false">IF(COUNT($C88:$C99)&lt;12,"",STDEV($C88:$C99))</f>
        <v>2.86794882320973</v>
      </c>
    </row>
    <row r="100" customFormat="false" ht="15" hidden="false" customHeight="false" outlineLevel="0" collapsed="false">
      <c r="A100" s="5" t="s">
        <v>121</v>
      </c>
      <c r="B100" s="5" t="n">
        <v>295.954559326172</v>
      </c>
      <c r="C100" s="5" t="n">
        <f aca="false">IF(OR(B100="",B99=""),"",LN(B100/B99)*100)</f>
        <v>-0.505790450917729</v>
      </c>
      <c r="D100" s="5" t="n">
        <f aca="false">IF(COUNT($C98:$C100)&lt;3,"",STDEV($C98:$C100))</f>
        <v>1.62926509811642</v>
      </c>
      <c r="E100" s="5" t="n">
        <f aca="false">IF(COUNT($C89:$C100)&lt;12,"",STDEV($C89:$C100))</f>
        <v>2.75136095157253</v>
      </c>
    </row>
    <row r="101" customFormat="false" ht="15" hidden="false" customHeight="false" outlineLevel="0" collapsed="false">
      <c r="A101" s="5" t="s">
        <v>122</v>
      </c>
      <c r="B101" s="5" t="n">
        <v>308.285003662109</v>
      </c>
      <c r="C101" s="5" t="n">
        <f aca="false">IF(OR(B101="",B100=""),"",LN(B101/B100)*100)</f>
        <v>4.08187649295606</v>
      </c>
      <c r="D101" s="5" t="n">
        <f aca="false">IF(COUNT($C99:$C101)&lt;3,"",STDEV($C99:$C101))</f>
        <v>2.35489525823648</v>
      </c>
      <c r="E101" s="5" t="n">
        <f aca="false">IF(COUNT($C90:$C101)&lt;12,"",STDEV($C90:$C101))</f>
        <v>3.16526716438943</v>
      </c>
    </row>
    <row r="102" customFormat="false" ht="15" hidden="false" customHeight="false" outlineLevel="0" collapsed="false">
      <c r="A102" s="5" t="s">
        <v>123</v>
      </c>
      <c r="B102" s="5" t="n">
        <v>298.978942871094</v>
      </c>
      <c r="C102" s="5" t="n">
        <f aca="false">IF(OR(B102="",B101=""),"",LN(B102/B101)*100)</f>
        <v>-3.06515459484771</v>
      </c>
      <c r="D102" s="5" t="n">
        <f aca="false">IF(COUNT($C100:$C102)&lt;3,"",STDEV($C100:$C102))</f>
        <v>3.62116662092896</v>
      </c>
      <c r="E102" s="5" t="n">
        <f aca="false">IF(COUNT($C91:$C102)&lt;12,"",STDEV($C91:$C102))</f>
        <v>3.21457411782749</v>
      </c>
    </row>
    <row r="103" customFormat="false" ht="15" hidden="false" customHeight="false" outlineLevel="0" collapsed="false">
      <c r="A103" s="5" t="s">
        <v>124</v>
      </c>
      <c r="B103" s="5" t="n">
        <v>292.538635253906</v>
      </c>
      <c r="C103" s="5" t="n">
        <f aca="false">IF(OR(B103="",B102=""),"",LN(B103/B102)*100)</f>
        <v>-2.17764014430102</v>
      </c>
      <c r="D103" s="5" t="n">
        <f aca="false">IF(COUNT($C101:$C103)&lt;3,"",STDEV($C101:$C103))</f>
        <v>3.89549491511372</v>
      </c>
      <c r="E103" s="5" t="n">
        <f aca="false">IF(COUNT($C92:$C103)&lt;12,"",STDEV($C92:$C103))</f>
        <v>3.22667488314908</v>
      </c>
    </row>
    <row r="104" customFormat="false" ht="15" hidden="false" customHeight="false" outlineLevel="0" collapsed="false">
      <c r="A104" s="5" t="s">
        <v>125</v>
      </c>
      <c r="B104" s="5" t="n">
        <v>292.752258300781</v>
      </c>
      <c r="C104" s="5" t="n">
        <f aca="false">IF(OR(B104="",B103=""),"",LN(B104/B103)*100)</f>
        <v>0.072997225384285</v>
      </c>
      <c r="D104" s="5" t="n">
        <f aca="false">IF(COUNT($C102:$C104)&lt;3,"",STDEV($C102:$C104))</f>
        <v>1.61766536076834</v>
      </c>
      <c r="E104" s="5" t="n">
        <f aca="false">IF(COUNT($C93:$C104)&lt;12,"",STDEV($C93:$C104))</f>
        <v>3.02670415910873</v>
      </c>
    </row>
    <row r="105" customFormat="false" ht="15" hidden="false" customHeight="false" outlineLevel="0" collapsed="false">
      <c r="A105" s="5" t="s">
        <v>126</v>
      </c>
      <c r="B105" s="5" t="n">
        <v>284.109985351563</v>
      </c>
      <c r="C105" s="5" t="n">
        <f aca="false">IF(OR(B105="",B104=""),"",LN(B105/B104)*100)</f>
        <v>-2.99652809859844</v>
      </c>
      <c r="D105" s="5" t="n">
        <f aca="false">IF(COUNT($C103:$C105)&lt;3,"",STDEV($C103:$C105))</f>
        <v>1.58944076989826</v>
      </c>
      <c r="E105" s="5" t="n">
        <f aca="false">IF(COUNT($C94:$C105)&lt;12,"",STDEV($C94:$C105))</f>
        <v>3.07406467576881</v>
      </c>
    </row>
    <row r="106" customFormat="false" ht="15" hidden="false" customHeight="false" outlineLevel="0" collapsed="false">
      <c r="A106" s="5" t="s">
        <v>127</v>
      </c>
      <c r="B106" s="5" t="n">
        <v>288.981811523438</v>
      </c>
      <c r="C106" s="5" t="n">
        <f aca="false">IF(OR(B106="",B105=""),"",LN(B106/B105)*100)</f>
        <v>1.70023146715485</v>
      </c>
      <c r="D106" s="5" t="n">
        <f aca="false">IF(COUNT($C104:$C106)&lt;3,"",STDEV($C104:$C106))</f>
        <v>2.38500270477334</v>
      </c>
      <c r="E106" s="5" t="n">
        <f aca="false">IF(COUNT($C95:$C106)&lt;12,"",STDEV($C95:$C106))</f>
        <v>3.16308607430744</v>
      </c>
    </row>
    <row r="107" customFormat="false" ht="15" hidden="false" customHeight="false" outlineLevel="0" collapsed="false">
      <c r="A107" s="5" t="s">
        <v>128</v>
      </c>
      <c r="B107" s="5" t="n">
        <v>295.714996337891</v>
      </c>
      <c r="C107" s="5" t="n">
        <f aca="false">IF(OR(B107="",B106=""),"",LN(B107/B106)*100)</f>
        <v>2.30323900493817</v>
      </c>
      <c r="D107" s="5" t="n">
        <f aca="false">IF(COUNT($C105:$C107)&lt;3,"",STDEV($C105:$C107))</f>
        <v>2.90145652678235</v>
      </c>
      <c r="E107" s="5" t="n">
        <f aca="false">IF(COUNT($C96:$C107)&lt;12,"",STDEV($C96:$C107))</f>
        <v>3.29755923496613</v>
      </c>
    </row>
    <row r="108" customFormat="false" ht="15" hidden="false" customHeight="false" outlineLevel="0" collapsed="false">
      <c r="A108" s="5" t="s">
        <v>129</v>
      </c>
      <c r="B108" s="5" t="n">
        <v>293.716674804688</v>
      </c>
      <c r="C108" s="5" t="n">
        <f aca="false">IF(OR(B108="",B107=""),"",LN(B108/B107)*100)</f>
        <v>-0.678052872689304</v>
      </c>
      <c r="D108" s="5" t="n">
        <f aca="false">IF(COUNT($C106:$C108)&lt;3,"",STDEV($C106:$C108))</f>
        <v>1.57628020729073</v>
      </c>
      <c r="E108" s="5" t="n">
        <f aca="false">IF(COUNT($C97:$C108)&lt;12,"",STDEV($C97:$C108))</f>
        <v>2.87590282727578</v>
      </c>
    </row>
    <row r="109" customFormat="false" ht="15" hidden="false" customHeight="false" outlineLevel="0" collapsed="false">
      <c r="A109" s="5" t="s">
        <v>130</v>
      </c>
      <c r="B109" s="5" t="n">
        <v>291.678955078125</v>
      </c>
      <c r="C109" s="5" t="n">
        <f aca="false">IF(OR(B109="",B108=""),"",LN(B109/B108)*100)</f>
        <v>-0.696188305089656</v>
      </c>
      <c r="D109" s="5" t="n">
        <f aca="false">IF(COUNT($C107:$C109)&lt;3,"",STDEV($C107:$C109))</f>
        <v>1.72650872869966</v>
      </c>
      <c r="E109" s="5" t="n">
        <f aca="false">IF(COUNT($C98:$C109)&lt;12,"",STDEV($C98:$C109))</f>
        <v>2.27214389487461</v>
      </c>
    </row>
    <row r="110" customFormat="false" ht="15" hidden="false" customHeight="false" outlineLevel="0" collapsed="false">
      <c r="A110" s="5" t="s">
        <v>131</v>
      </c>
      <c r="B110" s="5" t="n">
        <v>286.9368286</v>
      </c>
      <c r="C110" s="5" t="n">
        <f aca="false">IF(OR(B110="",B109=""),"",LN(B110/B109)*100)</f>
        <v>-1.63916463740936</v>
      </c>
      <c r="D110" s="5" t="n">
        <f aca="false">IF(COUNT($C108:$C110)&lt;3,"",STDEV($C108:$C110))</f>
        <v>0.549737677064672</v>
      </c>
      <c r="E110" s="5" t="n">
        <f aca="false">IF(COUNT($C99:$C110)&lt;12,"",STDEV($C99:$C110))</f>
        <v>2.31887802601894</v>
      </c>
    </row>
    <row r="111" customFormat="false" ht="15" hidden="false" customHeight="false" outlineLevel="0" collapsed="false">
      <c r="A111" s="5" t="s">
        <v>132</v>
      </c>
      <c r="B111" s="5" t="n">
        <v>287.655</v>
      </c>
      <c r="C111" s="5" t="n">
        <f aca="false">IF(OR(B111="",B110=""),"",LN(B111/B110)*100)</f>
        <v>0.249976326926377</v>
      </c>
      <c r="D111" s="5" t="n">
        <f aca="false">IF(COUNT($C109:$C111)&lt;3,"",STDEV($C109:$C111))</f>
        <v>0.944570930575052</v>
      </c>
      <c r="E111" s="5" t="n">
        <f aca="false">IF(COUNT($C100:$C111)&lt;12,"",STDEV($C100:$C111))</f>
        <v>2.15308444038134</v>
      </c>
    </row>
    <row r="112" customFormat="false" ht="15" hidden="false" customHeight="false" outlineLevel="0" collapsed="false">
      <c r="A112" s="5" t="s">
        <v>133</v>
      </c>
      <c r="B112" s="5" t="n">
        <v>286.2136364</v>
      </c>
      <c r="C112" s="5" t="n">
        <f aca="false">IF(OR(B112="",B111=""),"",LN(B112/B111)*100)</f>
        <v>-0.502333300517367</v>
      </c>
      <c r="D112" s="5" t="n">
        <f aca="false">IF(COUNT($C110:$C112)&lt;3,"",STDEV($C110:$C112))</f>
        <v>0.95107034853856</v>
      </c>
      <c r="E112" s="5" t="n">
        <f aca="false">IF(COUNT($C101:$C112)&lt;12,"",STDEV($C101:$C112))</f>
        <v>2.15305159349666</v>
      </c>
    </row>
    <row r="113" customFormat="false" ht="15" hidden="false" customHeight="false" outlineLevel="0" collapsed="false">
      <c r="A113" s="5" t="s">
        <v>134</v>
      </c>
      <c r="B113" s="5" t="n">
        <v>282.6175</v>
      </c>
      <c r="C113" s="5" t="n">
        <f aca="false">IF(OR(B113="",B112=""),"",LN(B113/B112)*100)</f>
        <v>-1.26441190729532</v>
      </c>
      <c r="D113" s="5" t="n">
        <f aca="false">IF(COUNT($C111:$C113)&lt;3,"",STDEV($C111:$C113))</f>
        <v>0.757199368550789</v>
      </c>
      <c r="E113" s="5" t="n">
        <f aca="false">IF(COUNT($C102:$C113)&lt;12,"",STDEV($C102:$C113))</f>
        <v>1.66692305315259</v>
      </c>
    </row>
    <row r="114" customFormat="false" ht="15" hidden="false" customHeight="false" outlineLevel="0" collapsed="false">
      <c r="A114" s="5" t="s">
        <v>135</v>
      </c>
      <c r="B114" s="5" t="n">
        <v>276.91</v>
      </c>
      <c r="C114" s="5" t="n">
        <f aca="false">IF(OR(B114="",B113=""),"",LN(B114/B113)*100)</f>
        <v>-2.04018496700234</v>
      </c>
      <c r="D114" s="5" t="n">
        <f aca="false">IF(COUNT($C112:$C114)&lt;3,"",STDEV($C112:$C114))</f>
        <v>0.76893599551441</v>
      </c>
      <c r="E114" s="5" t="n">
        <f aca="false">IF(COUNT($C103:$C114)&lt;12,"",STDEV($C103:$C114))</f>
        <v>1.55883428153707</v>
      </c>
    </row>
    <row r="115" customFormat="false" ht="15" hidden="false" customHeight="false" outlineLevel="0" collapsed="false">
      <c r="A115" s="5" t="s">
        <v>136</v>
      </c>
      <c r="B115" s="5" t="n">
        <v>261.3136364</v>
      </c>
      <c r="C115" s="5" t="n">
        <f aca="false">IF(OR(B115="",B114=""),"",LN(B115/B114)*100)</f>
        <v>-5.79711857220378</v>
      </c>
      <c r="D115" s="5" t="n">
        <f aca="false">IF(COUNT($C113:$C115)&lt;3,"",STDEV($C113:$C115))</f>
        <v>2.42424571307464</v>
      </c>
      <c r="E115" s="5" t="n">
        <f aca="false">IF(COUNT($C104:$C115)&lt;12,"",STDEV($C104:$C115))</f>
        <v>2.12937520086771</v>
      </c>
    </row>
    <row r="116" customFormat="false" ht="15" hidden="false" customHeight="false" outlineLevel="0" collapsed="false">
      <c r="A116" s="5" t="s">
        <v>137</v>
      </c>
      <c r="B116" s="5" t="n">
        <v>256.6931818</v>
      </c>
      <c r="C116" s="5" t="n">
        <f aca="false">IF(OR(B116="",B115=""),"",LN(B116/B115)*100)</f>
        <v>-1.78398313651627</v>
      </c>
      <c r="D116" s="5" t="n">
        <f aca="false">IF(COUNT($C114:$C116)&lt;3,"",STDEV($C114:$C116))</f>
        <v>2.24668071893505</v>
      </c>
      <c r="E116" s="5" t="n">
        <f aca="false">IF(COUNT($C105:$C116)&lt;12,"",STDEV($C105:$C116))</f>
        <v>2.1164522739616</v>
      </c>
    </row>
    <row r="117" customFormat="false" ht="15" hidden="false" customHeight="false" outlineLevel="0" collapsed="false">
      <c r="A117" s="5" t="s">
        <v>138</v>
      </c>
      <c r="B117" s="5" t="n">
        <v>256.9052632</v>
      </c>
      <c r="C117" s="5" t="n">
        <f aca="false">IF(OR(B117="",B116=""),"",LN(B117/B116)*100)</f>
        <v>0.082586469690026</v>
      </c>
      <c r="D117" s="5" t="n">
        <f aca="false">IF(COUNT($C115:$C117)&lt;3,"",STDEV($C115:$C117))</f>
        <v>3.00444863215797</v>
      </c>
      <c r="E117" s="5" t="n">
        <f aca="false">IF(COUNT($C106:$C117)&lt;12,"",STDEV($C106:$C117))</f>
        <v>2.05063656413625</v>
      </c>
    </row>
    <row r="118" customFormat="false" ht="15" hidden="false" customHeight="false" outlineLevel="0" collapsed="false">
      <c r="A118" s="5" t="s">
        <v>139</v>
      </c>
      <c r="B118" s="5" t="n">
        <v>264.3108696</v>
      </c>
      <c r="C118" s="5" t="n">
        <f aca="false">IF(OR(B118="",B117=""),"",LN(B118/B117)*100)</f>
        <v>2.84185555026446</v>
      </c>
      <c r="D118" s="5" t="n">
        <f aca="false">IF(COUNT($C116:$C118)&lt;3,"",STDEV($C116:$C118))</f>
        <v>2.32723124155238</v>
      </c>
      <c r="E118" s="5" t="n">
        <f aca="false">IF(COUNT($C107:$C118)&lt;12,"",STDEV($C107:$C118))</f>
        <v>2.200167596541</v>
      </c>
    </row>
    <row r="119" customFormat="false" ht="15" hidden="false" customHeight="false" outlineLevel="0" collapsed="false">
      <c r="A119" s="5" t="s">
        <v>140</v>
      </c>
      <c r="B119" s="5" t="n">
        <v>310.7815789</v>
      </c>
      <c r="C119" s="5" t="n">
        <f aca="false">IF(OR(B119="",B118=""),"",LN(B119/B118)*100)</f>
        <v>16.1964400030657</v>
      </c>
      <c r="D119" s="5" t="n">
        <f aca="false">IF(COUNT($C117:$C119)&lt;3,"",STDEV($C117:$C119))</f>
        <v>8.61795381225631</v>
      </c>
      <c r="E119" s="5" t="n">
        <f aca="false">IF(COUNT($C108:$C119)&lt;12,"",STDEV($C108:$C119))</f>
        <v>5.34998807996276</v>
      </c>
    </row>
    <row r="120" customFormat="false" ht="15" hidden="false" customHeight="false" outlineLevel="0" collapsed="false">
      <c r="A120" s="5" t="s">
        <v>141</v>
      </c>
      <c r="B120" s="5" t="n">
        <v>293.1840909</v>
      </c>
      <c r="C120" s="5" t="n">
        <f aca="false">IF(OR(B120="",B119=""),"",LN(B120/B119)*100)</f>
        <v>-5.82896384800064</v>
      </c>
      <c r="D120" s="5" t="n">
        <f aca="false">IF(COUNT($C118:$C120)&lt;3,"",STDEV($C118:$C120))</f>
        <v>11.0953928107338</v>
      </c>
      <c r="E120" s="5" t="n">
        <f aca="false">IF(COUNT($C109:$C120)&lt;12,"",STDEV($C109:$C120))</f>
        <v>5.64413085690795</v>
      </c>
    </row>
    <row r="121" customFormat="false" ht="15" hidden="false" customHeight="false" outlineLevel="0" collapsed="false">
      <c r="A121" s="5" t="s">
        <v>142</v>
      </c>
      <c r="B121" s="5" t="n">
        <v>282.9526316</v>
      </c>
      <c r="C121" s="5" t="n">
        <f aca="false">IF(OR(B121="",B120=""),"",LN(B121/B120)*100)</f>
        <v>-3.55212041800086</v>
      </c>
      <c r="D121" s="5" t="n">
        <f aca="false">IF(COUNT($C119:$C121)&lt;3,"",STDEV($C119:$C121))</f>
        <v>12.1127210644555</v>
      </c>
      <c r="E121" s="5" t="n">
        <f aca="false">IF(COUNT($C110:$C121)&lt;12,"",STDEV($C110:$C121))</f>
        <v>5.73494188533462</v>
      </c>
    </row>
    <row r="122" customFormat="false" ht="15" hidden="false" customHeight="false" outlineLevel="0" collapsed="false">
      <c r="A122" s="5" t="s">
        <v>143</v>
      </c>
      <c r="B122" s="5" t="n">
        <v>284.065625</v>
      </c>
      <c r="C122" s="5" t="n">
        <f aca="false">IF(OR(B122="",B121=""),"",LN(B122/B121)*100)</f>
        <v>0.392578128297169</v>
      </c>
      <c r="D122" s="5" t="n">
        <f aca="false">IF(COUNT($C120:$C122)&lt;3,"",STDEV($C120:$C122))</f>
        <v>3.14781001091062</v>
      </c>
      <c r="E122" s="5" t="n">
        <f aca="false">IF(COUNT($C111:$C122)&lt;12,"",STDEV($C111:$C122))</f>
        <v>5.72027450768832</v>
      </c>
    </row>
    <row r="123" customFormat="false" ht="15" hidden="false" customHeight="false" outlineLevel="0" collapsed="false">
      <c r="A123" s="5" t="s">
        <v>144</v>
      </c>
      <c r="B123" s="5" t="n">
        <v>299.715</v>
      </c>
      <c r="C123" s="5" t="n">
        <f aca="false">IF(OR(B123="",B122=""),"",LN(B123/B122)*100)</f>
        <v>5.36267377088092</v>
      </c>
      <c r="D123" s="5" t="n">
        <f aca="false">IF(COUNT($C121:$C123)&lt;3,"",STDEV($C121:$C123))</f>
        <v>4.46721488080504</v>
      </c>
      <c r="E123" s="5" t="n">
        <f aca="false">IF(COUNT($C112:$C123)&lt;12,"",STDEV($C112:$C123))</f>
        <v>5.93381202327577</v>
      </c>
    </row>
    <row r="124" customFormat="false" ht="15" hidden="false" customHeight="false" outlineLevel="0" collapsed="false">
      <c r="A124" s="5" t="s">
        <v>145</v>
      </c>
      <c r="B124" s="5" t="n">
        <v>286.924</v>
      </c>
      <c r="C124" s="5" t="n">
        <f aca="false">IF(OR(B124="",B123=""),"",LN(B124/B123)*100)</f>
        <v>-4.36146507908793</v>
      </c>
      <c r="D124" s="5" t="n">
        <f aca="false">IF(COUNT($C122:$C124)&lt;3,"",STDEV($C122:$C124))</f>
        <v>4.8624694324247</v>
      </c>
      <c r="E124" s="5" t="n">
        <f aca="false">IF(COUNT($C113:$C124)&lt;12,"",STDEV($C113:$C124))</f>
        <v>6.0863627561043</v>
      </c>
    </row>
    <row r="125" customFormat="false" ht="15" hidden="false" customHeight="false" outlineLevel="0" collapsed="false">
      <c r="A125" s="5" t="s">
        <v>146</v>
      </c>
      <c r="B125" s="5" t="n">
        <v>279.6526316</v>
      </c>
      <c r="C125" s="5" t="n">
        <f aca="false">IF(OR(B125="",B124=""),"",LN(B125/B124)*100)</f>
        <v>-2.56691407716598</v>
      </c>
      <c r="D125" s="5" t="n">
        <f aca="false">IF(COUNT($C123:$C125)&lt;3,"",STDEV($C123:$C125))</f>
        <v>5.17457974319116</v>
      </c>
      <c r="E125" s="5" t="n">
        <f aca="false">IF(COUNT($C114:$C125)&lt;12,"",STDEV($C114:$C125))</f>
        <v>6.12286826734397</v>
      </c>
    </row>
    <row r="126" customFormat="false" ht="15" hidden="false" customHeight="false" outlineLevel="0" collapsed="false">
      <c r="A126" s="5" t="s">
        <v>147</v>
      </c>
      <c r="B126" s="5" t="n">
        <v>276.7409091</v>
      </c>
      <c r="C126" s="5" t="n">
        <f aca="false">IF(OR(B126="",B125=""),"",LN(B126/B125)*100)</f>
        <v>-1.04665092889411</v>
      </c>
      <c r="D126" s="5" t="n">
        <f aca="false">IF(COUNT($C124:$C126)&lt;3,"",STDEV($C124:$C126))</f>
        <v>1.659297350729</v>
      </c>
      <c r="E126" s="5" t="n">
        <f aca="false">IF(COUNT($C115:$C126)&lt;12,"",STDEV($C115:$C126))</f>
        <v>6.10074638627896</v>
      </c>
    </row>
    <row r="127" customFormat="false" ht="15" hidden="false" customHeight="false" outlineLevel="0" collapsed="false">
      <c r="A127" s="5" t="s">
        <v>148</v>
      </c>
      <c r="B127" s="5" t="n">
        <v>285.7318182</v>
      </c>
      <c r="C127" s="5" t="n">
        <f aca="false">IF(OR(B127="",B126=""),"",LN(B127/B126)*100)</f>
        <v>3.19719500353687</v>
      </c>
      <c r="D127" s="5" t="n">
        <f aca="false">IF(COUNT($C125:$C127)&lt;3,"",STDEV($C125:$C127))</f>
        <v>2.98737292149378</v>
      </c>
      <c r="E127" s="5" t="n">
        <f aca="false">IF(COUNT($C116:$C127)&lt;12,"",STDEV($C116:$C127))</f>
        <v>5.87270833893031</v>
      </c>
    </row>
    <row r="128" customFormat="false" ht="15" hidden="false" customHeight="false" outlineLevel="0" collapsed="false">
      <c r="A128" s="5" t="s">
        <v>149</v>
      </c>
      <c r="B128" s="5" t="n">
        <v>281.5857143</v>
      </c>
      <c r="C128" s="5" t="n">
        <f aca="false">IF(OR(B128="",B127=""),"",LN(B128/B127)*100)</f>
        <v>-1.46167797757907</v>
      </c>
      <c r="D128" s="5" t="n">
        <f aca="false">IF(COUNT($C126:$C128)&lt;3,"",STDEV($C126:$C128))</f>
        <v>2.57835778495807</v>
      </c>
      <c r="E128" s="5" t="n">
        <f aca="false">IF(COUNT($C117:$C128)&lt;12,"",STDEV($C117:$C128))</f>
        <v>5.86081839181305</v>
      </c>
    </row>
    <row r="129" customFormat="false" ht="15" hidden="false" customHeight="false" outlineLevel="0" collapsed="false">
      <c r="A129" s="5" t="s">
        <v>150</v>
      </c>
      <c r="B129" s="5" t="n">
        <v>274.425</v>
      </c>
      <c r="C129" s="5" t="n">
        <f aca="false">IF(OR(B129="",B128=""),"",LN(B129/B128)*100)</f>
        <v>-2.57588929549234</v>
      </c>
      <c r="D129" s="5" t="n">
        <f aca="false">IF(COUNT($C127:$C129)&lt;3,"",STDEV($C127:$C129))</f>
        <v>3.06254432998762</v>
      </c>
      <c r="E129" s="5" t="n">
        <f aca="false">IF(COUNT($C118:$C129)&lt;12,"",STDEV($C118:$C129))</f>
        <v>5.93894296087344</v>
      </c>
    </row>
    <row r="130" customFormat="false" ht="15" hidden="false" customHeight="false" outlineLevel="0" collapsed="false">
      <c r="A130" s="5" t="s">
        <v>151</v>
      </c>
      <c r="B130" s="5" t="n">
        <v>273.53</v>
      </c>
      <c r="C130" s="5" t="n">
        <f aca="false">IF(OR(B130="",B129=""),"",LN(B130/B129)*100)</f>
        <v>-0.326669451287245</v>
      </c>
      <c r="D130" s="5" t="n">
        <f aca="false">IF(COUNT($C128:$C130)&lt;3,"",STDEV($C128:$C130))</f>
        <v>1.12462594694763</v>
      </c>
      <c r="E130" s="5" t="n">
        <f aca="false">IF(COUNT($C119:$C130)&lt;12,"",STDEV($C119:$C130))</f>
        <v>5.89806782321256</v>
      </c>
    </row>
    <row r="131" customFormat="false" ht="15" hidden="false" customHeight="false" outlineLevel="0" collapsed="false">
      <c r="A131" s="5" t="s">
        <v>152</v>
      </c>
      <c r="B131" s="5" t="n">
        <v>269.9285714</v>
      </c>
      <c r="C131" s="5" t="n">
        <f aca="false">IF(OR(B131="",B130=""),"",LN(B131/B130)*100)</f>
        <v>-1.32539314321256</v>
      </c>
      <c r="D131" s="5" t="n">
        <f aca="false">IF(COUNT($C129:$C131)&lt;3,"",STDEV($C129:$C131))</f>
        <v>1.12695604374834</v>
      </c>
      <c r="E131" s="5" t="n">
        <f aca="false">IF(COUNT($C120:$C131)&lt;12,"",STDEV($C120:$C131))</f>
        <v>3.11184046373389</v>
      </c>
    </row>
    <row r="132" customFormat="false" ht="15" hidden="false" customHeight="false" outlineLevel="0" collapsed="false">
      <c r="A132" s="5" t="s">
        <v>153</v>
      </c>
      <c r="B132" s="5" t="n">
        <v>266.2973684</v>
      </c>
      <c r="C132" s="5" t="n">
        <f aca="false">IF(OR(B132="",B131=""),"",LN(B132/B131)*100)</f>
        <v>-1.35437629451948</v>
      </c>
      <c r="D132" s="5" t="n">
        <f aca="false">IF(COUNT($C130:$C132)&lt;3,"",STDEV($C130:$C132))</f>
        <v>0.585159578163508</v>
      </c>
      <c r="E132" s="5" t="n">
        <f aca="false">IF(COUNT($C121:$C132)&lt;12,"",STDEV($C121:$C132))</f>
        <v>2.7505101186382</v>
      </c>
    </row>
    <row r="133" customFormat="false" ht="15" hidden="false" customHeight="false" outlineLevel="0" collapsed="false">
      <c r="A133" s="5" t="s">
        <v>154</v>
      </c>
      <c r="B133" s="5" t="n">
        <v>271.45</v>
      </c>
      <c r="C133" s="5" t="n">
        <f aca="false">IF(OR(B133="",B132=""),"",LN(B133/B132)*100)</f>
        <v>1.91643496682725</v>
      </c>
      <c r="D133" s="5" t="n">
        <f aca="false">IF(COUNT($C131:$C133)&lt;3,"",STDEV($C131:$C133))</f>
        <v>1.88009289776935</v>
      </c>
      <c r="E133" s="5" t="n">
        <f aca="false">IF(COUNT($C122:$C133)&lt;12,"",STDEV($C122:$C133))</f>
        <v>2.70602321827409</v>
      </c>
    </row>
    <row r="134" customFormat="false" ht="15" hidden="false" customHeight="false" outlineLevel="0" collapsed="false">
      <c r="A134" s="5" t="s">
        <v>155</v>
      </c>
      <c r="B134" s="5" t="n">
        <v>265.4863636</v>
      </c>
      <c r="C134" s="5" t="n">
        <f aca="false">IF(OR(B134="",B133=""),"",LN(B134/B133)*100)</f>
        <v>-2.22144821937714</v>
      </c>
      <c r="D134" s="5" t="n">
        <f aca="false">IF(COUNT($C132:$C134)&lt;3,"",STDEV($C132:$C134))</f>
        <v>2.18220443943359</v>
      </c>
      <c r="E134" s="5" t="n">
        <f aca="false">IF(COUNT($C123:$C134)&lt;12,"",STDEV($C123:$C134))</f>
        <v>2.7460941333302</v>
      </c>
    </row>
    <row r="135" customFormat="false" ht="15" hidden="false" customHeight="false" outlineLevel="0" collapsed="false">
      <c r="A135" s="5" t="s">
        <v>156</v>
      </c>
      <c r="B135" s="5" t="n">
        <v>262.0894737</v>
      </c>
      <c r="C135" s="5" t="n">
        <f aca="false">IF(OR(B135="",B134=""),"",LN(B135/B134)*100)</f>
        <v>-1.28775300236011</v>
      </c>
      <c r="D135" s="5" t="n">
        <f aca="false">IF(COUNT($C133:$C135)&lt;3,"",STDEV($C133:$C135))</f>
        <v>2.17027972708737</v>
      </c>
      <c r="E135" s="5" t="n">
        <f aca="false">IF(COUNT($C124:$C135)&lt;12,"",STDEV($C124:$C135))</f>
        <v>2.0151307480187</v>
      </c>
    </row>
    <row r="136" customFormat="false" ht="15" hidden="false" customHeight="false" outlineLevel="0" collapsed="false">
      <c r="A136" s="5" t="s">
        <v>157</v>
      </c>
      <c r="B136" s="5" t="n">
        <v>263.0272727</v>
      </c>
      <c r="C136" s="5" t="n">
        <f aca="false">IF(OR(B136="",B135=""),"",LN(B136/B135)*100)</f>
        <v>0.357177714644906</v>
      </c>
      <c r="D136" s="5" t="n">
        <f aca="false">IF(COUNT($C134:$C136)&lt;3,"",STDEV($C134:$C136))</f>
        <v>1.30555834349639</v>
      </c>
      <c r="E136" s="5" t="n">
        <f aca="false">IF(COUNT($C125:$C136)&lt;12,"",STDEV($C125:$C136))</f>
        <v>1.77015135153859</v>
      </c>
    </row>
    <row r="137" customFormat="false" ht="15" hidden="false" customHeight="false" outlineLevel="0" collapsed="false">
      <c r="A137" s="5" t="s">
        <v>158</v>
      </c>
      <c r="B137" s="5" t="n">
        <v>260.3305556</v>
      </c>
      <c r="C137" s="5" t="n">
        <f aca="false">IF(OR(B137="",B136=""),"",LN(B137/B136)*100)</f>
        <v>-1.03055340762553</v>
      </c>
      <c r="D137" s="5" t="n">
        <f aca="false">IF(COUNT($C135:$C137)&lt;3,"",STDEV($C135:$C137))</f>
        <v>0.884848985514498</v>
      </c>
      <c r="E137" s="5" t="n">
        <f aca="false">IF(COUNT($C126:$C137)&lt;12,"",STDEV($C126:$C137))</f>
        <v>1.67795263986098</v>
      </c>
    </row>
    <row r="138" customFormat="false" ht="15" hidden="false" customHeight="false" outlineLevel="0" collapsed="false">
      <c r="A138" s="5" t="s">
        <v>159</v>
      </c>
      <c r="B138" s="5" t="n">
        <v>272.0931818</v>
      </c>
      <c r="C138" s="5" t="n">
        <f aca="false">IF(OR(B138="",B137=""),"",LN(B138/B137)*100)</f>
        <v>4.4192396571595</v>
      </c>
      <c r="D138" s="5" t="n">
        <f aca="false">IF(COUNT($C136:$C138)&lt;3,"",STDEV($C136:$C138))</f>
        <v>2.83214845837109</v>
      </c>
      <c r="E138" s="5" t="n">
        <f aca="false">IF(COUNT($C127:$C138)&lt;12,"",STDEV($C127:$C138))</f>
        <v>2.20407849327001</v>
      </c>
    </row>
    <row r="139" customFormat="false" ht="15" hidden="false" customHeight="false" outlineLevel="0" collapsed="false">
      <c r="A139" s="5" t="s">
        <v>160</v>
      </c>
      <c r="B139" s="5" t="n">
        <v>270.202381</v>
      </c>
      <c r="C139" s="5" t="n">
        <f aca="false">IF(OR(B139="",B138=""),"",LN(B139/B138)*100)</f>
        <v>-0.697335029748531</v>
      </c>
      <c r="D139" s="5" t="n">
        <f aca="false">IF(COUNT($C137:$C139)&lt;3,"",STDEV($C137:$C139))</f>
        <v>3.05479446834649</v>
      </c>
      <c r="E139" s="5" t="n">
        <f aca="false">IF(COUNT($C128:$C139)&lt;12,"",STDEV($C128:$C139))</f>
        <v>1.9385675507768</v>
      </c>
    </row>
    <row r="140" customFormat="false" ht="15" hidden="false" customHeight="false" outlineLevel="0" collapsed="false">
      <c r="A140" s="5" t="s">
        <v>161</v>
      </c>
      <c r="B140" s="5" t="n">
        <v>267.5261905</v>
      </c>
      <c r="C140" s="5" t="n">
        <f aca="false">IF(OR(B140="",B139=""),"",LN(B140/B139)*100)</f>
        <v>-0.995376752383034</v>
      </c>
      <c r="D140" s="5" t="n">
        <f aca="false">IF(COUNT($C138:$C140)&lt;3,"",STDEV($C138:$C140))</f>
        <v>3.04374320690895</v>
      </c>
      <c r="E140" s="5" t="n">
        <f aca="false">IF(COUNT($C129:$C140)&lt;12,"",STDEV($C129:$C140))</f>
        <v>1.92138536829001</v>
      </c>
    </row>
    <row r="141" customFormat="false" ht="15" hidden="false" customHeight="false" outlineLevel="0" collapsed="false">
      <c r="A141" s="5" t="s">
        <v>162</v>
      </c>
      <c r="B141" s="5" t="n">
        <v>272.0921053</v>
      </c>
      <c r="C141" s="5" t="n">
        <f aca="false">IF(OR(B141="",B140=""),"",LN(B141/B140)*100)</f>
        <v>1.69231614482731</v>
      </c>
      <c r="D141" s="5" t="n">
        <f aca="false">IF(COUNT($C139:$C141)&lt;3,"",STDEV($C139:$C141))</f>
        <v>1.47325912601379</v>
      </c>
      <c r="E141" s="5" t="n">
        <f aca="false">IF(COUNT($C130:$C141)&lt;12,"",STDEV($C130:$C141))</f>
        <v>1.88204722916626</v>
      </c>
    </row>
    <row r="142" customFormat="false" ht="15" hidden="false" customHeight="false" outlineLevel="0" collapsed="false">
      <c r="A142" s="5" t="s">
        <v>163</v>
      </c>
      <c r="B142" s="5" t="n">
        <v>284.4723529</v>
      </c>
      <c r="C142" s="5" t="n">
        <f aca="false">IF(OR(B142="",B141=""),"",LN(B142/B141)*100)</f>
        <v>4.44954395855907</v>
      </c>
      <c r="D142" s="5" t="n">
        <f aca="false">IF(COUNT($C140:$C142)&lt;3,"",STDEV($C140:$C142))</f>
        <v>2.72253435469531</v>
      </c>
      <c r="E142" s="5" t="n">
        <f aca="false">IF(COUNT($C131:$C142)&lt;12,"",STDEV($C131:$C142))</f>
        <v>2.28499920437619</v>
      </c>
    </row>
    <row r="143" customFormat="false" ht="15" hidden="false" customHeight="false" outlineLevel="0" collapsed="false">
      <c r="A143" s="5" t="s">
        <v>164</v>
      </c>
      <c r="B143" s="5" t="n">
        <v>282.2671429</v>
      </c>
      <c r="C143" s="5" t="n">
        <f aca="false">IF(OR(B143="",B142=""),"",LN(B143/B142)*100)</f>
        <v>-0.778213322199913</v>
      </c>
      <c r="D143" s="5" t="n">
        <f aca="false">IF(COUNT($C141:$C143)&lt;3,"",STDEV($C141:$C143))</f>
        <v>2.61518856078596</v>
      </c>
      <c r="E143" s="5" t="n">
        <f aca="false">IF(COUNT($C132:$C143)&lt;12,"",STDEV($C132:$C143))</f>
        <v>2.25428313220803</v>
      </c>
    </row>
    <row r="144" customFormat="false" ht="15" hidden="false" customHeight="false" outlineLevel="0" collapsed="false">
      <c r="A144" s="5" t="s">
        <v>165</v>
      </c>
      <c r="B144" s="5" t="n">
        <v>277.184375</v>
      </c>
      <c r="C144" s="5" t="n">
        <f aca="false">IF(OR(B144="",B143=""),"",LN(B144/B143)*100)</f>
        <v>-1.81710392832371</v>
      </c>
      <c r="D144" s="5" t="n">
        <f aca="false">IF(COUNT($C142:$C144)&lt;3,"",STDEV($C142:$C144))</f>
        <v>3.35856158735138</v>
      </c>
      <c r="E144" s="5" t="n">
        <f aca="false">IF(COUNT($C133:$C144)&lt;12,"",STDEV($C133:$C144))</f>
        <v>2.29017885165732</v>
      </c>
    </row>
    <row r="145" customFormat="false" ht="15" hidden="false" customHeight="false" outlineLevel="0" collapsed="false">
      <c r="A145" s="5" t="s">
        <v>166</v>
      </c>
      <c r="B145" s="5" t="n">
        <v>275.8357143</v>
      </c>
      <c r="C145" s="5" t="n">
        <f aca="false">IF(OR(B145="",B144=""),"",LN(B145/B144)*100)</f>
        <v>-0.487744803401117</v>
      </c>
      <c r="D145" s="5" t="n">
        <f aca="false">IF(COUNT($C143:$C145)&lt;3,"",STDEV($C143:$C145))</f>
        <v>0.69891121693202</v>
      </c>
      <c r="E145" s="5" t="n">
        <f aca="false">IF(COUNT($C134:$C145)&lt;12,"",STDEV($C134:$C145))</f>
        <v>2.24384354498005</v>
      </c>
    </row>
    <row r="146" customFormat="false" ht="15" hidden="false" customHeight="false" outlineLevel="0" collapsed="false">
      <c r="A146" s="5" t="s">
        <v>167</v>
      </c>
      <c r="B146" s="5" t="n">
        <v>281</v>
      </c>
      <c r="C146" s="5" t="n">
        <f aca="false">IF(OR(B146="",B145=""),"",LN(B146/B145)*100)</f>
        <v>1.85492188845688</v>
      </c>
      <c r="D146" s="5" t="n">
        <f aca="false">IF(COUNT($C144:$C146)&lt;3,"",STDEV($C144:$C146))</f>
        <v>1.85916901290419</v>
      </c>
      <c r="E146" s="5" t="n">
        <f aca="false">IF(COUNT($C135:$C146)&lt;12,"",STDEV($C135:$C146))</f>
        <v>2.16197390773722</v>
      </c>
    </row>
    <row r="147" customFormat="false" ht="15" hidden="false" customHeight="false" outlineLevel="0" collapsed="false">
      <c r="A147" s="5" t="s">
        <v>168</v>
      </c>
      <c r="B147" s="5" t="n">
        <v>295.2875</v>
      </c>
      <c r="C147" s="5" t="n">
        <f aca="false">IF(OR(B147="",B146=""),"",LN(B147/B146)*100)</f>
        <v>4.95947886861316</v>
      </c>
      <c r="D147" s="5" t="n">
        <f aca="false">IF(COUNT($C145:$C147)&lt;3,"",STDEV($C145:$C147))</f>
        <v>2.73247772193208</v>
      </c>
      <c r="E147" s="5" t="n">
        <f aca="false">IF(COUNT($C136:$C147)&lt;12,"",STDEV($C136:$C147))</f>
        <v>2.43437711488684</v>
      </c>
    </row>
    <row r="148" customFormat="false" ht="15" hidden="false" customHeight="false" outlineLevel="0" collapsed="false">
      <c r="A148" s="5" t="s">
        <v>169</v>
      </c>
      <c r="B148" s="5" t="n">
        <v>294.0475</v>
      </c>
      <c r="C148" s="5" t="n">
        <f aca="false">IF(OR(B148="",B147=""),"",LN(B148/B147)*100)</f>
        <v>-0.420813910550384</v>
      </c>
      <c r="D148" s="5" t="n">
        <f aca="false">IF(COUNT($C146:$C148)&lt;3,"",STDEV($C146:$C148))</f>
        <v>2.70076525758409</v>
      </c>
      <c r="E148" s="5" t="n">
        <f aca="false">IF(COUNT($C137:$C148)&lt;12,"",STDEV($C137:$C148))</f>
        <v>2.46306560691745</v>
      </c>
    </row>
    <row r="149" customFormat="false" ht="15" hidden="false" customHeight="false" outlineLevel="0" collapsed="false">
      <c r="A149" s="5" t="s">
        <v>170</v>
      </c>
      <c r="B149" s="5" t="n">
        <v>302.6833333</v>
      </c>
      <c r="C149" s="5" t="n">
        <f aca="false">IF(OR(B149="",B148=""),"",LN(B149/B148)*100)</f>
        <v>2.89458354718984</v>
      </c>
      <c r="D149" s="5" t="n">
        <f aca="false">IF(COUNT($C147:$C149)&lt;3,"",STDEV($C147:$C149))</f>
        <v>2.71425875027743</v>
      </c>
      <c r="E149" s="5" t="n">
        <f aca="false">IF(COUNT($C138:$C149)&lt;12,"",STDEV($C138:$C149))</f>
        <v>2.43969365400848</v>
      </c>
    </row>
    <row r="150" customFormat="false" ht="15" hidden="false" customHeight="false" outlineLevel="0" collapsed="false">
      <c r="A150" s="5" t="s">
        <v>171</v>
      </c>
      <c r="B150" s="5" t="n">
        <v>314.4931818</v>
      </c>
      <c r="C150" s="5" t="n">
        <f aca="false">IF(OR(B150="",B149=""),"",LN(B150/B149)*100)</f>
        <v>3.82752420279639</v>
      </c>
      <c r="D150" s="5" t="n">
        <f aca="false">IF(COUNT($C148:$C150)&lt;3,"",STDEV($C148:$C150))</f>
        <v>2.23273432122248</v>
      </c>
      <c r="E150" s="5" t="n">
        <f aca="false">IF(COUNT($C139:$C150)&lt;12,"",STDEV($C139:$C150))</f>
        <v>2.37507470269691</v>
      </c>
    </row>
    <row r="151" customFormat="false" ht="15" hidden="false" customHeight="false" outlineLevel="0" collapsed="false">
      <c r="A151" s="5" t="s">
        <v>172</v>
      </c>
      <c r="B151" s="5" t="n">
        <v>321.1777778</v>
      </c>
      <c r="C151" s="5" t="n">
        <f aca="false">IF(OR(B151="",B150=""),"",LN(B151/B150)*100)</f>
        <v>2.10323983334763</v>
      </c>
      <c r="D151" s="5" t="n">
        <f aca="false">IF(COUNT($C149:$C151)&lt;3,"",STDEV($C149:$C151))</f>
        <v>0.863110627039053</v>
      </c>
      <c r="E151" s="5" t="n">
        <f aca="false">IF(COUNT($C140:$C151)&lt;12,"",STDEV($C140:$C151))</f>
        <v>2.30759548979661</v>
      </c>
    </row>
    <row r="152" customFormat="false" ht="15" hidden="false" customHeight="false" outlineLevel="0" collapsed="false">
      <c r="A152" s="5" t="s">
        <v>173</v>
      </c>
      <c r="B152" s="5" t="n">
        <v>313.2913043</v>
      </c>
      <c r="C152" s="5" t="n">
        <f aca="false">IF(OR(B152="",B151=""),"",LN(B152/B151)*100)</f>
        <v>-2.48613523614704</v>
      </c>
      <c r="D152" s="5" t="n">
        <f aca="false">IF(COUNT($C150:$C152)&lt;3,"",STDEV($C150:$C152))</f>
        <v>3.26337799491529</v>
      </c>
      <c r="E152" s="5" t="n">
        <f aca="false">IF(COUNT($C141:$C152)&lt;12,"",STDEV($C141:$C152))</f>
        <v>2.48401860850767</v>
      </c>
    </row>
    <row r="153" customFormat="false" ht="15" hidden="false" customHeight="false" outlineLevel="0" collapsed="false">
      <c r="A153" s="5" t="s">
        <v>174</v>
      </c>
      <c r="B153" s="5" t="n">
        <v>310.2809524</v>
      </c>
      <c r="C153" s="5" t="n">
        <f aca="false">IF(OR(B153="",B152=""),"",LN(B153/B152)*100)</f>
        <v>-0.965525728265579</v>
      </c>
      <c r="D153" s="5" t="n">
        <f aca="false">IF(COUNT($C151:$C153)&lt;3,"",STDEV($C151:$C153))</f>
        <v>2.33780305971589</v>
      </c>
      <c r="E153" s="5" t="n">
        <f aca="false">IF(COUNT($C142:$C153)&lt;12,"",STDEV($C142:$C153))</f>
        <v>2.56459678501656</v>
      </c>
    </row>
    <row r="154" customFormat="false" ht="15" hidden="false" customHeight="false" outlineLevel="0" collapsed="false">
      <c r="A154" s="5" t="s">
        <v>175</v>
      </c>
      <c r="B154" s="5" t="n">
        <v>319.1357143</v>
      </c>
      <c r="C154" s="5" t="n">
        <f aca="false">IF(OR(B154="",B153=""),"",LN(B154/B153)*100)</f>
        <v>2.81382638858509</v>
      </c>
      <c r="D154" s="5" t="n">
        <f aca="false">IF(COUNT($C152:$C154)&lt;3,"",STDEV($C152:$C154))</f>
        <v>2.7290214645008</v>
      </c>
      <c r="E154" s="5" t="n">
        <f aca="false">IF(COUNT($C143:$C154)&lt;12,"",STDEV($C143:$C154))</f>
        <v>2.4087993163678</v>
      </c>
    </row>
    <row r="155" customFormat="false" ht="15" hidden="false" customHeight="false" outlineLevel="0" collapsed="false">
      <c r="A155" s="5" t="s">
        <v>176</v>
      </c>
      <c r="B155" s="5" t="n">
        <v>316.5565217</v>
      </c>
      <c r="C155" s="5" t="n">
        <f aca="false">IF(OR(B155="",B154=""),"",LN(B155/B154)*100)</f>
        <v>-0.811463977905334</v>
      </c>
      <c r="D155" s="5" t="n">
        <f aca="false">IF(COUNT($C153:$C155)&lt;3,"",STDEV($C153:$C155))</f>
        <v>2.13892370471054</v>
      </c>
      <c r="E155" s="5" t="n">
        <f aca="false">IF(COUNT($C144:$C155)&lt;12,"",STDEV($C144:$C155))</f>
        <v>2.4109964149135</v>
      </c>
    </row>
    <row r="156" customFormat="false" ht="15" hidden="false" customHeight="false" outlineLevel="0" collapsed="false">
      <c r="A156" s="5" t="s">
        <v>177</v>
      </c>
      <c r="B156" s="5" t="n">
        <v>320.4357143</v>
      </c>
      <c r="C156" s="5" t="n">
        <f aca="false">IF(OR(B156="",B155=""),"",LN(B156/B155)*100)</f>
        <v>1.21798676244252</v>
      </c>
      <c r="D156" s="5" t="n">
        <f aca="false">IF(COUNT($C154:$C156)&lt;3,"",STDEV($C154:$C156))</f>
        <v>1.8169619635183</v>
      </c>
      <c r="E156" s="5" t="n">
        <f aca="false">IF(COUNT($C145:$C156)&lt;12,"",STDEV($C145:$C156))</f>
        <v>2.24735143426008</v>
      </c>
    </row>
    <row r="157" customFormat="false" ht="15" hidden="false" customHeight="false" outlineLevel="0" collapsed="false">
      <c r="A157" s="5" t="s">
        <v>178</v>
      </c>
      <c r="B157" s="5" t="n">
        <v>332.0361111</v>
      </c>
      <c r="C157" s="5" t="n">
        <f aca="false">IF(OR(B157="",B156=""),"",LN(B157/B156)*100)</f>
        <v>3.55620545403232</v>
      </c>
      <c r="D157" s="5" t="n">
        <f aca="false">IF(COUNT($C155:$C157)&lt;3,"",STDEV($C155:$C157))</f>
        <v>2.18565296207948</v>
      </c>
      <c r="E157" s="5" t="n">
        <f aca="false">IF(COUNT($C146:$C157)&lt;12,"",STDEV($C146:$C157))</f>
        <v>2.27295529439294</v>
      </c>
    </row>
    <row r="158" customFormat="false" ht="15" hidden="false" customHeight="false" outlineLevel="0" collapsed="false">
      <c r="A158" s="5" t="s">
        <v>179</v>
      </c>
      <c r="B158" s="5" t="n">
        <v>356.85909090909</v>
      </c>
      <c r="C158" s="5" t="n">
        <f aca="false">IF(OR(B158="",B157=""),"",LN(B158/B157)*100)</f>
        <v>7.20972691527601</v>
      </c>
      <c r="D158" s="5" t="n">
        <f aca="false">IF(COUNT($C156:$C158)&lt;3,"",STDEV($C156:$C158))</f>
        <v>3.01983541981306</v>
      </c>
      <c r="E158" s="5" t="n">
        <f aca="false">IF(COUNT($C147:$C158)&lt;12,"",STDEV($C147:$C158))</f>
        <v>2.80307869271783</v>
      </c>
    </row>
    <row r="159" customFormat="false" ht="15" hidden="false" customHeight="false" outlineLevel="0" collapsed="false">
      <c r="A159" s="5" t="s">
        <v>180</v>
      </c>
      <c r="B159" s="5" t="n">
        <v>358.97</v>
      </c>
      <c r="C159" s="5" t="n">
        <f aca="false">IF(OR(B159="",B158=""),"",LN(B159/B158)*100)</f>
        <v>0.589781900898942</v>
      </c>
      <c r="D159" s="5" t="n">
        <f aca="false">IF(COUNT($C157:$C159)&lt;3,"",STDEV($C157:$C159))</f>
        <v>3.31591012538359</v>
      </c>
      <c r="E159" s="5" t="n">
        <f aca="false">IF(COUNT($C148:$C159)&lt;12,"",STDEV($C148:$C159))</f>
        <v>2.66278972398218</v>
      </c>
    </row>
    <row r="160" customFormat="false" ht="15" hidden="false" customHeight="false" outlineLevel="0" collapsed="false">
      <c r="A160" s="5" t="s">
        <v>181</v>
      </c>
      <c r="B160" s="5" t="n">
        <v>340.55</v>
      </c>
      <c r="C160" s="5" t="n">
        <f aca="false">IF(OR(B160="",B159=""),"",LN(B160/B159)*100)</f>
        <v>-5.2676861849554</v>
      </c>
      <c r="D160" s="5" t="n">
        <f aca="false">IF(COUNT($C158:$C160)&lt;3,"",STDEV($C158:$C160))</f>
        <v>6.24258816576378</v>
      </c>
      <c r="E160" s="5" t="n">
        <f aca="false">IF(COUNT($C149:$C160)&lt;12,"",STDEV($C149:$C160))</f>
        <v>3.29440852204667</v>
      </c>
    </row>
    <row r="161" customFormat="false" ht="15" hidden="false" customHeight="false" outlineLevel="0" collapsed="false">
      <c r="A161" s="5" t="s">
        <v>182</v>
      </c>
      <c r="B161" s="5" t="n">
        <v>328.18</v>
      </c>
      <c r="C161" s="5" t="n">
        <f aca="false">IF(OR(B161="",B160=""),"",LN(B161/B160)*100)</f>
        <v>-3.69997193403231</v>
      </c>
      <c r="D161" s="5" t="n">
        <f aca="false">IF(COUNT($C159:$C161)&lt;3,"",STDEV($C159:$C161))</f>
        <v>3.03231617507302</v>
      </c>
      <c r="E161" s="5" t="n">
        <f aca="false">IF(COUNT($C150:$C161)&lt;12,"",STDEV($C150:$C161))</f>
        <v>3.53178444444771</v>
      </c>
    </row>
    <row r="162" customFormat="false" ht="15" hidden="false" customHeight="false" outlineLevel="0" collapsed="false">
      <c r="A162" s="5" t="s">
        <v>183</v>
      </c>
      <c r="B162" s="5" t="n">
        <v>355.6825</v>
      </c>
      <c r="C162" s="5" t="n">
        <f aca="false">IF(OR(B162="",B161=""),"",LN(B162/B161)*100)</f>
        <v>8.04762406341038</v>
      </c>
      <c r="D162" s="5" t="n">
        <f aca="false">IF(COUNT($C160:$C162)&lt;3,"",STDEV($C160:$C162))</f>
        <v>7.27737620645785</v>
      </c>
      <c r="E162" s="5" t="n">
        <f aca="false">IF(COUNT($C151:$C162)&lt;12,"",STDEV($C151:$C162))</f>
        <v>4.04688852547126</v>
      </c>
    </row>
    <row r="163" customFormat="false" ht="15" hidden="false" customHeight="false" outlineLevel="0" collapsed="false">
      <c r="A163" s="5" t="s">
        <v>184</v>
      </c>
      <c r="B163" s="5" t="n">
        <v>356.352380952381</v>
      </c>
      <c r="C163" s="5" t="n">
        <f aca="false">IF(OR(B163="",B162=""),"",LN(B163/B162)*100)</f>
        <v>0.188159644404626</v>
      </c>
      <c r="D163" s="5" t="n">
        <f aca="false">IF(COUNT($C161:$C163)&lt;3,"",STDEV($C161:$C163))</f>
        <v>5.98462975524228</v>
      </c>
      <c r="E163" s="5" t="n">
        <f aca="false">IF(COUNT($C152:$C163)&lt;12,"",STDEV($C152:$C163))</f>
        <v>4.03828131176143</v>
      </c>
    </row>
    <row r="164" customFormat="false" ht="15" hidden="false" customHeight="false" outlineLevel="0" collapsed="false">
      <c r="A164" s="5" t="s">
        <v>185</v>
      </c>
      <c r="B164" s="5" t="n">
        <v>351.019565217391</v>
      </c>
      <c r="C164" s="5" t="n">
        <f aca="false">IF(OR(B164="",B163=""),"",LN(B164/B163)*100)</f>
        <v>-1.50781121526923</v>
      </c>
      <c r="D164" s="5" t="n">
        <f aca="false">IF(COUNT($C162:$C164)&lt;3,"",STDEV($C162:$C164))</f>
        <v>5.09826508849686</v>
      </c>
      <c r="E164" s="5" t="n">
        <f aca="false">IF(COUNT($C153:$C164)&lt;12,"",STDEV($C153:$C164))</f>
        <v>3.9738142725363</v>
      </c>
    </row>
    <row r="165" customFormat="false" ht="15" hidden="false" customHeight="false" outlineLevel="0" collapsed="false">
      <c r="A165" s="5" t="s">
        <v>186</v>
      </c>
      <c r="B165" s="5" t="n">
        <v>359.7675</v>
      </c>
      <c r="C165" s="5" t="n">
        <f aca="false">IF(OR(B165="",B164=""),"",LN(B165/B164)*100)</f>
        <v>2.46160262041768</v>
      </c>
      <c r="D165" s="5" t="n">
        <f aca="false">IF(COUNT($C163:$C165)&lt;3,"",STDEV($C163:$C165))</f>
        <v>1.99169552228701</v>
      </c>
      <c r="E165" s="5" t="n">
        <f aca="false">IF(COUNT($C154:$C165)&lt;12,"",STDEV($C154:$C165))</f>
        <v>3.94688350947306</v>
      </c>
    </row>
    <row r="166" customFormat="false" ht="15" hidden="false" customHeight="false" outlineLevel="0" collapsed="false">
      <c r="A166" s="5" t="s">
        <v>187</v>
      </c>
      <c r="B166" s="5" t="n">
        <v>378.945454545454</v>
      </c>
      <c r="C166" s="5" t="n">
        <f aca="false">IF(OR(B166="",B165=""),"",LN(B166/B165)*100)</f>
        <v>5.19342858432615</v>
      </c>
      <c r="D166" s="5" t="n">
        <f aca="false">IF(COUNT($C164:$C166)&lt;3,"",STDEV($C164:$C166))</f>
        <v>3.36961259266077</v>
      </c>
      <c r="E166" s="5" t="n">
        <f aca="false">IF(COUNT($C155:$C166)&lt;12,"",STDEV($C155:$C166))</f>
        <v>4.09067793135212</v>
      </c>
    </row>
    <row r="167" customFormat="false" ht="15" hidden="false" customHeight="false" outlineLevel="0" collapsed="false">
      <c r="A167" s="5" t="s">
        <v>188</v>
      </c>
      <c r="B167" s="5" t="n">
        <v>378.919565217391</v>
      </c>
      <c r="C167" s="5" t="n">
        <f aca="false">IF(OR(B167="",B166=""),"",LN(B167/B166)*100)</f>
        <v>-0.00683217390907657</v>
      </c>
      <c r="D167" s="5" t="n">
        <f aca="false">IF(COUNT($C165:$C167)&lt;3,"",STDEV($C165:$C167))</f>
        <v>2.60124186318025</v>
      </c>
      <c r="E167" s="5" t="n">
        <f aca="false">IF(COUNT($C156:$C167)&lt;12,"",STDEV($C156:$C167))</f>
        <v>4.05702668365757</v>
      </c>
    </row>
    <row r="168" customFormat="false" ht="15" hidden="false" customHeight="false" outlineLevel="0" collapsed="false">
      <c r="A168" s="5" t="s">
        <v>189</v>
      </c>
      <c r="B168" s="5" t="n">
        <v>389.91</v>
      </c>
      <c r="C168" s="5" t="n">
        <f aca="false">IF(OR(B168="",B167=""),"",LN(B168/B167)*100)</f>
        <v>2.85919896807971</v>
      </c>
      <c r="D168" s="5" t="n">
        <f aca="false">IF(COUNT($C166:$C168)&lt;3,"",STDEV($C166:$C168))</f>
        <v>2.60465846647415</v>
      </c>
      <c r="E168" s="5" t="n">
        <f aca="false">IF(COUNT($C157:$C168)&lt;12,"",STDEV($C157:$C168))</f>
        <v>4.07433665753406</v>
      </c>
    </row>
    <row r="169" customFormat="false" ht="15" hidden="false" customHeight="false" outlineLevel="0" collapsed="false">
      <c r="A169" s="5" t="s">
        <v>190</v>
      </c>
      <c r="B169" s="5" t="n">
        <v>406.952631578947</v>
      </c>
      <c r="C169" s="5" t="n">
        <f aca="false">IF(OR(B169="",B168=""),"",LN(B169/B168)*100)</f>
        <v>4.27808510808952</v>
      </c>
      <c r="D169" s="5" t="n">
        <f aca="false">IF(COUNT($C167:$C169)&lt;3,"",STDEV($C167:$C169))</f>
        <v>2.18280738571271</v>
      </c>
      <c r="E169" s="5" t="n">
        <f aca="false">IF(COUNT($C158:$C169)&lt;12,"",STDEV($C158:$C169))</f>
        <v>4.11044613323694</v>
      </c>
    </row>
    <row r="170" customFormat="false" ht="15" hidden="false" customHeight="false" outlineLevel="0" collapsed="false">
      <c r="A170" s="5" t="s">
        <v>191</v>
      </c>
      <c r="B170" s="5" t="n">
        <v>413.788095238095</v>
      </c>
      <c r="C170" s="5" t="n">
        <f aca="false">IF(OR(B170="",B169=""),"",LN(B170/B169)*100)</f>
        <v>1.66572011933136</v>
      </c>
      <c r="D170" s="5" t="n">
        <f aca="false">IF(COUNT($C168:$C170)&lt;3,"",STDEV($C168:$C170))</f>
        <v>1.3078022579383</v>
      </c>
      <c r="E170" s="5" t="n">
        <f aca="false">IF(COUNT($C159:$C170)&lt;12,"",STDEV($C159:$C170))</f>
        <v>3.72809547603487</v>
      </c>
    </row>
    <row r="171" customFormat="false" ht="15" hidden="false" customHeight="false" outlineLevel="0" collapsed="false">
      <c r="A171" s="5" t="s">
        <v>192</v>
      </c>
      <c r="B171" s="5" t="n">
        <v>404.8775</v>
      </c>
      <c r="C171" s="5" t="n">
        <f aca="false">IF(OR(B171="",B170=""),"",LN(B171/B170)*100)</f>
        <v>-2.17694433180942</v>
      </c>
      <c r="D171" s="5" t="n">
        <f aca="false">IF(COUNT($C169:$C171)&lt;3,"",STDEV($C169:$C171))</f>
        <v>3.24699671461985</v>
      </c>
      <c r="E171" s="5" t="n">
        <f aca="false">IF(COUNT($C160:$C171)&lt;12,"",STDEV($C160:$C171))</f>
        <v>3.85491647545239</v>
      </c>
    </row>
    <row r="172" customFormat="false" ht="15" hidden="false" customHeight="false" outlineLevel="0" collapsed="false">
      <c r="A172" s="5" t="s">
        <v>193</v>
      </c>
      <c r="B172" s="5" t="n">
        <v>406.667391304347</v>
      </c>
      <c r="C172" s="5" t="n">
        <f aca="false">IF(OR(B172="",B171=""),"",LN(B172/B171)*100)</f>
        <v>0.441107873581887</v>
      </c>
      <c r="D172" s="5" t="n">
        <f aca="false">IF(COUNT($C170:$C172)&lt;3,"",STDEV($C170:$C172))</f>
        <v>1.96298847791893</v>
      </c>
      <c r="E172" s="5" t="n">
        <f aca="false">IF(COUNT($C161:$C172)&lt;12,"",STDEV($C161:$C172))</f>
        <v>3.32680443966623</v>
      </c>
    </row>
    <row r="173" customFormat="false" ht="15" hidden="false" customHeight="false" outlineLevel="0" collapsed="false">
      <c r="A173" s="5" t="s">
        <v>194</v>
      </c>
      <c r="B173" s="5" t="n">
        <v>403.26</v>
      </c>
      <c r="C173" s="5" t="n">
        <f aca="false">IF(OR(B173="",B172=""),"",LN(B173/B172)*100)</f>
        <v>-0.841411574361075</v>
      </c>
      <c r="D173" s="5" t="n">
        <f aca="false">IF(COUNT($C171:$C173)&lt;3,"",STDEV($C171:$C173))</f>
        <v>1.30911555580627</v>
      </c>
      <c r="E173" s="5" t="n">
        <f aca="false">IF(COUNT($C162:$C173)&lt;12,"",STDEV($C162:$C173))</f>
        <v>3.00949595614327</v>
      </c>
    </row>
    <row r="174" customFormat="false" ht="15" hidden="false" customHeight="false" outlineLevel="0" collapsed="false">
      <c r="A174" s="5" t="s">
        <v>195</v>
      </c>
      <c r="B174" s="5" t="n">
        <v>383.778947368421</v>
      </c>
      <c r="C174" s="5" t="n">
        <f aca="false">IF(OR(B174="",B173=""),"",LN(B174/B173)*100)</f>
        <v>-4.95147862715606</v>
      </c>
      <c r="D174" s="5" t="n">
        <f aca="false">IF(COUNT($C172:$C174)&lt;3,"",STDEV($C172:$C174))</f>
        <v>2.8171349654322</v>
      </c>
      <c r="E174" s="5" t="n">
        <f aca="false">IF(COUNT($C163:$C174)&lt;12,"",STDEV($C163:$C174))</f>
        <v>2.85933323832943</v>
      </c>
    </row>
    <row r="175" customFormat="false" ht="15" hidden="false" customHeight="false" outlineLevel="0" collapsed="false">
      <c r="A175" s="5" t="s">
        <v>196</v>
      </c>
      <c r="B175" s="5" t="n">
        <v>392.372727272727</v>
      </c>
      <c r="C175" s="5" t="n">
        <f aca="false">IF(OR(B175="",B174=""),"",LN(B175/B174)*100)</f>
        <v>2.2145493974357</v>
      </c>
      <c r="D175" s="5" t="n">
        <f aca="false">IF(COUNT($C173:$C175)&lt;3,"",STDEV($C173:$C175))</f>
        <v>3.59591217655202</v>
      </c>
      <c r="E175" s="5" t="n">
        <f aca="false">IF(COUNT($C164:$C175)&lt;12,"",STDEV($C164:$C175))</f>
        <v>2.89030628812672</v>
      </c>
    </row>
    <row r="176" customFormat="false" ht="15" hidden="false" customHeight="false" outlineLevel="0" collapsed="false">
      <c r="A176" s="5" t="s">
        <v>197</v>
      </c>
      <c r="B176" s="5" t="n">
        <v>398.090909090909</v>
      </c>
      <c r="C176" s="5" t="n">
        <f aca="false">IF(OR(B176="",B175=""),"",LN(B176/B175)*100)</f>
        <v>1.44681710903018</v>
      </c>
      <c r="D176" s="5" t="n">
        <f aca="false">IF(COUNT($C174:$C176)&lt;3,"",STDEV($C174:$C176))</f>
        <v>3.93445377071993</v>
      </c>
      <c r="E176" s="5" t="n">
        <f aca="false">IF(COUNT($C165:$C176)&lt;12,"",STDEV($C165:$C176))</f>
        <v>2.80005003904944</v>
      </c>
    </row>
    <row r="177" customFormat="false" ht="15" hidden="false" customHeight="false" outlineLevel="0" collapsed="false">
      <c r="A177" s="5" t="s">
        <v>198</v>
      </c>
      <c r="B177" s="5" t="n">
        <v>400.509523809523</v>
      </c>
      <c r="C177" s="5" t="n">
        <f aca="false">IF(OR(B177="",B176=""),"",LN(B177/B176)*100)</f>
        <v>0.605715202170994</v>
      </c>
      <c r="D177" s="5" t="n">
        <f aca="false">IF(COUNT($C175:$C177)&lt;3,"",STDEV($C175:$C177))</f>
        <v>0.804695879637721</v>
      </c>
      <c r="E177" s="5" t="n">
        <f aca="false">IF(COUNT($C166:$C177)&lt;12,"",STDEV($C166:$C177))</f>
        <v>2.76595907046879</v>
      </c>
    </row>
    <row r="178" customFormat="false" ht="15" hidden="false" customHeight="false" outlineLevel="0" collapsed="false">
      <c r="A178" s="5" t="s">
        <v>199</v>
      </c>
      <c r="B178" s="5" t="n">
        <v>405.275</v>
      </c>
      <c r="C178" s="5" t="n">
        <f aca="false">IF(OR(B178="",B177=""),"",LN(B178/B177)*100)</f>
        <v>1.18283030028992</v>
      </c>
      <c r="D178" s="5" t="n">
        <f aca="false">IF(COUNT($C176:$C178)&lt;3,"",STDEV($C176:$C178))</f>
        <v>0.430155648067812</v>
      </c>
      <c r="E178" s="5" t="n">
        <f aca="false">IF(COUNT($C167:$C178)&lt;12,"",STDEV($C167:$C178))</f>
        <v>2.41987460807979</v>
      </c>
    </row>
    <row r="179" customFormat="false" ht="15" hidden="false" customHeight="false" outlineLevel="0" collapsed="false">
      <c r="A179" s="5" t="s">
        <v>200</v>
      </c>
      <c r="B179" s="5" t="n">
        <v>420.464285714285</v>
      </c>
      <c r="C179" s="5" t="n">
        <f aca="false">IF(OR(B179="",B178=""),"",LN(B179/B178)*100)</f>
        <v>3.67936938753544</v>
      </c>
      <c r="D179" s="5" t="n">
        <f aca="false">IF(COUNT($C177:$C179)&lt;3,"",STDEV($C177:$C179))</f>
        <v>1.63366251624124</v>
      </c>
      <c r="E179" s="5" t="n">
        <f aca="false">IF(COUNT($C168:$C179)&lt;12,"",STDEV($C168:$C179))</f>
        <v>2.57067685375946</v>
      </c>
    </row>
    <row r="180" customFormat="false" ht="15" hidden="false" customHeight="false" outlineLevel="0" collapsed="false">
      <c r="A180" s="5" t="s">
        <v>201</v>
      </c>
      <c r="B180" s="5" t="n">
        <v>439.375</v>
      </c>
      <c r="C180" s="5" t="n">
        <f aca="false">IF(OR(B180="",B179=""),"",LN(B180/B179)*100)</f>
        <v>4.39937196619383</v>
      </c>
      <c r="D180" s="5" t="n">
        <f aca="false">IF(COUNT($C178:$C180)&lt;3,"",STDEV($C178:$C180))</f>
        <v>1.68805861943611</v>
      </c>
      <c r="E180" s="5" t="n">
        <f aca="false">IF(COUNT($C169:$C180)&lt;12,"",STDEV($C169:$C180))</f>
        <v>2.7136591333403</v>
      </c>
    </row>
    <row r="181" customFormat="false" ht="15" hidden="false" customHeight="false" outlineLevel="0" collapsed="false">
      <c r="A181" s="5" t="s">
        <v>202</v>
      </c>
      <c r="B181" s="5" t="n">
        <v>442.078947368421</v>
      </c>
      <c r="C181" s="5" t="n">
        <f aca="false">IF(OR(B181="",B180=""),"",LN(B181/B180)*100)</f>
        <v>0.6135217518899</v>
      </c>
      <c r="D181" s="5" t="n">
        <f aca="false">IF(COUNT($C179:$C181)&lt;3,"",STDEV($C179:$C181))</f>
        <v>2.01040987874833</v>
      </c>
      <c r="E181" s="5" t="n">
        <f aca="false">IF(COUNT($C170:$C181)&lt;12,"",STDEV($C170:$C181))</f>
        <v>2.50913742099151</v>
      </c>
    </row>
    <row r="182" customFormat="false" ht="15" hidden="false" customHeight="false" outlineLevel="0" collapsed="false">
      <c r="A182" s="5" t="s">
        <v>203</v>
      </c>
      <c r="B182" s="5" t="n">
        <v>424.03</v>
      </c>
      <c r="C182" s="5" t="n">
        <f aca="false">IF(OR(B182="",B181=""),"",LN(B182/B181)*100)</f>
        <v>-4.16842726378865</v>
      </c>
      <c r="D182" s="5" t="n">
        <f aca="false">IF(COUNT($C180:$C182)&lt;3,"",STDEV($C180:$C182))</f>
        <v>4.29353936900126</v>
      </c>
      <c r="E182" s="5" t="n">
        <f aca="false">IF(COUNT($C171:$C182)&lt;12,"",STDEV($C171:$C182))</f>
        <v>2.84554698709954</v>
      </c>
    </row>
    <row r="183" customFormat="false" ht="15" hidden="false" customHeight="false" outlineLevel="0" collapsed="false">
      <c r="A183" s="5" t="s">
        <v>204</v>
      </c>
      <c r="B183" s="5" t="n">
        <v>423.35</v>
      </c>
      <c r="C183" s="5" t="n">
        <f aca="false">IF(OR(B183="",B182=""),"",LN(B183/B182)*100)</f>
        <v>-0.160494735765566</v>
      </c>
      <c r="D183" s="5" t="n">
        <f aca="false">IF(COUNT($C181:$C183)&lt;3,"",STDEV($C181:$C183))</f>
        <v>2.56676388541736</v>
      </c>
      <c r="E183" s="5" t="n">
        <f aca="false">IF(COUNT($C172:$C183)&lt;12,"",STDEV($C172:$C183))</f>
        <v>2.75011796006254</v>
      </c>
    </row>
    <row r="184" customFormat="false" ht="15" hidden="false" customHeight="false" outlineLevel="0" collapsed="false">
      <c r="A184" s="5" t="s">
        <v>205</v>
      </c>
      <c r="B184" s="5" t="n">
        <v>434.321428571428</v>
      </c>
      <c r="C184" s="5" t="n">
        <f aca="false">IF(OR(B184="",B183=""),"",LN(B184/B183)*100)</f>
        <v>2.55856187175081</v>
      </c>
      <c r="D184" s="5" t="n">
        <f aca="false">IF(COUNT($C182:$C184)&lt;3,"",STDEV($C182:$C184))</f>
        <v>3.38401080607341</v>
      </c>
      <c r="E184" s="5" t="n">
        <f aca="false">IF(COUNT($C173:$C184)&lt;12,"",STDEV($C173:$C184))</f>
        <v>2.82196211483912</v>
      </c>
    </row>
    <row r="185" customFormat="false" ht="15" hidden="false" customHeight="false" outlineLevel="0" collapsed="false">
      <c r="A185" s="5" t="s">
        <v>206</v>
      </c>
      <c r="B185" s="5" t="n">
        <v>429.233333333333</v>
      </c>
      <c r="C185" s="5" t="n">
        <f aca="false">IF(OR(B185="",B184=""),"",LN(B185/B184)*100)</f>
        <v>-1.17842071941666</v>
      </c>
      <c r="D185" s="5" t="n">
        <f aca="false">IF(COUNT($C183:$C185)&lt;3,"",STDEV($C183:$C185))</f>
        <v>1.9319455232899</v>
      </c>
      <c r="E185" s="5" t="n">
        <f aca="false">IF(COUNT($C174:$C185)&lt;12,"",STDEV($C174:$C185))</f>
        <v>2.83867663811903</v>
      </c>
    </row>
    <row r="186" customFormat="false" ht="15" hidden="false" customHeight="false" outlineLevel="0" collapsed="false">
      <c r="A186" s="5" t="s">
        <v>207</v>
      </c>
      <c r="B186" s="5" t="n">
        <v>421.8725</v>
      </c>
      <c r="C186" s="5" t="n">
        <f aca="false">IF(OR(B186="",B185=""),"",LN(B186/B185)*100)</f>
        <v>-1.72975359283177</v>
      </c>
      <c r="D186" s="5" t="n">
        <f aca="false">IF(COUNT($C184:$C186)&lt;3,"",STDEV($C184:$C186))</f>
        <v>2.33304723297576</v>
      </c>
      <c r="E186" s="5" t="n">
        <f aca="false">IF(COUNT($C175:$C186)&lt;12,"",STDEV($C175:$C186))</f>
        <v>2.39121993426234</v>
      </c>
    </row>
    <row r="187" customFormat="false" ht="15" hidden="false" customHeight="false" outlineLevel="0" collapsed="false">
      <c r="A187" s="5" t="s">
        <v>208</v>
      </c>
      <c r="B187" s="5" t="n">
        <v>430.656818181818</v>
      </c>
      <c r="C187" s="5" t="n">
        <f aca="false">IF(OR(B187="",B186=""),"",LN(B187/B186)*100)</f>
        <v>2.06083917307763</v>
      </c>
      <c r="D187" s="5" t="n">
        <f aca="false">IF(COUNT($C185:$C187)&lt;3,"",STDEV($C185:$C187))</f>
        <v>2.04798136813607</v>
      </c>
      <c r="E187" s="5" t="n">
        <f aca="false">IF(COUNT($C176:$C187)&lt;12,"",STDEV($C176:$C187))</f>
        <v>2.38328580917228</v>
      </c>
    </row>
    <row r="188" customFormat="false" ht="15" hidden="false" customHeight="false" outlineLevel="0" collapsed="false">
      <c r="A188" s="5" t="s">
        <v>209</v>
      </c>
      <c r="B188" s="5" t="n">
        <v>424.478571428571</v>
      </c>
      <c r="C188" s="5" t="n">
        <f aca="false">IF(OR(B188="",B187=""),"",LN(B188/B187)*100)</f>
        <v>-1.44500024926008</v>
      </c>
      <c r="D188" s="5" t="n">
        <f aca="false">IF(COUNT($C186:$C188)&lt;3,"",STDEV($C186:$C188))</f>
        <v>2.11110508339657</v>
      </c>
      <c r="E188" s="5" t="n">
        <f aca="false">IF(COUNT($C177:$C188)&lt;12,"",STDEV($C177:$C188))</f>
        <v>2.45441214613704</v>
      </c>
    </row>
    <row r="189" customFormat="false" ht="15" hidden="false" customHeight="false" outlineLevel="0" collapsed="false">
      <c r="A189" s="5" t="s">
        <v>210</v>
      </c>
      <c r="B189" s="5" t="n">
        <v>437.929545454545</v>
      </c>
      <c r="C189" s="5" t="n">
        <f aca="false">IF(OR(B189="",B188=""),"",LN(B189/B188)*100)</f>
        <v>3.11965173897777</v>
      </c>
      <c r="D189" s="5" t="n">
        <f aca="false">IF(COUNT($C187:$C189)&lt;3,"",STDEV($C187:$C189))</f>
        <v>2.3891435661707</v>
      </c>
      <c r="E189" s="5" t="n">
        <f aca="false">IF(COUNT($C178:$C189)&lt;12,"",STDEV($C178:$C189))</f>
        <v>2.56577273441672</v>
      </c>
    </row>
    <row r="190" customFormat="false" ht="15" hidden="false" customHeight="false" outlineLevel="0" collapsed="false">
      <c r="A190" s="5" t="s">
        <v>211</v>
      </c>
      <c r="B190" s="5" t="n">
        <v>456.047727272727</v>
      </c>
      <c r="C190" s="5" t="n">
        <f aca="false">IF(OR(B190="",B189=""),"",LN(B190/B189)*100)</f>
        <v>4.05394267978862</v>
      </c>
      <c r="D190" s="5" t="n">
        <f aca="false">IF(COUNT($C188:$C190)&lt;3,"",STDEV($C188:$C190))</f>
        <v>2.94242872110608</v>
      </c>
      <c r="E190" s="5" t="n">
        <f aca="false">IF(COUNT($C179:$C190)&lt;12,"",STDEV($C179:$C190))</f>
        <v>2.73843613524</v>
      </c>
    </row>
    <row r="191" customFormat="false" ht="15" hidden="false" customHeight="false" outlineLevel="0" collapsed="false">
      <c r="A191" s="5" t="s">
        <v>212</v>
      </c>
      <c r="B191" s="5" t="n">
        <v>469.897619047619</v>
      </c>
      <c r="C191" s="5" t="n">
        <f aca="false">IF(OR(B191="",B190=""),"",LN(B191/B190)*100)</f>
        <v>2.99173700525829</v>
      </c>
      <c r="D191" s="5" t="n">
        <f aca="false">IF(COUNT($C189:$C191)&lt;3,"",STDEV($C189:$C191))</f>
        <v>0.579876802460111</v>
      </c>
      <c r="E191" s="5" t="n">
        <f aca="false">IF(COUNT($C180:$C191)&lt;12,"",STDEV($C180:$C191))</f>
        <v>2.68354228637885</v>
      </c>
    </row>
    <row r="192" customFormat="false" ht="15" hidden="false" customHeight="false" outlineLevel="0" collapsed="false">
      <c r="A192" s="5" t="s">
        <v>213</v>
      </c>
      <c r="B192" s="5" t="n">
        <v>476.665909090909</v>
      </c>
      <c r="C192" s="5" t="n">
        <f aca="false">IF(OR(B192="",B191=""),"",LN(B192/B191)*100)</f>
        <v>1.43010061030767</v>
      </c>
      <c r="D192" s="5" t="n">
        <f aca="false">IF(COUNT($C190:$C192)&lt;3,"",STDEV($C190:$C192))</f>
        <v>1.31981920040946</v>
      </c>
      <c r="E192" s="5" t="n">
        <f aca="false">IF(COUNT($C181:$C192)&lt;12,"",STDEV($C181:$C192))</f>
        <v>2.46193250426551</v>
      </c>
    </row>
    <row r="193" customFormat="false" ht="15" hidden="false" customHeight="false" outlineLevel="0" collapsed="false">
      <c r="A193" s="5" t="s">
        <v>214</v>
      </c>
      <c r="B193" s="5" t="n">
        <v>510.097222222222</v>
      </c>
      <c r="C193" s="5" t="n">
        <f aca="false">IF(OR(B193="",B192=""),"",LN(B193/B192)*100)</f>
        <v>6.77854940939066</v>
      </c>
      <c r="D193" s="5" t="n">
        <f aca="false">IF(COUNT($C191:$C193)&lt;3,"",STDEV($C191:$C193))</f>
        <v>2.75028971111946</v>
      </c>
      <c r="E193" s="5" t="n">
        <f aca="false">IF(COUNT($C182:$C193)&lt;12,"",STDEV($C182:$C193))</f>
        <v>3.02575214203378</v>
      </c>
    </row>
    <row r="194" customFormat="false" ht="15" hidden="false" customHeight="false" outlineLevel="0" collapsed="false">
      <c r="A194" s="5" t="s">
        <v>215</v>
      </c>
      <c r="B194" s="5" t="n">
        <v>549.864285714285</v>
      </c>
      <c r="C194" s="5" t="n">
        <f aca="false">IF(OR(B194="",B193=""),"",LN(B194/B193)*100)</f>
        <v>7.5070155172455</v>
      </c>
      <c r="D194" s="5" t="n">
        <f aca="false">IF(COUNT($C192:$C194)&lt;3,"",STDEV($C192:$C194))</f>
        <v>3.31826918269321</v>
      </c>
      <c r="E194" s="5" t="n">
        <f aca="false">IF(COUNT($C183:$C194)&lt;12,"",STDEV($C183:$C194))</f>
        <v>3.02231602029587</v>
      </c>
    </row>
    <row r="195" customFormat="false" ht="15" hidden="false" customHeight="false" outlineLevel="0" collapsed="false">
      <c r="A195" s="5" t="s">
        <v>216</v>
      </c>
      <c r="B195" s="5" t="n">
        <v>554.995</v>
      </c>
      <c r="C195" s="5" t="n">
        <f aca="false">IF(OR(B195="",B194=""),"",LN(B195/B194)*100)</f>
        <v>0.92876101656735</v>
      </c>
      <c r="D195" s="5" t="n">
        <f aca="false">IF(COUNT($C193:$C195)&lt;3,"",STDEV($C193:$C195))</f>
        <v>3.60610869190036</v>
      </c>
      <c r="E195" s="5" t="n">
        <f aca="false">IF(COUNT($C184:$C195)&lt;12,"",STDEV($C184:$C195))</f>
        <v>2.96185755179051</v>
      </c>
    </row>
    <row r="196" customFormat="false" ht="15" hidden="false" customHeight="false" outlineLevel="0" collapsed="false">
      <c r="A196" s="5" t="s">
        <v>217</v>
      </c>
      <c r="B196" s="5" t="n">
        <v>557.093478260869</v>
      </c>
      <c r="C196" s="5" t="n">
        <f aca="false">IF(OR(B196="",B195=""),"",LN(B196/B195)*100)</f>
        <v>0.377394567527674</v>
      </c>
      <c r="D196" s="5" t="n">
        <f aca="false">IF(COUNT($C194:$C196)&lt;3,"",STDEV($C194:$C196))</f>
        <v>3.96671426001156</v>
      </c>
      <c r="E196" s="5" t="n">
        <f aca="false">IF(COUNT($C185:$C196)&lt;12,"",STDEV($C185:$C196))</f>
        <v>3.00818893428597</v>
      </c>
    </row>
    <row r="197" customFormat="false" ht="15" hidden="false" customHeight="false" outlineLevel="0" collapsed="false">
      <c r="A197" s="5" t="s">
        <v>218</v>
      </c>
      <c r="B197" s="5" t="n">
        <v>610.652777777777</v>
      </c>
      <c r="C197" s="5" t="n">
        <f aca="false">IF(OR(B197="",B196=""),"",LN(B197/B196)*100)</f>
        <v>9.17954621215167</v>
      </c>
      <c r="D197" s="5" t="n">
        <f aca="false">IF(COUNT($C195:$C197)&lt;3,"",STDEV($C195:$C197))</f>
        <v>4.93047216940658</v>
      </c>
      <c r="E197" s="5" t="n">
        <f aca="false">IF(COUNT($C186:$C197)&lt;12,"",STDEV($C186:$C197))</f>
        <v>3.44435456219764</v>
      </c>
    </row>
    <row r="198" customFormat="false" ht="15" hidden="false" customHeight="false" outlineLevel="0" collapsed="false">
      <c r="A198" s="5" t="s">
        <v>219</v>
      </c>
      <c r="B198" s="5" t="n">
        <v>675.392857142857</v>
      </c>
      <c r="C198" s="5" t="n">
        <f aca="false">IF(OR(B198="",B197=""),"",LN(B198/B197)*100)</f>
        <v>10.0766019658431</v>
      </c>
      <c r="D198" s="5" t="n">
        <f aca="false">IF(COUNT($C196:$C198)&lt;3,"",STDEV($C196:$C198))</f>
        <v>5.3596829314759</v>
      </c>
      <c r="E198" s="5" t="n">
        <f aca="false">IF(COUNT($C187:$C198)&lt;12,"",STDEV($C187:$C198))</f>
        <v>3.66880669654809</v>
      </c>
    </row>
    <row r="199" customFormat="false" ht="15" hidden="false" customHeight="false" outlineLevel="0" collapsed="false">
      <c r="A199" s="5" t="s">
        <v>220</v>
      </c>
      <c r="B199" s="5" t="n">
        <v>596.145454545454</v>
      </c>
      <c r="C199" s="5" t="n">
        <f aca="false">IF(OR(B199="",B198=""),"",LN(B199/B198)*100)</f>
        <v>-12.4809843611619</v>
      </c>
      <c r="D199" s="5" t="n">
        <f aca="false">IF(COUNT($C197:$C199)&lt;3,"",STDEV($C197:$C199))</f>
        <v>12.7725486535445</v>
      </c>
      <c r="E199" s="5" t="n">
        <f aca="false">IF(COUNT($C188:$C199)&lt;12,"",STDEV($C188:$C199))</f>
        <v>6.00016448484536</v>
      </c>
    </row>
    <row r="200" customFormat="false" ht="15" hidden="false" customHeight="false" outlineLevel="0" collapsed="false">
      <c r="A200" s="5" t="s">
        <v>221</v>
      </c>
      <c r="B200" s="5" t="n">
        <v>633.709523809523</v>
      </c>
      <c r="C200" s="5" t="n">
        <f aca="false">IF(OR(B200="",B199=""),"",LN(B200/B199)*100)</f>
        <v>6.11059965691348</v>
      </c>
      <c r="D200" s="5" t="n">
        <f aca="false">IF(COUNT($C198:$C200)&lt;3,"",STDEV($C198:$C200))</f>
        <v>12.0431230135423</v>
      </c>
      <c r="E200" s="5" t="n">
        <f aca="false">IF(COUNT($C189:$C200)&lt;12,"",STDEV($C189:$C200))</f>
        <v>5.9204413647442</v>
      </c>
    </row>
    <row r="201" customFormat="false" ht="15" hidden="false" customHeight="false" outlineLevel="0" collapsed="false">
      <c r="A201" s="5" t="s">
        <v>222</v>
      </c>
      <c r="B201" s="5" t="n">
        <v>632.593181818181</v>
      </c>
      <c r="C201" s="5" t="n">
        <f aca="false">IF(OR(B201="",B200=""),"",LN(B201/B200)*100)</f>
        <v>-0.176315232618395</v>
      </c>
      <c r="D201" s="5" t="n">
        <f aca="false">IF(COUNT($C199:$C201)&lt;3,"",STDEV($C199:$C201))</f>
        <v>9.45671875346049</v>
      </c>
      <c r="E201" s="5" t="n">
        <f aca="false">IF(COUNT($C190:$C201)&lt;12,"",STDEV($C190:$C201))</f>
        <v>6.00737902559161</v>
      </c>
    </row>
    <row r="202" customFormat="false" ht="15" hidden="false" customHeight="false" outlineLevel="0" collapsed="false">
      <c r="A202" s="5" t="s">
        <v>223</v>
      </c>
      <c r="B202" s="5" t="n">
        <v>598.185714285714</v>
      </c>
      <c r="C202" s="5" t="n">
        <f aca="false">IF(OR(B202="",B201=""),"",LN(B202/B201)*100)</f>
        <v>-5.59262680400243</v>
      </c>
      <c r="D202" s="5" t="n">
        <f aca="false">IF(COUNT($C200:$C202)&lt;3,"",STDEV($C200:$C202))</f>
        <v>5.85700776082248</v>
      </c>
      <c r="E202" s="5" t="n">
        <f aca="false">IF(COUNT($C191:$C202)&lt;12,"",STDEV($C191:$C202))</f>
        <v>6.489092438831</v>
      </c>
    </row>
    <row r="203" customFormat="false" ht="15" hidden="false" customHeight="false" outlineLevel="0" collapsed="false">
      <c r="A203" s="5" t="s">
        <v>224</v>
      </c>
      <c r="B203" s="5" t="n">
        <v>585.779545454545</v>
      </c>
      <c r="C203" s="5" t="n">
        <f aca="false">IF(OR(B203="",B202=""),"",LN(B203/B202)*100)</f>
        <v>-2.09577482441983</v>
      </c>
      <c r="D203" s="5" t="n">
        <f aca="false">IF(COUNT($C201:$C203)&lt;3,"",STDEV($C201:$C203))</f>
        <v>2.74617096851774</v>
      </c>
      <c r="E203" s="5" t="n">
        <f aca="false">IF(COUNT($C192:$C203)&lt;12,"",STDEV($C192:$C203))</f>
        <v>6.60220876075625</v>
      </c>
    </row>
    <row r="204" customFormat="false" ht="15" hidden="false" customHeight="false" outlineLevel="0" collapsed="false">
      <c r="A204" s="5" t="s">
        <v>225</v>
      </c>
      <c r="B204" s="5" t="n">
        <v>627.827272727272</v>
      </c>
      <c r="C204" s="5" t="n">
        <f aca="false">IF(OR(B204="",B203=""),"",LN(B204/B203)*100)</f>
        <v>6.93215687097294</v>
      </c>
      <c r="D204" s="5" t="n">
        <f aca="false">IF(COUNT($C202:$C204)&lt;3,"",STDEV($C202:$C204))</f>
        <v>6.46273588310603</v>
      </c>
      <c r="E204" s="5" t="n">
        <f aca="false">IF(COUNT($C193:$C204)&lt;12,"",STDEV($C193:$C204))</f>
        <v>6.76054154541862</v>
      </c>
    </row>
    <row r="205" customFormat="false" ht="15" hidden="false" customHeight="false" outlineLevel="0" collapsed="false">
      <c r="A205" s="5" t="s">
        <v>226</v>
      </c>
      <c r="B205" s="5" t="n">
        <v>629.791176470588</v>
      </c>
      <c r="C205" s="5" t="n">
        <f aca="false">IF(OR(B205="",B204=""),"",LN(B205/B204)*100)</f>
        <v>0.312321330999932</v>
      </c>
      <c r="D205" s="5" t="n">
        <f aca="false">IF(COUNT($C203:$C205)&lt;3,"",STDEV($C203:$C205))</f>
        <v>4.67483868468055</v>
      </c>
      <c r="E205" s="5" t="n">
        <f aca="false">IF(COUNT($C194:$C205)&lt;12,"",STDEV($C194:$C205))</f>
        <v>6.62710622258981</v>
      </c>
    </row>
    <row r="206" customFormat="false" ht="15" hidden="false" customHeight="false" outlineLevel="0" collapsed="false">
      <c r="A206" s="5" t="s">
        <v>227</v>
      </c>
      <c r="B206" s="5" t="n">
        <v>631.165909090909</v>
      </c>
      <c r="C206" s="5" t="n">
        <f aca="false">IF(OR(B206="",B205=""),"",LN(B206/B205)*100)</f>
        <v>0.218045987564851</v>
      </c>
      <c r="D206" s="5" t="n">
        <f aca="false">IF(COUNT($C204:$C206)&lt;3,"",STDEV($C204:$C206))</f>
        <v>3.84946739544075</v>
      </c>
      <c r="E206" s="5" t="n">
        <f aca="false">IF(COUNT($C195:$C206)&lt;12,"",STDEV($C195:$C206))</f>
        <v>6.38161948757426</v>
      </c>
    </row>
    <row r="207" customFormat="false" ht="15" hidden="false" customHeight="false" outlineLevel="0" collapsed="false">
      <c r="A207" s="5" t="s">
        <v>228</v>
      </c>
      <c r="B207" s="5" t="n">
        <v>664.745</v>
      </c>
      <c r="C207" s="5" t="n">
        <f aca="false">IF(OR(B207="",B206=""),"",LN(B207/B206)*100)</f>
        <v>5.18347500756159</v>
      </c>
      <c r="D207" s="5" t="n">
        <f aca="false">IF(COUNT($C205:$C207)&lt;3,"",STDEV($C205:$C207))</f>
        <v>2.83996805538624</v>
      </c>
      <c r="E207" s="5" t="n">
        <f aca="false">IF(COUNT($C196:$C207)&lt;12,"",STDEV($C196:$C207))</f>
        <v>6.48560959514797</v>
      </c>
    </row>
    <row r="208" customFormat="false" ht="15" hidden="false" customHeight="false" outlineLevel="0" collapsed="false">
      <c r="A208" s="5" t="s">
        <v>229</v>
      </c>
      <c r="B208" s="5" t="n">
        <v>654.895454545454</v>
      </c>
      <c r="C208" s="5" t="n">
        <f aca="false">IF(OR(B208="",B207=""),"",LN(B208/B207)*100)</f>
        <v>-1.49278969551572</v>
      </c>
      <c r="D208" s="5" t="n">
        <f aca="false">IF(COUNT($C206:$C208)&lt;3,"",STDEV($C206:$C208))</f>
        <v>3.46782723696657</v>
      </c>
      <c r="E208" s="5" t="n">
        <f aca="false">IF(COUNT($C197:$C208)&lt;12,"",STDEV($C197:$C208))</f>
        <v>6.5373985889318</v>
      </c>
    </row>
    <row r="209" customFormat="false" ht="15" hidden="false" customHeight="false" outlineLevel="0" collapsed="false">
      <c r="A209" s="5" t="s">
        <v>230</v>
      </c>
      <c r="B209" s="5" t="n">
        <v>679.368421052631</v>
      </c>
      <c r="C209" s="5" t="n">
        <f aca="false">IF(OR(B209="",B208=""),"",LN(B209/B208)*100)</f>
        <v>3.66879624903975</v>
      </c>
      <c r="D209" s="5" t="n">
        <f aca="false">IF(COUNT($C207:$C209)&lt;3,"",STDEV($C207:$C209))</f>
        <v>3.50020788882855</v>
      </c>
      <c r="E209" s="5" t="n">
        <f aca="false">IF(COUNT($C198:$C209)&lt;12,"",STDEV($C198:$C209))</f>
        <v>6.1172933987482</v>
      </c>
    </row>
    <row r="210" customFormat="false" ht="15" hidden="false" customHeight="false" outlineLevel="0" collapsed="false">
      <c r="A210" s="5" t="s">
        <v>231</v>
      </c>
      <c r="B210" s="5" t="n">
        <v>666.859523809523</v>
      </c>
      <c r="C210" s="5" t="n">
        <f aca="false">IF(OR(B210="",B209=""),"",LN(B210/B209)*100)</f>
        <v>-1.85841592521982</v>
      </c>
      <c r="D210" s="5" t="n">
        <f aca="false">IF(COUNT($C208:$C210)&lt;3,"",STDEV($C208:$C210))</f>
        <v>3.09100108978098</v>
      </c>
      <c r="E210" s="5" t="n">
        <f aca="false">IF(COUNT($C199:$C210)&lt;12,"",STDEV($C199:$C210))</f>
        <v>5.41790802863388</v>
      </c>
    </row>
    <row r="211" customFormat="false" ht="15" hidden="false" customHeight="false" outlineLevel="0" collapsed="false">
      <c r="A211" s="5" t="s">
        <v>232</v>
      </c>
      <c r="B211" s="5" t="n">
        <v>655.490476190476</v>
      </c>
      <c r="C211" s="5" t="n">
        <f aca="false">IF(OR(B211="",B210=""),"",LN(B211/B210)*100)</f>
        <v>-1.71956407313207</v>
      </c>
      <c r="D211" s="5" t="n">
        <f aca="false">IF(COUNT($C209:$C211)&lt;3,"",STDEV($C209:$C211))</f>
        <v>3.15181908368451</v>
      </c>
      <c r="E211" s="5" t="n">
        <f aca="false">IF(COUNT($C200:$C211)&lt;12,"",STDEV($C200:$C211))</f>
        <v>3.84592814513753</v>
      </c>
    </row>
    <row r="212" customFormat="false" ht="15" hidden="false" customHeight="false" outlineLevel="0" collapsed="false">
      <c r="A212" s="5" t="s">
        <v>233</v>
      </c>
      <c r="B212" s="5" t="n">
        <v>665.295454545454</v>
      </c>
      <c r="C212" s="5" t="n">
        <f aca="false">IF(OR(B212="",B211=""),"",LN(B212/B211)*100)</f>
        <v>1.48474605148062</v>
      </c>
      <c r="D212" s="5" t="n">
        <f aca="false">IF(COUNT($C210:$C212)&lt;3,"",STDEV($C210:$C212))</f>
        <v>1.89136701946763</v>
      </c>
      <c r="E212" s="5" t="n">
        <f aca="false">IF(COUNT($C201:$C212)&lt;12,"",STDEV($C201:$C212))</f>
        <v>3.47852001911675</v>
      </c>
    </row>
    <row r="213" customFormat="false" ht="15" hidden="false" customHeight="false" outlineLevel="0" collapsed="false">
      <c r="A213" s="5" t="s">
        <v>234</v>
      </c>
      <c r="B213" s="5" t="n">
        <v>665.411363636363</v>
      </c>
      <c r="C213" s="5" t="n">
        <f aca="false">IF(OR(B213="",B212=""),"",LN(B213/B212)*100)</f>
        <v>0.0174206804411644</v>
      </c>
      <c r="D213" s="5" t="n">
        <f aca="false">IF(COUNT($C211:$C213)&lt;3,"",STDEV($C211:$C213))</f>
        <v>1.60404505097464</v>
      </c>
      <c r="E213" s="5" t="n">
        <f aca="false">IF(COUNT($C202:$C213)&lt;12,"",STDEV($C202:$C213))</f>
        <v>3.47602369950807</v>
      </c>
    </row>
    <row r="214" customFormat="false" ht="15" hidden="false" customHeight="false" outlineLevel="0" collapsed="false">
      <c r="A214" s="5" t="s">
        <v>235</v>
      </c>
      <c r="B214" s="5" t="n">
        <v>712.6525</v>
      </c>
      <c r="C214" s="5" t="n">
        <f aca="false">IF(OR(B214="",B213=""),"",LN(B214/B213)*100)</f>
        <v>6.85884829871733</v>
      </c>
      <c r="D214" s="5" t="n">
        <f aca="false">IF(COUNT($C212:$C214)&lt;3,"",STDEV($C212:$C214))</f>
        <v>3.60183172298861</v>
      </c>
      <c r="E214" s="5" t="n">
        <f aca="false">IF(COUNT($C203:$C214)&lt;12,"",STDEV($C203:$C214))</f>
        <v>3.37450842568973</v>
      </c>
    </row>
    <row r="215" customFormat="false" ht="15" hidden="false" customHeight="false" outlineLevel="0" collapsed="false">
      <c r="A215" s="5" t="s">
        <v>236</v>
      </c>
      <c r="B215" s="5" t="n">
        <v>754.604347826087</v>
      </c>
      <c r="C215" s="5" t="n">
        <f aca="false">IF(OR(B215="",B214=""),"",LN(B215/B214)*100)</f>
        <v>5.71996449479661</v>
      </c>
      <c r="D215" s="5" t="n">
        <f aca="false">IF(COUNT($C213:$C215)&lt;3,"",STDEV($C213:$C215))</f>
        <v>3.66563305423016</v>
      </c>
      <c r="E215" s="5" t="n">
        <f aca="false">IF(COUNT($C204:$C215)&lt;12,"",STDEV($C204:$C215))</f>
        <v>3.38025875574092</v>
      </c>
    </row>
    <row r="216" customFormat="false" ht="15" hidden="false" customHeight="false" outlineLevel="0" collapsed="false">
      <c r="A216" s="5" t="s">
        <v>237</v>
      </c>
      <c r="B216" s="5" t="n">
        <v>806.247727272727</v>
      </c>
      <c r="C216" s="5" t="n">
        <f aca="false">IF(OR(B216="",B215=""),"",LN(B216/B215)*100)</f>
        <v>6.61974799432195</v>
      </c>
      <c r="D216" s="5" t="n">
        <f aca="false">IF(COUNT($C214:$C216)&lt;3,"",STDEV($C214:$C216))</f>
        <v>0.600532488770446</v>
      </c>
      <c r="E216" s="5" t="n">
        <f aca="false">IF(COUNT($C205:$C216)&lt;12,"",STDEV($C205:$C216))</f>
        <v>3.34071847521985</v>
      </c>
    </row>
    <row r="217" customFormat="false" ht="15" hidden="false" customHeight="false" outlineLevel="0" collapsed="false">
      <c r="A217" s="5" t="s">
        <v>238</v>
      </c>
      <c r="B217" s="5" t="n">
        <v>803.20294117647</v>
      </c>
      <c r="C217" s="5" t="n">
        <f aca="false">IF(OR(B217="",B216=""),"",LN(B217/B216)*100)</f>
        <v>-0.378363846541457</v>
      </c>
      <c r="D217" s="5" t="n">
        <f aca="false">IF(COUNT($C215:$C217)&lt;3,"",STDEV($C215:$C217))</f>
        <v>3.80729099321328</v>
      </c>
      <c r="E217" s="5" t="n">
        <f aca="false">IF(COUNT($C206:$C217)&lt;12,"",STDEV($C206:$C217))</f>
        <v>3.37974669465662</v>
      </c>
    </row>
    <row r="218" customFormat="false" ht="15" hidden="false" customHeight="false" outlineLevel="0" collapsed="false">
      <c r="A218" s="5" t="s">
        <v>239</v>
      </c>
      <c r="B218" s="5" t="n">
        <v>889.595454545454</v>
      </c>
      <c r="C218" s="5" t="n">
        <f aca="false">IF(OR(B218="",B217=""),"",LN(B218/B217)*100)</f>
        <v>10.2159403180484</v>
      </c>
      <c r="D218" s="5" t="n">
        <f aca="false">IF(COUNT($C216:$C218)&lt;3,"",STDEV($C216:$C218))</f>
        <v>5.38741510835374</v>
      </c>
      <c r="E218" s="5" t="n">
        <f aca="false">IF(COUNT($C207:$C218)&lt;12,"",STDEV($C207:$C218))</f>
        <v>4.05764878337409</v>
      </c>
    </row>
    <row r="219" customFormat="false" ht="15" hidden="false" customHeight="false" outlineLevel="0" collapsed="false">
      <c r="A219" s="5" t="s">
        <v>240</v>
      </c>
      <c r="B219" s="5" t="n">
        <v>922.297619047619</v>
      </c>
      <c r="C219" s="5" t="n">
        <f aca="false">IF(OR(B219="",B218=""),"",LN(B219/B218)*100)</f>
        <v>3.61011547659284</v>
      </c>
      <c r="D219" s="5" t="n">
        <f aca="false">IF(COUNT($C217:$C219)&lt;3,"",STDEV($C217:$C219))</f>
        <v>5.35076583115147</v>
      </c>
      <c r="E219" s="5" t="n">
        <f aca="false">IF(COUNT($C208:$C219)&lt;12,"",STDEV($C208:$C219))</f>
        <v>4.00076638020538</v>
      </c>
    </row>
    <row r="220" customFormat="false" ht="15" hidden="false" customHeight="false" outlineLevel="0" collapsed="false">
      <c r="A220" s="5" t="s">
        <v>241</v>
      </c>
      <c r="B220" s="5" t="n">
        <v>968.434210526315</v>
      </c>
      <c r="C220" s="5" t="n">
        <f aca="false">IF(OR(B220="",B219=""),"",LN(B220/B219)*100)</f>
        <v>4.88125825943884</v>
      </c>
      <c r="D220" s="5" t="n">
        <f aca="false">IF(COUNT($C218:$C220)&lt;3,"",STDEV($C218:$C220))</f>
        <v>3.50503348716349</v>
      </c>
      <c r="E220" s="5" t="n">
        <f aca="false">IF(COUNT($C209:$C220)&lt;12,"",STDEV($C209:$C220))</f>
        <v>3.8077922364689</v>
      </c>
    </row>
    <row r="221" customFormat="false" ht="15" hidden="false" customHeight="false" outlineLevel="0" collapsed="false">
      <c r="A221" s="5" t="s">
        <v>242</v>
      </c>
      <c r="B221" s="5" t="n">
        <v>909.704545454545</v>
      </c>
      <c r="C221" s="5" t="n">
        <f aca="false">IF(OR(B221="",B220=""),"",LN(B221/B220)*100)</f>
        <v>-6.25606798270802</v>
      </c>
      <c r="D221" s="5" t="n">
        <f aca="false">IF(COUNT($C219:$C221)&lt;3,"",STDEV($C219:$C221))</f>
        <v>6.09641172946535</v>
      </c>
      <c r="E221" s="5" t="n">
        <f aca="false">IF(COUNT($C210:$C221)&lt;12,"",STDEV($C210:$C221))</f>
        <v>4.68724355870386</v>
      </c>
    </row>
    <row r="222" customFormat="false" ht="15" hidden="false" customHeight="false" outlineLevel="0" collapsed="false">
      <c r="A222" s="5" t="s">
        <v>243</v>
      </c>
      <c r="B222" s="5" t="n">
        <v>888.6625</v>
      </c>
      <c r="C222" s="5" t="n">
        <f aca="false">IF(OR(B222="",B221=""),"",LN(B222/B221)*100)</f>
        <v>-2.34023480803911</v>
      </c>
      <c r="D222" s="5" t="n">
        <f aca="false">IF(COUNT($C220:$C222)&lt;3,"",STDEV($C220:$C222))</f>
        <v>5.64983403000304</v>
      </c>
      <c r="E222" s="5" t="n">
        <f aca="false">IF(COUNT($C211:$C222)&lt;12,"",STDEV($C211:$C222))</f>
        <v>4.72922171509034</v>
      </c>
    </row>
    <row r="223" customFormat="false" ht="15" hidden="false" customHeight="false" outlineLevel="0" collapsed="false">
      <c r="A223" s="5" t="s">
        <v>244</v>
      </c>
      <c r="B223" s="5" t="n">
        <v>889.488095238095</v>
      </c>
      <c r="C223" s="5" t="n">
        <f aca="false">IF(OR(B223="",B222=""),"",LN(B223/B222)*100)</f>
        <v>0.0928599973063643</v>
      </c>
      <c r="D223" s="5" t="n">
        <f aca="false">IF(COUNT($C221:$C223)&lt;3,"",STDEV($C221:$C223))</f>
        <v>3.20319076024324</v>
      </c>
      <c r="E223" s="5" t="n">
        <f aca="false">IF(COUNT($C212:$C223)&lt;12,"",STDEV($C212:$C223))</f>
        <v>4.61347138380822</v>
      </c>
    </row>
    <row r="224" customFormat="false" ht="15" hidden="false" customHeight="false" outlineLevel="0" collapsed="false">
      <c r="A224" s="5" t="s">
        <v>245</v>
      </c>
      <c r="B224" s="5" t="n">
        <v>939.771739130434</v>
      </c>
      <c r="C224" s="5" t="n">
        <f aca="false">IF(OR(B224="",B223=""),"",LN(B224/B223)*100)</f>
        <v>5.49908917031458</v>
      </c>
      <c r="D224" s="5" t="n">
        <f aca="false">IF(COUNT($C222:$C224)&lt;3,"",STDEV($C222:$C224))</f>
        <v>4.01252756253203</v>
      </c>
      <c r="E224" s="5" t="n">
        <f aca="false">IF(COUNT($C213:$C224)&lt;12,"",STDEV($C213:$C224))</f>
        <v>4.67482718934202</v>
      </c>
    </row>
    <row r="225" customFormat="false" ht="15" hidden="false" customHeight="false" outlineLevel="0" collapsed="false">
      <c r="A225" s="5" t="s">
        <v>246</v>
      </c>
      <c r="B225" s="5" t="n">
        <v>839.025</v>
      </c>
      <c r="C225" s="5" t="n">
        <f aca="false">IF(OR(B225="",B224=""),"",LN(B225/B224)*100)</f>
        <v>-11.339651166249</v>
      </c>
      <c r="D225" s="5" t="n">
        <f aca="false">IF(COUNT($C223:$C225)&lt;3,"",STDEV($C223:$C225))</f>
        <v>8.59721661836083</v>
      </c>
      <c r="E225" s="5" t="n">
        <f aca="false">IF(COUNT($C214:$C225)&lt;12,"",STDEV($C214:$C225))</f>
        <v>6.20566359986774</v>
      </c>
    </row>
    <row r="226" customFormat="false" ht="15" hidden="false" customHeight="false" outlineLevel="0" collapsed="false">
      <c r="A226" s="5" t="s">
        <v>247</v>
      </c>
      <c r="B226" s="5" t="n">
        <v>829.931818181818</v>
      </c>
      <c r="C226" s="5" t="n">
        <f aca="false">IF(OR(B226="",B225=""),"",LN(B226/B225)*100)</f>
        <v>-1.08969527535848</v>
      </c>
      <c r="D226" s="5" t="n">
        <f aca="false">IF(COUNT($C224:$C226)&lt;3,"",STDEV($C224:$C226))</f>
        <v>8.48544687842032</v>
      </c>
      <c r="E226" s="5" t="n">
        <f aca="false">IF(COUNT($C215:$C226)&lt;12,"",STDEV($C215:$C226))</f>
        <v>6.05433035461474</v>
      </c>
    </row>
    <row r="227" customFormat="false" ht="15" hidden="false" customHeight="false" outlineLevel="0" collapsed="false">
      <c r="A227" s="5" t="s">
        <v>248</v>
      </c>
      <c r="B227" s="5" t="n">
        <v>806.619565217391</v>
      </c>
      <c r="C227" s="5" t="n">
        <f aca="false">IF(OR(B227="",B226=""),"",LN(B227/B226)*100)</f>
        <v>-2.84914120960471</v>
      </c>
      <c r="D227" s="5" t="n">
        <f aca="false">IF(COUNT($C225:$C227)&lt;3,"",STDEV($C225:$C227))</f>
        <v>5.48096714526146</v>
      </c>
      <c r="E227" s="5" t="n">
        <f aca="false">IF(COUNT($C216:$C227)&lt;12,"",STDEV($C216:$C227))</f>
        <v>5.98667377243317</v>
      </c>
    </row>
    <row r="228" customFormat="false" ht="15" hidden="false" customHeight="false" outlineLevel="0" collapsed="false">
      <c r="A228" s="5" t="s">
        <v>249</v>
      </c>
      <c r="B228" s="5" t="n">
        <v>760.8625</v>
      </c>
      <c r="C228" s="5" t="n">
        <f aca="false">IF(OR(B228="",B227=""),"",LN(B228/B227)*100)</f>
        <v>-5.83994803264145</v>
      </c>
      <c r="D228" s="5" t="n">
        <f aca="false">IF(COUNT($C226:$C228)&lt;3,"",STDEV($C226:$C228))</f>
        <v>2.40157853318511</v>
      </c>
      <c r="E228" s="5" t="n">
        <f aca="false">IF(COUNT($C217:$C228)&lt;12,"",STDEV($C217:$C228))</f>
        <v>5.91939987773294</v>
      </c>
    </row>
    <row r="229" customFormat="false" ht="15" hidden="false" customHeight="false" outlineLevel="0" collapsed="false">
      <c r="A229" s="5" t="s">
        <v>250</v>
      </c>
      <c r="B229" s="5" t="n">
        <v>816.092105263157</v>
      </c>
      <c r="C229" s="5" t="n">
        <f aca="false">IF(OR(B229="",B228=""),"",LN(B229/B228)*100)</f>
        <v>7.00745644662541</v>
      </c>
      <c r="D229" s="5" t="n">
        <f aca="false">IF(COUNT($C227:$C229)&lt;3,"",STDEV($C227:$C229))</f>
        <v>6.72251496420066</v>
      </c>
      <c r="E229" s="5" t="n">
        <f aca="false">IF(COUNT($C218:$C229)&lt;12,"",STDEV($C218:$C229))</f>
        <v>6.30281114268783</v>
      </c>
    </row>
    <row r="230" customFormat="false" ht="15" hidden="false" customHeight="false" outlineLevel="0" collapsed="false">
      <c r="A230" s="5" t="s">
        <v>251</v>
      </c>
      <c r="B230" s="5" t="n">
        <v>858.690476190476</v>
      </c>
      <c r="C230" s="5" t="n">
        <f aca="false">IF(OR(B230="",B229=""),"",LN(B230/B229)*100)</f>
        <v>5.08813039630929</v>
      </c>
      <c r="D230" s="5" t="n">
        <f aca="false">IF(COUNT($C228:$C230)&lt;3,"",STDEV($C228:$C230))</f>
        <v>6.93015767606345</v>
      </c>
      <c r="E230" s="5" t="n">
        <f aca="false">IF(COUNT($C219:$C230)&lt;12,"",STDEV($C219:$C230))</f>
        <v>5.70225398493798</v>
      </c>
    </row>
    <row r="231" customFormat="false" ht="15" hidden="false" customHeight="false" outlineLevel="0" collapsed="false">
      <c r="A231" s="5" t="s">
        <v>252</v>
      </c>
      <c r="B231" s="5" t="n">
        <v>943.1625</v>
      </c>
      <c r="C231" s="5" t="n">
        <f aca="false">IF(OR(B231="",B230=""),"",LN(B231/B230)*100)</f>
        <v>9.38300635086556</v>
      </c>
      <c r="D231" s="5" t="n">
        <f aca="false">IF(COUNT($C229:$C231)&lt;3,"",STDEV($C229:$C231))</f>
        <v>2.15147272428226</v>
      </c>
      <c r="E231" s="5" t="n">
        <f aca="false">IF(COUNT($C220:$C231)&lt;12,"",STDEV($C220:$C231))</f>
        <v>6.27625672433841</v>
      </c>
    </row>
    <row r="232" customFormat="false" ht="15" hidden="false" customHeight="false" outlineLevel="0" collapsed="false">
      <c r="A232" s="5" t="s">
        <v>253</v>
      </c>
      <c r="B232" s="5" t="n">
        <v>924.272727272727</v>
      </c>
      <c r="C232" s="5" t="n">
        <f aca="false">IF(OR(B232="",B231=""),"",LN(B232/B231)*100)</f>
        <v>-2.023140268627</v>
      </c>
      <c r="D232" s="5" t="n">
        <f aca="false">IF(COUNT($C230:$C232)&lt;3,"",STDEV($C230:$C232))</f>
        <v>5.76073361416713</v>
      </c>
      <c r="E232" s="5" t="n">
        <f aca="false">IF(COUNT($C221:$C232)&lt;12,"",STDEV($C221:$C232))</f>
        <v>6.12130035970628</v>
      </c>
    </row>
    <row r="233" customFormat="false" ht="15" hidden="false" customHeight="false" outlineLevel="0" collapsed="false">
      <c r="A233" s="5" t="s">
        <v>254</v>
      </c>
      <c r="B233" s="5" t="n">
        <v>890.2</v>
      </c>
      <c r="C233" s="5" t="n">
        <f aca="false">IF(OR(B233="",B232=""),"",LN(B233/B232)*100)</f>
        <v>-3.75610308950363</v>
      </c>
      <c r="D233" s="5" t="n">
        <f aca="false">IF(COUNT($C231:$C233)&lt;3,"",STDEV($C231:$C233))</f>
        <v>7.13838844709715</v>
      </c>
      <c r="E233" s="5" t="n">
        <f aca="false">IF(COUNT($C222:$C233)&lt;12,"",STDEV($C222:$C233))</f>
        <v>5.94342494100886</v>
      </c>
    </row>
    <row r="234" customFormat="false" ht="15" hidden="false" customHeight="false" outlineLevel="0" collapsed="false">
      <c r="A234" s="5" t="s">
        <v>255</v>
      </c>
      <c r="B234" s="5" t="n">
        <v>928.644736842105</v>
      </c>
      <c r="C234" s="5" t="n">
        <f aca="false">IF(OR(B234="",B233=""),"",LN(B234/B233)*100)</f>
        <v>4.22800944989025</v>
      </c>
      <c r="D234" s="5" t="n">
        <f aca="false">IF(COUNT($C232:$C234)&lt;3,"",STDEV($C232:$C234))</f>
        <v>4.19972391917146</v>
      </c>
      <c r="E234" s="5" t="n">
        <f aca="false">IF(COUNT($C223:$C234)&lt;12,"",STDEV($C223:$C234))</f>
        <v>6.02829804197408</v>
      </c>
    </row>
    <row r="235" customFormat="false" ht="15" hidden="false" customHeight="false" outlineLevel="0" collapsed="false">
      <c r="A235" s="5" t="s">
        <v>256</v>
      </c>
      <c r="B235" s="5" t="n">
        <v>945.670454545454</v>
      </c>
      <c r="C235" s="5" t="n">
        <f aca="false">IF(OR(B235="",B234=""),"",LN(B235/B234)*100)</f>
        <v>1.81679005636465</v>
      </c>
      <c r="D235" s="5" t="n">
        <f aca="false">IF(COUNT($C233:$C235)&lt;3,"",STDEV($C233:$C235))</f>
        <v>4.09506145702125</v>
      </c>
      <c r="E235" s="5" t="n">
        <f aca="false">IF(COUNT($C224:$C235)&lt;12,"",STDEV($C224:$C235))</f>
        <v>6.0417044995732</v>
      </c>
    </row>
    <row r="236" customFormat="false" ht="15" hidden="false" customHeight="false" outlineLevel="0" collapsed="false">
      <c r="A236" s="5" t="s">
        <v>257</v>
      </c>
      <c r="B236" s="5" t="n">
        <v>934.228260869565</v>
      </c>
      <c r="C236" s="5" t="n">
        <f aca="false">IF(OR(B236="",B235=""),"",LN(B236/B235)*100)</f>
        <v>-1.21733526213521</v>
      </c>
      <c r="D236" s="5" t="n">
        <f aca="false">IF(COUNT($C234:$C236)&lt;3,"",STDEV($C234:$C236))</f>
        <v>2.72860386904058</v>
      </c>
      <c r="E236" s="5" t="n">
        <f aca="false">IF(COUNT($C225:$C236)&lt;12,"",STDEV($C225:$C236))</f>
        <v>5.84545652697404</v>
      </c>
    </row>
    <row r="237" customFormat="false" ht="15" hidden="false" customHeight="false" outlineLevel="0" collapsed="false">
      <c r="A237" s="5" t="s">
        <v>258</v>
      </c>
      <c r="B237" s="5" t="n">
        <v>949.375</v>
      </c>
      <c r="C237" s="5" t="n">
        <f aca="false">IF(OR(B237="",B236=""),"",LN(B237/B236)*100)</f>
        <v>1.60830743270863</v>
      </c>
      <c r="D237" s="5" t="n">
        <f aca="false">IF(COUNT($C235:$C237)&lt;3,"",STDEV($C235:$C237))</f>
        <v>1.69477816108052</v>
      </c>
      <c r="E237" s="5" t="n">
        <f aca="false">IF(COUNT($C226:$C237)&lt;12,"",STDEV($C226:$C237))</f>
        <v>4.6433516402453</v>
      </c>
    </row>
    <row r="238" customFormat="false" ht="15" hidden="false" customHeight="false" outlineLevel="0" collapsed="false">
      <c r="A238" s="5" t="s">
        <v>259</v>
      </c>
      <c r="B238" s="5" t="n">
        <v>996.590909090909</v>
      </c>
      <c r="C238" s="5" t="n">
        <f aca="false">IF(OR(B238="",B237=""),"",LN(B238/B237)*100)</f>
        <v>4.85364905320306</v>
      </c>
      <c r="D238" s="5" t="n">
        <f aca="false">IF(COUNT($C236:$C238)&lt;3,"",STDEV($C236:$C238))</f>
        <v>3.03790907889295</v>
      </c>
      <c r="E238" s="5" t="n">
        <f aca="false">IF(COUNT($C227:$C238)&lt;12,"",STDEV($C227:$C238))</f>
        <v>4.71318324804132</v>
      </c>
    </row>
    <row r="239" customFormat="false" ht="15" hidden="false" customHeight="false" outlineLevel="0" collapsed="false">
      <c r="A239" s="5" t="s">
        <v>260</v>
      </c>
      <c r="B239" s="5" t="n">
        <v>1043.15909090909</v>
      </c>
      <c r="C239" s="5" t="n">
        <f aca="false">IF(OR(B239="",B238=""),"",LN(B239/B238)*100)</f>
        <v>4.56686115186029</v>
      </c>
      <c r="D239" s="5" t="n">
        <f aca="false">IF(COUNT($C237:$C239)&lt;3,"",STDEV($C237:$C239))</f>
        <v>1.79664175816884</v>
      </c>
      <c r="E239" s="5" t="n">
        <f aca="false">IF(COUNT($C228:$C239)&lt;12,"",STDEV($C228:$C239))</f>
        <v>4.57157393362892</v>
      </c>
    </row>
    <row r="240" customFormat="false" ht="15" hidden="false" customHeight="false" outlineLevel="0" collapsed="false">
      <c r="A240" s="5" t="s">
        <v>261</v>
      </c>
      <c r="B240" s="5" t="n">
        <v>1127.03571428571</v>
      </c>
      <c r="C240" s="5" t="n">
        <f aca="false">IF(OR(B240="",B239=""),"",LN(B240/B239)*100)</f>
        <v>7.73372278315053</v>
      </c>
      <c r="D240" s="5" t="n">
        <f aca="false">IF(COUNT($C238:$C240)&lt;3,"",STDEV($C238:$C240))</f>
        <v>1.75147959270766</v>
      </c>
      <c r="E240" s="5" t="n">
        <f aca="false">IF(COUNT($C229:$C240)&lt;12,"",STDEV($C229:$C240))</f>
        <v>4.06836907749633</v>
      </c>
    </row>
    <row r="241" customFormat="false" ht="15" hidden="false" customHeight="false" outlineLevel="0" collapsed="false">
      <c r="A241" s="5" t="s">
        <v>262</v>
      </c>
      <c r="B241" s="5" t="n">
        <v>1134.72368421052</v>
      </c>
      <c r="C241" s="5" t="n">
        <f aca="false">IF(OR(B241="",B240=""),"",LN(B241/B240)*100)</f>
        <v>0.679824700977271</v>
      </c>
      <c r="D241" s="5" t="n">
        <f aca="false">IF(COUNT($C239:$C241)&lt;3,"",STDEV($C239:$C241))</f>
        <v>3.53307097569803</v>
      </c>
      <c r="E241" s="5" t="n">
        <f aca="false">IF(COUNT($C230:$C241)&lt;12,"",STDEV($C230:$C241))</f>
        <v>3.94880645265463</v>
      </c>
    </row>
    <row r="242" customFormat="false" ht="15" hidden="false" customHeight="false" outlineLevel="0" collapsed="false">
      <c r="A242" s="5" t="s">
        <v>263</v>
      </c>
      <c r="B242" s="5" t="n">
        <v>1117.9625</v>
      </c>
      <c r="C242" s="5" t="n">
        <f aca="false">IF(OR(B242="",B241=""),"",LN(B242/B241)*100)</f>
        <v>-1.48813391288071</v>
      </c>
      <c r="D242" s="5" t="n">
        <f aca="false">IF(COUNT($C240:$C242)&lt;3,"",STDEV($C240:$C242))</f>
        <v>4.82182820838778</v>
      </c>
      <c r="E242" s="5" t="n">
        <f aca="false">IF(COUNT($C231:$C242)&lt;12,"",STDEV($C231:$C242))</f>
        <v>4.04938637869812</v>
      </c>
    </row>
    <row r="243" customFormat="false" ht="15" hidden="false" customHeight="false" outlineLevel="0" collapsed="false">
      <c r="A243" s="5" t="s">
        <v>264</v>
      </c>
      <c r="B243" s="5" t="n">
        <v>1095.4125</v>
      </c>
      <c r="C243" s="5" t="n">
        <f aca="false">IF(OR(B243="",B242=""),"",LN(B243/B242)*100)</f>
        <v>-2.03768274720479</v>
      </c>
      <c r="D243" s="5" t="n">
        <f aca="false">IF(COUNT($C241:$C243)&lt;3,"",STDEV($C241:$C243))</f>
        <v>1.43683072556889</v>
      </c>
      <c r="E243" s="5" t="n">
        <f aca="false">IF(COUNT($C232:$C243)&lt;12,"",STDEV($C232:$C243))</f>
        <v>3.51410380741552</v>
      </c>
    </row>
    <row r="244" customFormat="false" ht="15" hidden="false" customHeight="false" outlineLevel="0" collapsed="false">
      <c r="A244" s="5" t="s">
        <v>265</v>
      </c>
      <c r="B244" s="5" t="n">
        <v>1113.33695652173</v>
      </c>
      <c r="C244" s="5" t="n">
        <f aca="false">IF(OR(B244="",B243=""),"",LN(B244/B243)*100)</f>
        <v>1.62307680170823</v>
      </c>
      <c r="D244" s="5" t="n">
        <f aca="false">IF(COUNT($C242:$C244)&lt;3,"",STDEV($C242:$C244))</f>
        <v>1.974115688388</v>
      </c>
      <c r="E244" s="5" t="n">
        <f aca="false">IF(COUNT($C233:$C244)&lt;12,"",STDEV($C233:$C244))</f>
        <v>3.35988936327571</v>
      </c>
    </row>
    <row r="245" customFormat="false" ht="15" hidden="false" customHeight="false" outlineLevel="0" collapsed="false">
      <c r="A245" s="5" t="s">
        <v>266</v>
      </c>
      <c r="B245" s="5" t="n">
        <v>1148.6875</v>
      </c>
      <c r="C245" s="5" t="n">
        <f aca="false">IF(OR(B245="",B244=""),"",LN(B245/B244)*100)</f>
        <v>3.12582135675167</v>
      </c>
      <c r="D245" s="5" t="n">
        <f aca="false">IF(COUNT($C243:$C245)&lt;3,"",STDEV($C243:$C245))</f>
        <v>2.6558481477752</v>
      </c>
      <c r="E245" s="5" t="n">
        <f aca="false">IF(COUNT($C234:$C245)&lt;12,"",STDEV($C234:$C245))</f>
        <v>2.93174727914243</v>
      </c>
    </row>
    <row r="246" customFormat="false" ht="15" hidden="false" customHeight="false" outlineLevel="0" collapsed="false">
      <c r="A246" s="5" t="s">
        <v>267</v>
      </c>
      <c r="B246" s="5" t="n">
        <v>1205.43421052631</v>
      </c>
      <c r="C246" s="5" t="n">
        <f aca="false">IF(OR(B246="",B245=""),"",LN(B246/B245)*100)</f>
        <v>4.8219856477684</v>
      </c>
      <c r="D246" s="5" t="n">
        <f aca="false">IF(COUNT($C244:$C246)&lt;3,"",STDEV($C244:$C246))</f>
        <v>1.60042870846298</v>
      </c>
      <c r="E246" s="5" t="n">
        <f aca="false">IF(COUNT($C235:$C246)&lt;12,"",STDEV($C235:$C246))</f>
        <v>2.97518444328102</v>
      </c>
    </row>
    <row r="247" customFormat="false" ht="15" hidden="false" customHeight="false" outlineLevel="0" collapsed="false">
      <c r="A247" s="5" t="s">
        <v>268</v>
      </c>
      <c r="B247" s="5" t="n">
        <v>1232.92045454545</v>
      </c>
      <c r="C247" s="5" t="n">
        <f aca="false">IF(OR(B247="",B246=""),"",LN(B247/B246)*100)</f>
        <v>2.2545865629217</v>
      </c>
      <c r="D247" s="5" t="n">
        <f aca="false">IF(COUNT($C245:$C247)&lt;3,"",STDEV($C245:$C247))</f>
        <v>1.30560084692655</v>
      </c>
      <c r="E247" s="5" t="n">
        <f aca="false">IF(COUNT($C236:$C247)&lt;12,"",STDEV($C236:$C247))</f>
        <v>2.97309070123585</v>
      </c>
    </row>
    <row r="248" customFormat="false" ht="15" hidden="false" customHeight="false" outlineLevel="0" collapsed="false">
      <c r="A248" s="5" t="s">
        <v>269</v>
      </c>
      <c r="B248" s="5" t="n">
        <v>1192.9659090909</v>
      </c>
      <c r="C248" s="5" t="n">
        <f aca="false">IF(OR(B248="",B247=""),"",LN(B248/B247)*100)</f>
        <v>-3.29431414259574</v>
      </c>
      <c r="D248" s="5" t="n">
        <f aca="false">IF(COUNT($C246:$C248)&lt;3,"",STDEV($C246:$C248))</f>
        <v>4.14841655308843</v>
      </c>
      <c r="E248" s="5" t="n">
        <f aca="false">IF(COUNT($C237:$C248)&lt;12,"",STDEV($C237:$C248))</f>
        <v>3.23931717248143</v>
      </c>
    </row>
    <row r="249" customFormat="false" ht="15" hidden="false" customHeight="false" outlineLevel="0" collapsed="false">
      <c r="A249" s="5" t="s">
        <v>270</v>
      </c>
      <c r="B249" s="5" t="n">
        <v>1215.80952380952</v>
      </c>
      <c r="C249" s="5" t="n">
        <f aca="false">IF(OR(B249="",B248=""),"",LN(B249/B248)*100)</f>
        <v>1.89675627458852</v>
      </c>
      <c r="D249" s="5" t="n">
        <f aca="false">IF(COUNT($C247:$C249)&lt;3,"",STDEV($C247:$C249))</f>
        <v>3.1055207193831</v>
      </c>
      <c r="E249" s="5" t="n">
        <f aca="false">IF(COUNT($C238:$C249)&lt;12,"",STDEV($C238:$C249))</f>
        <v>3.2369136886456</v>
      </c>
    </row>
    <row r="250" customFormat="false" ht="15" hidden="false" customHeight="false" outlineLevel="0" collapsed="false">
      <c r="A250" s="5" t="s">
        <v>271</v>
      </c>
      <c r="B250" s="5" t="n">
        <v>1270.97727272727</v>
      </c>
      <c r="C250" s="5" t="n">
        <f aca="false">IF(OR(B250="",B249=""),"",LN(B250/B249)*100)</f>
        <v>4.43759809665701</v>
      </c>
      <c r="D250" s="5" t="n">
        <f aca="false">IF(COUNT($C248:$C250)&lt;3,"",STDEV($C248:$C250))</f>
        <v>3.94092958823263</v>
      </c>
      <c r="E250" s="5" t="n">
        <f aca="false">IF(COUNT($C239:$C250)&lt;12,"",STDEV($C239:$C250))</f>
        <v>3.20637015714126</v>
      </c>
    </row>
    <row r="251" customFormat="false" ht="15" hidden="false" customHeight="false" outlineLevel="0" collapsed="false">
      <c r="A251" s="5" t="s">
        <v>272</v>
      </c>
      <c r="B251" s="5" t="n">
        <v>1342.02380952381</v>
      </c>
      <c r="C251" s="5" t="n">
        <f aca="false">IF(OR(B251="",B250=""),"",LN(B251/B250)*100)</f>
        <v>5.43926695761718</v>
      </c>
      <c r="D251" s="5" t="n">
        <f aca="false">IF(COUNT($C249:$C251)&lt;3,"",STDEV($C249:$C251))</f>
        <v>1.82613433291757</v>
      </c>
      <c r="E251" s="5" t="n">
        <f aca="false">IF(COUNT($C240:$C251)&lt;12,"",STDEV($C240:$C251))</f>
        <v>3.27828556795079</v>
      </c>
    </row>
    <row r="252" customFormat="false" ht="15" hidden="false" customHeight="false" outlineLevel="0" collapsed="false">
      <c r="A252" s="5" t="s">
        <v>273</v>
      </c>
      <c r="B252" s="5" t="n">
        <v>1369.88636363636</v>
      </c>
      <c r="C252" s="5" t="n">
        <f aca="false">IF(OR(B252="",B251=""),"",LN(B252/B251)*100)</f>
        <v>2.05490099358443</v>
      </c>
      <c r="D252" s="5" t="n">
        <f aca="false">IF(COUNT($C250:$C252)&lt;3,"",STDEV($C250:$C252))</f>
        <v>1.73851080767953</v>
      </c>
      <c r="E252" s="5" t="n">
        <f aca="false">IF(COUNT($C241:$C252)&lt;12,"",STDEV($C241:$C252))</f>
        <v>2.75989808384905</v>
      </c>
    </row>
    <row r="253" customFormat="false" ht="15" hidden="false" customHeight="false" outlineLevel="0" collapsed="false">
      <c r="A253" s="5" t="s">
        <v>274</v>
      </c>
      <c r="B253" s="5" t="n">
        <v>1390.55263157894</v>
      </c>
      <c r="C253" s="5" t="n">
        <f aca="false">IF(OR(B253="",B252=""),"",LN(B253/B252)*100)</f>
        <v>1.4973454656461</v>
      </c>
      <c r="D253" s="5" t="n">
        <f aca="false">IF(COUNT($C251:$C253)&lt;3,"",STDEV($C251:$C253))</f>
        <v>2.13321143639121</v>
      </c>
      <c r="E253" s="5" t="n">
        <f aca="false">IF(COUNT($C242:$C253)&lt;12,"",STDEV($C242:$C253))</f>
        <v>2.74446204759972</v>
      </c>
    </row>
    <row r="254" customFormat="false" ht="15" hidden="false" customHeight="false" outlineLevel="0" collapsed="false">
      <c r="A254" s="5" t="s">
        <v>275</v>
      </c>
      <c r="B254" s="5" t="n">
        <v>1356.4</v>
      </c>
      <c r="C254" s="5" t="n">
        <f aca="false">IF(OR(B254="",B253=""),"",LN(B254/B253)*100)</f>
        <v>-2.48671135360855</v>
      </c>
      <c r="D254" s="5" t="n">
        <f aca="false">IF(COUNT($C252:$C254)&lt;3,"",STDEV($C252:$C254))</f>
        <v>2.47688714646563</v>
      </c>
      <c r="E254" s="5" t="n">
        <f aca="false">IF(COUNT($C243:$C254)&lt;12,"",STDEV($C243:$C254))</f>
        <v>2.86233534358421</v>
      </c>
    </row>
    <row r="255" customFormat="false" ht="15" hidden="false" customHeight="false" outlineLevel="0" collapsed="false">
      <c r="A255" s="5" t="s">
        <v>276</v>
      </c>
      <c r="B255" s="5" t="n">
        <v>1372.725</v>
      </c>
      <c r="C255" s="5" t="n">
        <f aca="false">IF(OR(B255="",B254=""),"",LN(B255/B254)*100)</f>
        <v>1.19636841226517</v>
      </c>
      <c r="D255" s="5" t="n">
        <f aca="false">IF(COUNT($C253:$C255)&lt;3,"",STDEV($C253:$C255))</f>
        <v>2.21842182972115</v>
      </c>
      <c r="E255" s="5" t="n">
        <f aca="false">IF(COUNT($C244:$C255)&lt;12,"",STDEV($C244:$C255))</f>
        <v>2.63041136205904</v>
      </c>
    </row>
    <row r="256" customFormat="false" ht="15" hidden="false" customHeight="false" outlineLevel="0" collapsed="false">
      <c r="A256" s="5" t="s">
        <v>277</v>
      </c>
      <c r="B256" s="5" t="n">
        <v>1424.01086956521</v>
      </c>
      <c r="C256" s="5" t="n">
        <f aca="false">IF(OR(B256="",B255=""),"",LN(B256/B255)*100)</f>
        <v>3.66796306902897</v>
      </c>
      <c r="D256" s="5" t="n">
        <f aca="false">IF(COUNT($C254:$C256)&lt;3,"",STDEV($C254:$C256))</f>
        <v>3.09714583549113</v>
      </c>
      <c r="E256" s="5" t="n">
        <f aca="false">IF(COUNT($C245:$C256)&lt;12,"",STDEV($C245:$C256))</f>
        <v>2.6780210697482</v>
      </c>
    </row>
    <row r="257" customFormat="false" ht="15" hidden="false" customHeight="false" outlineLevel="0" collapsed="false">
      <c r="A257" s="5" t="s">
        <v>278</v>
      </c>
      <c r="B257" s="5" t="n">
        <v>1473.80555555555</v>
      </c>
      <c r="C257" s="5" t="n">
        <f aca="false">IF(OR(B257="",B256=""),"",LN(B257/B256)*100)</f>
        <v>3.43704228064565</v>
      </c>
      <c r="D257" s="5" t="n">
        <f aca="false">IF(COUNT($C255:$C257)&lt;3,"",STDEV($C255:$C257))</f>
        <v>1.36520596384416</v>
      </c>
      <c r="E257" s="5" t="n">
        <f aca="false">IF(COUNT($C246:$C257)&lt;12,"",STDEV($C246:$C257))</f>
        <v>2.69085299940477</v>
      </c>
    </row>
    <row r="258" customFormat="false" ht="15" hidden="false" customHeight="false" outlineLevel="0" collapsed="false">
      <c r="A258" s="5" t="s">
        <v>279</v>
      </c>
      <c r="B258" s="5" t="n">
        <v>1510.4375</v>
      </c>
      <c r="C258" s="5" t="n">
        <f aca="false">IF(OR(B258="",B257=""),"",LN(B258/B257)*100)</f>
        <v>2.45514750723179</v>
      </c>
      <c r="D258" s="5" t="n">
        <f aca="false">IF(COUNT($C256:$C258)&lt;3,"",STDEV($C256:$C258))</f>
        <v>0.643993186234974</v>
      </c>
      <c r="E258" s="5" t="n">
        <f aca="false">IF(COUNT($C247:$C258)&lt;12,"",STDEV($C247:$C258))</f>
        <v>2.55464519763241</v>
      </c>
    </row>
    <row r="259" customFormat="false" ht="15" hidden="false" customHeight="false" outlineLevel="0" collapsed="false">
      <c r="A259" s="5" t="s">
        <v>280</v>
      </c>
      <c r="B259" s="5" t="n">
        <v>1528.65909090909</v>
      </c>
      <c r="C259" s="5" t="n">
        <f aca="false">IF(OR(B259="",B258=""),"",LN(B259/B258)*100)</f>
        <v>1.19915959999452</v>
      </c>
      <c r="D259" s="5" t="n">
        <f aca="false">IF(COUNT($C257:$C259)&lt;3,"",STDEV($C257:$C259))</f>
        <v>1.12173540117846</v>
      </c>
      <c r="E259" s="5" t="n">
        <f aca="false">IF(COUNT($C248:$C259)&lt;12,"",STDEV($C248:$C259))</f>
        <v>2.55872876704921</v>
      </c>
    </row>
    <row r="260" customFormat="false" ht="15" hidden="false" customHeight="false" outlineLevel="0" collapsed="false">
      <c r="A260" s="5" t="s">
        <v>281</v>
      </c>
      <c r="B260" s="5" t="n">
        <v>1572.80952380952</v>
      </c>
      <c r="C260" s="5" t="n">
        <f aca="false">IF(OR(B260="",B259=""),"",LN(B260/B259)*100)</f>
        <v>2.8472585752838</v>
      </c>
      <c r="D260" s="5" t="n">
        <f aca="false">IF(COUNT($C258:$C260)&lt;3,"",STDEV($C258:$C260))</f>
        <v>0.860957504290495</v>
      </c>
      <c r="E260" s="5" t="n">
        <f aca="false">IF(COUNT($C249:$C260)&lt;12,"",STDEV($C249:$C260))</f>
        <v>2.00275530576728</v>
      </c>
    </row>
    <row r="261" customFormat="false" ht="15" hidden="false" customHeight="false" outlineLevel="0" collapsed="false">
      <c r="A261" s="5" t="s">
        <v>282</v>
      </c>
      <c r="B261" s="5" t="n">
        <v>1755.80681818181</v>
      </c>
      <c r="C261" s="5" t="n">
        <f aca="false">IF(OR(B261="",B260=""),"",LN(B261/B260)*100)</f>
        <v>11.0064951022331</v>
      </c>
      <c r="D261" s="5" t="n">
        <f aca="false">IF(COUNT($C259:$C261)&lt;3,"",STDEV($C259:$C261))</f>
        <v>5.25155850817202</v>
      </c>
      <c r="E261" s="5" t="n">
        <f aca="false">IF(COUNT($C250:$C261)&lt;12,"",STDEV($C250:$C261))</f>
        <v>3.20201985811751</v>
      </c>
    </row>
    <row r="262" customFormat="false" ht="15" hidden="false" customHeight="false" outlineLevel="0" collapsed="false">
      <c r="A262" s="5" t="s">
        <v>283</v>
      </c>
      <c r="B262" s="5" t="n">
        <v>1771.85227272727</v>
      </c>
      <c r="C262" s="5" t="n">
        <f aca="false">IF(OR(B262="",B261=""),"",LN(B262/B261)*100)</f>
        <v>0.909700443604554</v>
      </c>
      <c r="D262" s="5" t="n">
        <f aca="false">IF(COUNT($C260:$C262)&lt;3,"",STDEV($C260:$C262))</f>
        <v>5.35836627146202</v>
      </c>
      <c r="E262" s="5" t="n">
        <f aca="false">IF(COUNT($C251:$C262)&lt;12,"",STDEV($C251:$C262))</f>
        <v>3.22616858319951</v>
      </c>
    </row>
    <row r="263" customFormat="false" ht="15" hidden="false" customHeight="false" outlineLevel="0" collapsed="false">
      <c r="A263" s="5" t="s">
        <v>284</v>
      </c>
      <c r="B263" s="5" t="n">
        <v>1665.21428571428</v>
      </c>
      <c r="C263" s="5" t="n">
        <f aca="false">IF(OR(B263="",B262=""),"",LN(B263/B262)*100)</f>
        <v>-6.20716658922695</v>
      </c>
      <c r="D263" s="5" t="n">
        <f aca="false">IF(COUNT($C261:$C263)&lt;3,"",STDEV($C261:$C263))</f>
        <v>8.6497129776037</v>
      </c>
      <c r="E263" s="5" t="n">
        <f aca="false">IF(COUNT($C252:$C263)&lt;12,"",STDEV($C252:$C263))</f>
        <v>4.00703779741797</v>
      </c>
    </row>
    <row r="264" customFormat="false" ht="15" hidden="false" customHeight="false" outlineLevel="0" collapsed="false">
      <c r="A264" s="5" t="s">
        <v>285</v>
      </c>
      <c r="B264" s="5" t="n">
        <v>1738.97727272727</v>
      </c>
      <c r="C264" s="5" t="n">
        <f aca="false">IF(OR(B264="",B263=""),"",LN(B264/B263)*100)</f>
        <v>4.33433508447841</v>
      </c>
      <c r="D264" s="5" t="n">
        <f aca="false">IF(COUNT($C262:$C264)&lt;3,"",STDEV($C262:$C264))</f>
        <v>5.37744016429146</v>
      </c>
      <c r="E264" s="5" t="n">
        <f aca="false">IF(COUNT($C253:$C264)&lt;12,"",STDEV($C253:$C264))</f>
        <v>4.07378885936546</v>
      </c>
    </row>
    <row r="265" customFormat="false" ht="15" hidden="false" customHeight="false" outlineLevel="0" collapsed="false">
      <c r="A265" s="5" t="s">
        <v>286</v>
      </c>
      <c r="B265" s="5" t="n">
        <v>1652.30555555555</v>
      </c>
      <c r="C265" s="5" t="n">
        <f aca="false">IF(OR(B265="",B264=""),"",LN(B265/B264)*100)</f>
        <v>-5.11255471390832</v>
      </c>
      <c r="D265" s="5" t="n">
        <f aca="false">IF(COUNT($C263:$C265)&lt;3,"",STDEV($C263:$C265))</f>
        <v>5.79604979788224</v>
      </c>
      <c r="E265" s="5" t="n">
        <f aca="false">IF(COUNT($C254:$C265)&lt;12,"",STDEV($C254:$C265))</f>
        <v>4.56359688971327</v>
      </c>
    </row>
    <row r="266" customFormat="false" ht="15" hidden="false" customHeight="false" outlineLevel="0" collapsed="false">
      <c r="A266" s="5" t="s">
        <v>287</v>
      </c>
      <c r="B266" s="5" t="n">
        <v>1656.11904761904</v>
      </c>
      <c r="C266" s="5" t="n">
        <f aca="false">IF(OR(B266="",B265=""),"",LN(B266/B265)*100)</f>
        <v>0.230532305238895</v>
      </c>
      <c r="D266" s="5" t="n">
        <f aca="false">IF(COUNT($C264:$C266)&lt;3,"",STDEV($C264:$C266))</f>
        <v>4.73697341854368</v>
      </c>
      <c r="E266" s="5" t="n">
        <f aca="false">IF(COUNT($C255:$C266)&lt;12,"",STDEV($C255:$C266))</f>
        <v>4.41623014684848</v>
      </c>
    </row>
    <row r="267" customFormat="false" ht="15" hidden="false" customHeight="false" outlineLevel="0" collapsed="false">
      <c r="A267" s="5" t="s">
        <v>288</v>
      </c>
      <c r="B267" s="5" t="n">
        <v>1742.61904761904</v>
      </c>
      <c r="C267" s="5" t="n">
        <f aca="false">IF(OR(B267="",B266=""),"",LN(B267/B266)*100)</f>
        <v>5.09122392917204</v>
      </c>
      <c r="D267" s="5" t="n">
        <f aca="false">IF(COUNT($C265:$C267)&lt;3,"",STDEV($C265:$C267))</f>
        <v>5.10378945089065</v>
      </c>
      <c r="E267" s="5" t="n">
        <f aca="false">IF(COUNT($C256:$C267)&lt;12,"",STDEV($C256:$C267))</f>
        <v>4.52065377600934</v>
      </c>
    </row>
    <row r="268" customFormat="false" ht="15" hidden="false" customHeight="false" outlineLevel="0" collapsed="false">
      <c r="A268" s="5" t="s">
        <v>289</v>
      </c>
      <c r="B268" s="5" t="n">
        <v>1673.77272727272</v>
      </c>
      <c r="C268" s="5" t="n">
        <f aca="false">IF(OR(B268="",B267=""),"",LN(B268/B267)*100)</f>
        <v>-4.03089847443559</v>
      </c>
      <c r="D268" s="5" t="n">
        <f aca="false">IF(COUNT($C266:$C268)&lt;3,"",STDEV($C266:$C268))</f>
        <v>4.5643406332739</v>
      </c>
      <c r="E268" s="5" t="n">
        <f aca="false">IF(COUNT($C257:$C268)&lt;12,"",STDEV($C257:$C268))</f>
        <v>4.79837975872505</v>
      </c>
    </row>
    <row r="269" customFormat="false" ht="15" hidden="false" customHeight="false" outlineLevel="0" collapsed="false">
      <c r="A269" s="5" t="s">
        <v>290</v>
      </c>
      <c r="B269" s="5" t="n">
        <v>1650.06578947368</v>
      </c>
      <c r="C269" s="5" t="n">
        <f aca="false">IF(OR(B269="",B268=""),"",LN(B269/B268)*100)</f>
        <v>-1.42650370595103</v>
      </c>
      <c r="D269" s="5" t="n">
        <f aca="false">IF(COUNT($C267:$C269)&lt;3,"",STDEV($C267:$C269))</f>
        <v>4.69887863896194</v>
      </c>
      <c r="E269" s="5" t="n">
        <f aca="false">IF(COUNT($C258:$C269)&lt;12,"",STDEV($C258:$C269))</f>
        <v>4.81114978473527</v>
      </c>
    </row>
    <row r="270" customFormat="false" ht="15" hidden="false" customHeight="false" outlineLevel="0" collapsed="false">
      <c r="A270" s="5" t="s">
        <v>291</v>
      </c>
      <c r="B270" s="5" t="n">
        <v>1585.50454545454</v>
      </c>
      <c r="C270" s="5" t="n">
        <f aca="false">IF(OR(B270="",B269=""),"",LN(B270/B269)*100)</f>
        <v>-3.99124776434607</v>
      </c>
      <c r="D270" s="5" t="n">
        <f aca="false">IF(COUNT($C268:$C270)&lt;3,"",STDEV($C268:$C270))</f>
        <v>1.492333540354</v>
      </c>
      <c r="E270" s="5" t="n">
        <f aca="false">IF(COUNT($C259:$C270)&lt;12,"",STDEV($C259:$C270))</f>
        <v>4.98356653959723</v>
      </c>
    </row>
    <row r="271" customFormat="false" ht="15" hidden="false" customHeight="false" outlineLevel="0" collapsed="false">
      <c r="A271" s="5" t="s">
        <v>292</v>
      </c>
      <c r="B271" s="5" t="n">
        <v>1596.69736842105</v>
      </c>
      <c r="C271" s="5" t="n">
        <f aca="false">IF(OR(B271="",B270=""),"",LN(B271/B270)*100)</f>
        <v>0.703466934359989</v>
      </c>
      <c r="D271" s="5" t="n">
        <f aca="false">IF(COUNT($C269:$C271)&lt;3,"",STDEV($C269:$C271))</f>
        <v>2.35071028683908</v>
      </c>
      <c r="E271" s="5" t="n">
        <f aca="false">IF(COUNT($C260:$C271)&lt;12,"",STDEV($C260:$C271))</f>
        <v>4.97842991430589</v>
      </c>
    </row>
    <row r="272" customFormat="false" ht="15" hidden="false" customHeight="false" outlineLevel="0" collapsed="false">
      <c r="A272" s="5" t="s">
        <v>293</v>
      </c>
      <c r="B272" s="5" t="n">
        <v>1593.90909090909</v>
      </c>
      <c r="C272" s="5" t="n">
        <f aca="false">IF(OR(B272="",B271=""),"",LN(B272/B271)*100)</f>
        <v>-0.17478045364157</v>
      </c>
      <c r="D272" s="5" t="n">
        <f aca="false">IF(COUNT($C270:$C272)&lt;3,"",STDEV($C270:$C272))</f>
        <v>2.49589954760651</v>
      </c>
      <c r="E272" s="5" t="n">
        <f aca="false">IF(COUNT($C261:$C272)&lt;12,"",STDEV($C261:$C272))</f>
        <v>4.9173933528807</v>
      </c>
    </row>
    <row r="273" customFormat="false" ht="15" hidden="false" customHeight="false" outlineLevel="0" collapsed="false">
      <c r="A273" s="5" t="s">
        <v>294</v>
      </c>
      <c r="B273" s="5" t="n">
        <v>1626.03409090909</v>
      </c>
      <c r="C273" s="5" t="n">
        <f aca="false">IF(OR(B273="",B272=""),"",LN(B273/B272)*100)</f>
        <v>1.99544303349643</v>
      </c>
      <c r="D273" s="5" t="n">
        <f aca="false">IF(COUNT($C271:$C273)&lt;3,"",STDEV($C271:$C273))</f>
        <v>1.09166468443052</v>
      </c>
      <c r="E273" s="5" t="n">
        <f aca="false">IF(COUNT($C262:$C273)&lt;12,"",STDEV($C262:$C273))</f>
        <v>3.61891444363096</v>
      </c>
    </row>
    <row r="274" customFormat="false" ht="15" hidden="false" customHeight="false" outlineLevel="0" collapsed="false">
      <c r="A274" s="5" t="s">
        <v>295</v>
      </c>
      <c r="B274" s="5" t="n">
        <v>1744.45</v>
      </c>
      <c r="C274" s="5" t="n">
        <f aca="false">IF(OR(B274="",B273=""),"",LN(B274/B273)*100)</f>
        <v>7.02953427017631</v>
      </c>
      <c r="D274" s="5" t="n">
        <f aca="false">IF(COUNT($C272:$C274)&lt;3,"",STDEV($C272:$C274))</f>
        <v>3.69581058324065</v>
      </c>
      <c r="E274" s="5" t="n">
        <f aca="false">IF(COUNT($C263:$C274)&lt;12,"",STDEV($C263:$C274))</f>
        <v>4.2357733244585</v>
      </c>
    </row>
    <row r="275" customFormat="false" ht="15" hidden="false" customHeight="false" outlineLevel="0" collapsed="false">
      <c r="A275" s="5" t="s">
        <v>296</v>
      </c>
      <c r="B275" s="5" t="n">
        <v>1747.01086956521</v>
      </c>
      <c r="C275" s="5" t="n">
        <f aca="false">IF(OR(B275="",B274=""),"",LN(B275/B274)*100)</f>
        <v>0.146693325235825</v>
      </c>
      <c r="D275" s="5" t="n">
        <f aca="false">IF(COUNT($C273:$C275)&lt;3,"",STDEV($C273:$C275))</f>
        <v>3.56214938710605</v>
      </c>
      <c r="E275" s="5" t="n">
        <f aca="false">IF(COUNT($C264:$C275)&lt;12,"",STDEV($C264:$C275))</f>
        <v>3.77959085736113</v>
      </c>
    </row>
    <row r="276" customFormat="false" ht="15" hidden="false" customHeight="false" outlineLevel="0" collapsed="false">
      <c r="A276" s="5" t="s">
        <v>297</v>
      </c>
      <c r="B276" s="5" t="n">
        <v>1721.13636363636</v>
      </c>
      <c r="C276" s="5" t="n">
        <f aca="false">IF(OR(B276="",B275=""),"",LN(B276/B275)*100)</f>
        <v>-1.49215037712378</v>
      </c>
      <c r="D276" s="5" t="n">
        <f aca="false">IF(COUNT($C274:$C276)&lt;3,"",STDEV($C274:$C276))</f>
        <v>4.52176988545678</v>
      </c>
      <c r="E276" s="5" t="n">
        <f aca="false">IF(COUNT($C265:$C276)&lt;12,"",STDEV($C265:$C276))</f>
        <v>3.59805509262339</v>
      </c>
    </row>
    <row r="277" customFormat="false" ht="15" hidden="false" customHeight="false" outlineLevel="0" collapsed="false">
      <c r="A277" s="5" t="s">
        <v>298</v>
      </c>
      <c r="B277" s="5" t="n">
        <v>1688.5294117647</v>
      </c>
      <c r="C277" s="5" t="n">
        <f aca="false">IF(OR(B277="",B276=""),"",LN(B277/B276)*100)</f>
        <v>-1.91267696440875</v>
      </c>
      <c r="D277" s="5" t="n">
        <f aca="false">IF(COUNT($C275:$C277)&lt;3,"",STDEV($C275:$C277))</f>
        <v>1.08809139331584</v>
      </c>
      <c r="E277" s="5" t="n">
        <f aca="false">IF(COUNT($C266:$C277)&lt;12,"",STDEV($C266:$C277))</f>
        <v>3.29769656296815</v>
      </c>
    </row>
    <row r="278" customFormat="false" ht="15" hidden="false" customHeight="false" outlineLevel="0" collapsed="false">
      <c r="A278" s="5" t="s">
        <v>299</v>
      </c>
      <c r="B278" s="5" t="n">
        <v>1670.95454545454</v>
      </c>
      <c r="C278" s="5" t="n">
        <f aca="false">IF(OR(B278="",B277=""),"",LN(B278/B277)*100)</f>
        <v>-1.04629323221756</v>
      </c>
      <c r="D278" s="5" t="n">
        <f aca="false">IF(COUNT($C276:$C278)&lt;3,"",STDEV($C276:$C278))</f>
        <v>0.433253577727679</v>
      </c>
      <c r="E278" s="5" t="n">
        <f aca="false">IF(COUNT($C267:$C278)&lt;12,"",STDEV($C267:$C278))</f>
        <v>3.31648843930482</v>
      </c>
    </row>
    <row r="279" customFormat="false" ht="15" hidden="false" customHeight="false" outlineLevel="0" collapsed="false">
      <c r="A279" s="5" t="s">
        <v>300</v>
      </c>
      <c r="B279" s="5" t="n">
        <v>1627.5875</v>
      </c>
      <c r="C279" s="5" t="n">
        <f aca="false">IF(OR(B279="",B278=""),"",LN(B279/B278)*100)</f>
        <v>-2.62961901449594</v>
      </c>
      <c r="D279" s="5" t="n">
        <f aca="false">IF(COUNT($C277:$C279)&lt;3,"",STDEV($C277:$C279))</f>
        <v>0.792837436828022</v>
      </c>
      <c r="E279" s="5" t="n">
        <f aca="false">IF(COUNT($C268:$C279)&lt;12,"",STDEV($C268:$C279))</f>
        <v>2.98731190344803</v>
      </c>
    </row>
    <row r="280" customFormat="false" ht="15" hidden="false" customHeight="false" outlineLevel="0" collapsed="false">
      <c r="A280" s="5" t="s">
        <v>301</v>
      </c>
      <c r="B280" s="5" t="n">
        <v>1592.8625</v>
      </c>
      <c r="C280" s="5" t="n">
        <f aca="false">IF(OR(B280="",B279=""),"",LN(B280/B279)*100)</f>
        <v>-2.15661450223872</v>
      </c>
      <c r="D280" s="5" t="n">
        <f aca="false">IF(COUNT($C278:$C280)&lt;3,"",STDEV($C278:$C280))</f>
        <v>0.812759407215578</v>
      </c>
      <c r="E280" s="5" t="n">
        <f aca="false">IF(COUNT($C269:$C280)&lt;12,"",STDEV($C269:$C280))</f>
        <v>2.83497174474902</v>
      </c>
    </row>
    <row r="281" customFormat="false" ht="15" hidden="false" customHeight="false" outlineLevel="0" collapsed="false">
      <c r="A281" s="5" t="s">
        <v>302</v>
      </c>
      <c r="B281" s="5" t="n">
        <v>1485.08333333333</v>
      </c>
      <c r="C281" s="5" t="n">
        <f aca="false">IF(OR(B281="",B280=""),"",LN(B281/B280)*100)</f>
        <v>-7.00618246708986</v>
      </c>
      <c r="D281" s="5" t="n">
        <f aca="false">IF(COUNT($C279:$C281)&lt;3,"",STDEV($C279:$C281))</f>
        <v>2.67383464861819</v>
      </c>
      <c r="E281" s="5" t="n">
        <f aca="false">IF(COUNT($C270:$C281)&lt;12,"",STDEV($C270:$C281))</f>
        <v>3.41463881529488</v>
      </c>
    </row>
    <row r="282" customFormat="false" ht="15" hidden="false" customHeight="false" outlineLevel="0" collapsed="false">
      <c r="A282" s="5" t="s">
        <v>303</v>
      </c>
      <c r="B282" s="5" t="n">
        <v>1413.5</v>
      </c>
      <c r="C282" s="5" t="n">
        <f aca="false">IF(OR(B282="",B281=""),"",LN(B282/B281)*100)</f>
        <v>-4.94019892514518</v>
      </c>
      <c r="D282" s="5" t="n">
        <f aca="false">IF(COUNT($C280:$C282)&lt;3,"",STDEV($C280:$C282))</f>
        <v>2.43361663924101</v>
      </c>
      <c r="E282" s="5" t="n">
        <f aca="false">IF(COUNT($C271:$C282)&lt;12,"",STDEV($C271:$C282))</f>
        <v>3.50313749612512</v>
      </c>
    </row>
    <row r="283" customFormat="false" ht="15" hidden="false" customHeight="false" outlineLevel="0" collapsed="false">
      <c r="A283" s="5" t="s">
        <v>304</v>
      </c>
      <c r="B283" s="5" t="n">
        <v>1342.3625</v>
      </c>
      <c r="C283" s="5" t="n">
        <f aca="false">IF(OR(B283="",B282=""),"",LN(B283/B282)*100)</f>
        <v>-5.16377768526102</v>
      </c>
      <c r="D283" s="5" t="n">
        <f aca="false">IF(COUNT($C281:$C283)&lt;3,"",STDEV($C281:$C283))</f>
        <v>1.13377914057861</v>
      </c>
      <c r="E283" s="5" t="n">
        <f aca="false">IF(COUNT($C272:$C283)&lt;12,"",STDEV($C272:$C283))</f>
        <v>3.65641923850442</v>
      </c>
    </row>
    <row r="284" customFormat="false" ht="15" hidden="false" customHeight="false" outlineLevel="0" collapsed="false">
      <c r="A284" s="5" t="s">
        <v>305</v>
      </c>
      <c r="B284" s="5" t="n">
        <v>1286.72391304347</v>
      </c>
      <c r="C284" s="5" t="n">
        <f aca="false">IF(OR(B284="",B283=""),"",LN(B284/B283)*100)</f>
        <v>-4.23317354773108</v>
      </c>
      <c r="D284" s="5" t="n">
        <f aca="false">IF(COUNT($C282:$C284)&lt;3,"",STDEV($C282:$C284))</f>
        <v>0.485780541512028</v>
      </c>
      <c r="E284" s="5" t="n">
        <f aca="false">IF(COUNT($C273:$C284)&lt;12,"",STDEV($C273:$C284))</f>
        <v>3.71537518688078</v>
      </c>
    </row>
    <row r="285" customFormat="false" ht="15" hidden="false" customHeight="false" outlineLevel="0" collapsed="false">
      <c r="A285" s="5" t="s">
        <v>306</v>
      </c>
      <c r="B285" s="5" t="n">
        <v>1347.09523809523</v>
      </c>
      <c r="C285" s="5" t="n">
        <f aca="false">IF(OR(B285="",B284=""),"",LN(B285/B284)*100)</f>
        <v>4.58512129641295</v>
      </c>
      <c r="D285" s="5" t="n">
        <f aca="false">IF(COUNT($C283:$C285)&lt;3,"",STDEV($C283:$C285))</f>
        <v>5.38004614871671</v>
      </c>
      <c r="E285" s="5" t="n">
        <f aca="false">IF(COUNT($C274:$C285)&lt;12,"",STDEV($C274:$C285))</f>
        <v>4.01776991642574</v>
      </c>
    </row>
    <row r="286" customFormat="false" ht="15" hidden="false" customHeight="false" outlineLevel="0" collapsed="false">
      <c r="A286" s="5" t="s">
        <v>307</v>
      </c>
      <c r="B286" s="5" t="n">
        <v>1348.79761904761</v>
      </c>
      <c r="C286" s="5" t="n">
        <f aca="false">IF(OR(B286="",B285=""),"",LN(B286/B285)*100)</f>
        <v>0.126294424064245</v>
      </c>
      <c r="D286" s="5" t="n">
        <f aca="false">IF(COUNT($C284:$C286)&lt;3,"",STDEV($C284:$C286))</f>
        <v>4.40924071379161</v>
      </c>
      <c r="E286" s="5" t="n">
        <f aca="false">IF(COUNT($C275:$C286)&lt;12,"",STDEV($C275:$C286))</f>
        <v>3.05324264565481</v>
      </c>
    </row>
    <row r="287" customFormat="false" ht="15" hidden="false" customHeight="false" outlineLevel="0" collapsed="false">
      <c r="A287" s="5" t="s">
        <v>308</v>
      </c>
      <c r="B287" s="5" t="n">
        <v>1316.18478260869</v>
      </c>
      <c r="C287" s="5" t="n">
        <f aca="false">IF(OR(B287="",B286=""),"",LN(B287/B286)*100)</f>
        <v>-2.44763076634862</v>
      </c>
      <c r="D287" s="5" t="n">
        <f aca="false">IF(COUNT($C285:$C287)&lt;3,"",STDEV($C285:$C287))</f>
        <v>3.55822590485057</v>
      </c>
      <c r="E287" s="5" t="n">
        <f aca="false">IF(COUNT($C276:$C287)&lt;12,"",STDEV($C276:$C287))</f>
        <v>2.96696326243306</v>
      </c>
    </row>
    <row r="288" customFormat="false" ht="15" hidden="false" customHeight="false" outlineLevel="0" collapsed="false">
      <c r="A288" s="5" t="s">
        <v>309</v>
      </c>
      <c r="B288" s="5" t="n">
        <v>1275.82142857142</v>
      </c>
      <c r="C288" s="5" t="n">
        <f aca="false">IF(OR(B288="",B287=""),"",LN(B288/B287)*100)</f>
        <v>-3.11470064943087</v>
      </c>
      <c r="D288" s="5" t="n">
        <f aca="false">IF(COUNT($C286:$C288)&lt;3,"",STDEV($C286:$C288))</f>
        <v>1.71143809807117</v>
      </c>
      <c r="E288" s="5" t="n">
        <f aca="false">IF(COUNT($C277:$C288)&lt;12,"",STDEV($C277:$C288))</f>
        <v>2.96079595924317</v>
      </c>
    </row>
    <row r="289" customFormat="false" ht="15" hidden="false" customHeight="false" outlineLevel="0" collapsed="false">
      <c r="A289" s="5" t="s">
        <v>310</v>
      </c>
      <c r="B289" s="5" t="n">
        <v>1225.40277777777</v>
      </c>
      <c r="C289" s="5" t="n">
        <f aca="false">IF(OR(B289="",B288=""),"",LN(B289/B288)*100)</f>
        <v>-4.03206407282166</v>
      </c>
      <c r="D289" s="5" t="n">
        <f aca="false">IF(COUNT($C287:$C289)&lt;3,"",STDEV($C287:$C289))</f>
        <v>0.795504743559264</v>
      </c>
      <c r="E289" s="5" t="n">
        <f aca="false">IF(COUNT($C278:$C289)&lt;12,"",STDEV($C278:$C289))</f>
        <v>2.98600953585315</v>
      </c>
    </row>
    <row r="290" customFormat="false" ht="15" hidden="false" customHeight="false" outlineLevel="0" collapsed="false">
      <c r="A290" s="5" t="s">
        <v>311</v>
      </c>
      <c r="B290" s="5" t="n">
        <v>1244.79545454545</v>
      </c>
      <c r="C290" s="5" t="n">
        <f aca="false">IF(OR(B290="",B289=""),"",LN(B290/B289)*100)</f>
        <v>1.57016347408708</v>
      </c>
      <c r="D290" s="5" t="n">
        <f aca="false">IF(COUNT($C288:$C290)&lt;3,"",STDEV($C288:$C290))</f>
        <v>3.00484223084851</v>
      </c>
      <c r="E290" s="5" t="n">
        <f aca="false">IF(COUNT($C279:$C290)&lt;12,"",STDEV($C279:$C290))</f>
        <v>3.20311032376361</v>
      </c>
    </row>
    <row r="291" customFormat="false" ht="15" hidden="false" customHeight="false" outlineLevel="0" collapsed="false">
      <c r="A291" s="5" t="s">
        <v>312</v>
      </c>
      <c r="B291" s="5" t="n">
        <v>1300.975</v>
      </c>
      <c r="C291" s="5" t="n">
        <f aca="false">IF(OR(B291="",B290=""),"",LN(B291/B290)*100)</f>
        <v>4.41427604768189</v>
      </c>
      <c r="D291" s="5" t="n">
        <f aca="false">IF(COUNT($C289:$C291)&lt;3,"",STDEV($C289:$C291))</f>
        <v>4.2975689106333</v>
      </c>
      <c r="E291" s="5" t="n">
        <f aca="false">IF(COUNT($C280:$C291)&lt;12,"",STDEV($C280:$C291))</f>
        <v>3.76418707040827</v>
      </c>
    </row>
    <row r="292" customFormat="false" ht="15" hidden="false" customHeight="false" outlineLevel="0" collapsed="false">
      <c r="A292" s="5" t="s">
        <v>313</v>
      </c>
      <c r="B292" s="5" t="n">
        <v>1336.08333333333</v>
      </c>
      <c r="C292" s="5" t="n">
        <f aca="false">IF(OR(B292="",B291=""),"",LN(B292/B291)*100)</f>
        <v>2.66284650606606</v>
      </c>
      <c r="D292" s="5" t="n">
        <f aca="false">IF(COUNT($C290:$C292)&lt;3,"",STDEV($C290:$C292))</f>
        <v>1.43471472070812</v>
      </c>
      <c r="E292" s="5" t="n">
        <f aca="false">IF(COUNT($C281:$C292)&lt;12,"",STDEV($C281:$C292))</f>
        <v>3.98127151652501</v>
      </c>
    </row>
    <row r="293" customFormat="false" ht="15" hidden="false" customHeight="false" outlineLevel="0" collapsed="false">
      <c r="A293" s="5" t="s">
        <v>314</v>
      </c>
      <c r="B293" s="5" t="n">
        <v>1299</v>
      </c>
      <c r="C293" s="5" t="n">
        <f aca="false">IF(OR(B293="",B292=""),"",LN(B293/B292)*100)</f>
        <v>-2.81477107302351</v>
      </c>
      <c r="D293" s="5" t="n">
        <f aca="false">IF(COUNT($C291:$C293)&lt;3,"",STDEV($C291:$C293))</f>
        <v>3.77118288373323</v>
      </c>
      <c r="E293" s="5" t="n">
        <f aca="false">IF(COUNT($C282:$C293)&lt;12,"",STDEV($C282:$C293))</f>
        <v>3.61823985729262</v>
      </c>
    </row>
    <row r="294" customFormat="false" ht="15" hidden="false" customHeight="false" outlineLevel="0" collapsed="false">
      <c r="A294" s="5" t="s">
        <v>315</v>
      </c>
      <c r="B294" s="5" t="n">
        <v>1287.525</v>
      </c>
      <c r="C294" s="5" t="n">
        <f aca="false">IF(OR(B294="",B293=""),"",LN(B294/B293)*100)</f>
        <v>-0.887296684549683</v>
      </c>
      <c r="D294" s="5" t="n">
        <f aca="false">IF(COUNT($C292:$C294)&lt;3,"",STDEV($C292:$C294))</f>
        <v>2.7785778297194</v>
      </c>
      <c r="E294" s="5" t="n">
        <f aca="false">IF(COUNT($C283:$C294)&lt;12,"",STDEV($C283:$C294))</f>
        <v>3.41206771982871</v>
      </c>
    </row>
    <row r="295" customFormat="false" ht="15" hidden="false" customHeight="false" outlineLevel="0" collapsed="false">
      <c r="A295" s="5" t="s">
        <v>316</v>
      </c>
      <c r="B295" s="5" t="n">
        <v>1279.09523809523</v>
      </c>
      <c r="C295" s="5" t="n">
        <f aca="false">IF(OR(B295="",B294=""),"",LN(B295/B294)*100)</f>
        <v>-0.656878808241969</v>
      </c>
      <c r="D295" s="5" t="n">
        <f aca="false">IF(COUNT($C293:$C295)&lt;3,"",STDEV($C293:$C295))</f>
        <v>1.18495773077557</v>
      </c>
      <c r="E295" s="5" t="n">
        <f aca="false">IF(COUNT($C284:$C295)&lt;12,"",STDEV($C284:$C295))</f>
        <v>3.12104654292692</v>
      </c>
    </row>
    <row r="296" customFormat="false" ht="15" hidden="false" customHeight="false" outlineLevel="0" collapsed="false">
      <c r="A296" s="5" t="s">
        <v>317</v>
      </c>
      <c r="B296" s="5" t="n">
        <v>1310.96739130434</v>
      </c>
      <c r="C296" s="5" t="n">
        <f aca="false">IF(OR(B296="",B295=""),"",LN(B296/B295)*100)</f>
        <v>2.46123485647185</v>
      </c>
      <c r="D296" s="5" t="n">
        <f aca="false">IF(COUNT($C294:$C296)&lt;3,"",STDEV($C294:$C296))</f>
        <v>1.87031141368727</v>
      </c>
      <c r="E296" s="5" t="n">
        <f aca="false">IF(COUNT($C285:$C296)&lt;12,"",STDEV($C285:$C296))</f>
        <v>2.96862583918375</v>
      </c>
    </row>
    <row r="297" customFormat="false" ht="15" hidden="false" customHeight="false" outlineLevel="0" collapsed="false">
      <c r="A297" s="5" t="s">
        <v>318</v>
      </c>
      <c r="B297" s="5" t="n">
        <v>1295.9875</v>
      </c>
      <c r="C297" s="5" t="n">
        <f aca="false">IF(OR(B297="",B296=""),"",LN(B297/B296)*100)</f>
        <v>-1.14923785034238</v>
      </c>
      <c r="D297" s="5" t="n">
        <f aca="false">IF(COUNT($C295:$C297)&lt;3,"",STDEV($C295:$C297))</f>
        <v>1.95791400130613</v>
      </c>
      <c r="E297" s="5" t="n">
        <f aca="false">IF(COUNT($C286:$C297)&lt;12,"",STDEV($C286:$C297))</f>
        <v>2.63337422315823</v>
      </c>
    </row>
    <row r="298" customFormat="false" ht="15" hidden="false" customHeight="false" outlineLevel="0" collapsed="false">
      <c r="A298" s="5" t="s">
        <v>319</v>
      </c>
      <c r="B298" s="5" t="n">
        <v>1238.81818181818</v>
      </c>
      <c r="C298" s="5" t="n">
        <f aca="false">IF(OR(B298="",B297=""),"",LN(B298/B297)*100)</f>
        <v>-4.51151068525289</v>
      </c>
      <c r="D298" s="5" t="n">
        <f aca="false">IF(COUNT($C296:$C298)&lt;3,"",STDEV($C296:$C298))</f>
        <v>3.48710893082579</v>
      </c>
      <c r="E298" s="5" t="n">
        <f aca="false">IF(COUNT($C287:$C298)&lt;12,"",STDEV($C287:$C298))</f>
        <v>2.88943126550637</v>
      </c>
    </row>
    <row r="299" customFormat="false" ht="15" hidden="false" customHeight="false" outlineLevel="0" collapsed="false">
      <c r="A299" s="5" t="s">
        <v>320</v>
      </c>
      <c r="B299" s="5" t="n">
        <v>1222.48913043478</v>
      </c>
      <c r="C299" s="5" t="n">
        <f aca="false">IF(OR(B299="",B298=""),"",LN(B299/B298)*100)</f>
        <v>-1.32687949018427</v>
      </c>
      <c r="D299" s="5" t="n">
        <f aca="false">IF(COUNT($C297:$C299)&lt;3,"",STDEV($C297:$C299))</f>
        <v>1.89201440345059</v>
      </c>
      <c r="E299" s="5" t="n">
        <f aca="false">IF(COUNT($C288:$C299)&lt;12,"",STDEV($C288:$C299))</f>
        <v>2.8459022209584</v>
      </c>
    </row>
    <row r="300" customFormat="false" ht="15" hidden="false" customHeight="false" outlineLevel="0" collapsed="false">
      <c r="A300" s="5" t="s">
        <v>321</v>
      </c>
      <c r="B300" s="5" t="n">
        <v>1176.3</v>
      </c>
      <c r="C300" s="5" t="n">
        <f aca="false">IF(OR(B300="",B299=""),"",LN(B300/B299)*100)</f>
        <v>-3.85151320832103</v>
      </c>
      <c r="D300" s="5" t="n">
        <f aca="false">IF(COUNT($C298:$C300)&lt;3,"",STDEV($C298:$C300))</f>
        <v>1.68083550300208</v>
      </c>
      <c r="E300" s="5" t="n">
        <f aca="false">IF(COUNT($C289:$C300)&lt;12,"",STDEV($C289:$C300))</f>
        <v>2.91191026958419</v>
      </c>
    </row>
    <row r="301" customFormat="false" ht="15" hidden="false" customHeight="false" outlineLevel="0" collapsed="false">
      <c r="A301" s="5" t="s">
        <v>322</v>
      </c>
      <c r="B301" s="5" t="n">
        <v>1202.28947368421</v>
      </c>
      <c r="C301" s="5" t="n">
        <f aca="false">IF(OR(B301="",B300=""),"",LN(B301/B300)*100)</f>
        <v>2.18537148270187</v>
      </c>
      <c r="D301" s="5" t="n">
        <f aca="false">IF(COUNT($C299:$C301)&lt;3,"",STDEV($C299:$C301))</f>
        <v>3.03187673122329</v>
      </c>
      <c r="E301" s="5" t="n">
        <f aca="false">IF(COUNT($C290:$C301)&lt;12,"",STDEV($C290:$C301))</f>
        <v>2.81205717162565</v>
      </c>
    </row>
    <row r="302" customFormat="false" ht="15" hidden="false" customHeight="false" outlineLevel="0" collapsed="false">
      <c r="A302" s="5" t="s">
        <v>323</v>
      </c>
      <c r="B302" s="5" t="n">
        <v>1251.84523809523</v>
      </c>
      <c r="C302" s="5" t="n">
        <f aca="false">IF(OR(B302="",B301=""),"",LN(B302/B301)*100)</f>
        <v>4.03910194810441</v>
      </c>
      <c r="D302" s="5" t="n">
        <f aca="false">IF(COUNT($C300:$C302)&lt;3,"",STDEV($C300:$C302))</f>
        <v>4.12597667140519</v>
      </c>
      <c r="E302" s="5" t="n">
        <f aca="false">IF(COUNT($C291:$C302)&lt;12,"",STDEV($C291:$C302))</f>
        <v>3.03178371702873</v>
      </c>
    </row>
    <row r="303" customFormat="false" ht="15" hidden="false" customHeight="false" outlineLevel="0" collapsed="false">
      <c r="A303" s="5" t="s">
        <v>324</v>
      </c>
      <c r="B303" s="5" t="n">
        <v>1227.1875</v>
      </c>
      <c r="C303" s="5" t="n">
        <f aca="false">IF(OR(B303="",B302=""),"",LN(B303/B302)*100)</f>
        <v>-1.98936875021297</v>
      </c>
      <c r="D303" s="5" t="n">
        <f aca="false">IF(COUNT($C301:$C303)&lt;3,"",STDEV($C301:$C303))</f>
        <v>3.08780481926213</v>
      </c>
      <c r="E303" s="5" t="n">
        <f aca="false">IF(COUNT($C292:$C303)&lt;12,"",STDEV($C292:$C303))</f>
        <v>2.74302596662204</v>
      </c>
    </row>
    <row r="304" customFormat="false" ht="15" hidden="false" customHeight="false" outlineLevel="0" collapsed="false">
      <c r="A304" s="5" t="s">
        <v>325</v>
      </c>
      <c r="B304" s="5" t="n">
        <v>1178.62954545454</v>
      </c>
      <c r="C304" s="5" t="n">
        <f aca="false">IF(OR(B304="",B303=""),"",LN(B304/B303)*100)</f>
        <v>-4.03726044199161</v>
      </c>
      <c r="D304" s="5" t="n">
        <f aca="false">IF(COUNT($C302:$C304)&lt;3,"",STDEV($C302:$C304))</f>
        <v>4.19849077641567</v>
      </c>
      <c r="E304" s="5" t="n">
        <f aca="false">IF(COUNT($C293:$C304)&lt;12,"",STDEV($C293:$C304))</f>
        <v>2.72553018283347</v>
      </c>
    </row>
    <row r="305" customFormat="false" ht="15" hidden="false" customHeight="false" outlineLevel="0" collapsed="false">
      <c r="A305" s="5" t="s">
        <v>326</v>
      </c>
      <c r="B305" s="5" t="n">
        <v>1197.91</v>
      </c>
      <c r="C305" s="5" t="n">
        <f aca="false">IF(OR(B305="",B304=""),"",LN(B305/B304)*100)</f>
        <v>1.6226010292261</v>
      </c>
      <c r="D305" s="5" t="n">
        <f aca="false">IF(COUNT($C303:$C305)&lt;3,"",STDEV($C303:$C305))</f>
        <v>2.86572323454923</v>
      </c>
      <c r="E305" s="5" t="n">
        <f aca="false">IF(COUNT($C294:$C305)&lt;12,"",STDEV($C294:$C305))</f>
        <v>2.76431939836122</v>
      </c>
    </row>
    <row r="306" customFormat="false" ht="15" hidden="false" customHeight="false" outlineLevel="0" collapsed="false">
      <c r="A306" s="5" t="s">
        <v>327</v>
      </c>
      <c r="B306" s="5" t="n">
        <v>1199.05263157894</v>
      </c>
      <c r="C306" s="5" t="n">
        <f aca="false">IF(OR(B306="",B305=""),"",LN(B306/B305)*100)</f>
        <v>0.0953399648737062</v>
      </c>
      <c r="D306" s="5" t="n">
        <f aca="false">IF(COUNT($C304:$C306)&lt;3,"",STDEV($C304:$C306))</f>
        <v>2.92816621667569</v>
      </c>
      <c r="E306" s="5" t="n">
        <f aca="false">IF(COUNT($C295:$C306)&lt;12,"",STDEV($C295:$C306))</f>
        <v>2.772006761478</v>
      </c>
    </row>
    <row r="307" customFormat="false" ht="15" hidden="false" customHeight="false" outlineLevel="0" collapsed="false">
      <c r="A307" s="5" t="s">
        <v>328</v>
      </c>
      <c r="B307" s="5" t="n">
        <v>1181.50454545454</v>
      </c>
      <c r="C307" s="5" t="n">
        <f aca="false">IF(OR(B307="",B306=""),"",LN(B307/B306)*100)</f>
        <v>-1.47431064842252</v>
      </c>
      <c r="D307" s="5" t="n">
        <f aca="false">IF(COUNT($C305:$C307)&lt;3,"",STDEV($C305:$C307))</f>
        <v>1.54850418929928</v>
      </c>
      <c r="E307" s="5" t="n">
        <f aca="false">IF(COUNT($C296:$C307)&lt;12,"",STDEV($C296:$C307))</f>
        <v>2.78373151606234</v>
      </c>
    </row>
    <row r="308" customFormat="false" ht="15" hidden="false" customHeight="false" outlineLevel="0" collapsed="false">
      <c r="A308" s="5" t="s">
        <v>329</v>
      </c>
      <c r="B308" s="5" t="n">
        <v>1130.03695652173</v>
      </c>
      <c r="C308" s="5" t="n">
        <f aca="false">IF(OR(B308="",B307=""),"",LN(B308/B307)*100)</f>
        <v>-4.45383277511057</v>
      </c>
      <c r="D308" s="5" t="n">
        <f aca="false">IF(COUNT($C306:$C308)&lt;3,"",STDEV($C306:$C308))</f>
        <v>2.31071157039922</v>
      </c>
      <c r="E308" s="5" t="n">
        <f aca="false">IF(COUNT($C297:$C308)&lt;12,"",STDEV($C297:$C308))</f>
        <v>2.7942806565314</v>
      </c>
    </row>
    <row r="309" customFormat="false" ht="15" hidden="false" customHeight="false" outlineLevel="0" collapsed="false">
      <c r="A309" s="5" t="s">
        <v>330</v>
      </c>
      <c r="B309" s="5" t="n">
        <v>1117.475</v>
      </c>
      <c r="C309" s="5" t="n">
        <f aca="false">IF(OR(B309="",B308=""),"",LN(B309/B308)*100)</f>
        <v>-1.11786611852519</v>
      </c>
      <c r="D309" s="5" t="n">
        <f aca="false">IF(COUNT($C307:$C309)&lt;3,"",STDEV($C307:$C309))</f>
        <v>1.83181505344502</v>
      </c>
      <c r="E309" s="5" t="n">
        <f aca="false">IF(COUNT($C298:$C309)&lt;12,"",STDEV($C298:$C309))</f>
        <v>2.79438554223413</v>
      </c>
    </row>
    <row r="310" customFormat="false" ht="15" hidden="false" customHeight="false" outlineLevel="0" collapsed="false">
      <c r="A310" s="5" t="s">
        <v>331</v>
      </c>
      <c r="B310" s="5" t="n">
        <v>1124.53181818181</v>
      </c>
      <c r="C310" s="5" t="n">
        <f aca="false">IF(OR(B310="",B309=""),"",LN(B310/B309)*100)</f>
        <v>0.629511153024581</v>
      </c>
      <c r="D310" s="5" t="n">
        <f aca="false">IF(COUNT($C308:$C310)&lt;3,"",STDEV($C308:$C310))</f>
        <v>2.58271131289989</v>
      </c>
      <c r="E310" s="5" t="n">
        <f aca="false">IF(COUNT($C299:$C310)&lt;12,"",STDEV($C299:$C310))</f>
        <v>2.63599172869685</v>
      </c>
    </row>
    <row r="311" customFormat="false" ht="15" hidden="false" customHeight="false" outlineLevel="0" collapsed="false">
      <c r="A311" s="5" t="s">
        <v>332</v>
      </c>
      <c r="B311" s="5" t="n">
        <v>1159.24545454545</v>
      </c>
      <c r="C311" s="5" t="n">
        <f aca="false">IF(OR(B311="",B310=""),"",LN(B311/B310)*100)</f>
        <v>3.04025358303586</v>
      </c>
      <c r="D311" s="5" t="n">
        <f aca="false">IF(COUNT($C309:$C311)&lt;3,"",STDEV($C309:$C311))</f>
        <v>2.08786038188603</v>
      </c>
      <c r="E311" s="5" t="n">
        <f aca="false">IF(COUNT($C300:$C311)&lt;12,"",STDEV($C300:$C311))</f>
        <v>2.85037762424464</v>
      </c>
    </row>
    <row r="312" customFormat="false" ht="15" hidden="false" customHeight="false" outlineLevel="0" collapsed="false">
      <c r="A312" s="5" t="s">
        <v>333</v>
      </c>
      <c r="B312" s="5" t="n">
        <v>1085.70238095238</v>
      </c>
      <c r="C312" s="5" t="n">
        <f aca="false">IF(OR(B312="",B311=""),"",LN(B312/B311)*100)</f>
        <v>-6.55421899867197</v>
      </c>
      <c r="D312" s="5" t="n">
        <f aca="false">IF(COUNT($C310:$C312)&lt;3,"",STDEV($C310:$C312))</f>
        <v>4.99118493074531</v>
      </c>
      <c r="E312" s="5" t="n">
        <f aca="false">IF(COUNT($C301:$C312)&lt;12,"",STDEV($C301:$C312))</f>
        <v>3.22621801968314</v>
      </c>
    </row>
    <row r="313" customFormat="false" ht="15" hidden="false" customHeight="false" outlineLevel="0" collapsed="false">
      <c r="A313" s="5" t="s">
        <v>334</v>
      </c>
      <c r="B313" s="5" t="n">
        <v>1068.25263157894</v>
      </c>
      <c r="C313" s="5" t="n">
        <f aca="false">IF(OR(B313="",B312=""),"",LN(B313/B312)*100)</f>
        <v>-1.62028742770377</v>
      </c>
      <c r="D313" s="5" t="n">
        <f aca="false">IF(COUNT($C311:$C313)&lt;3,"",STDEV($C311:$C313))</f>
        <v>4.79788542625683</v>
      </c>
      <c r="E313" s="5" t="n">
        <f aca="false">IF(COUNT($C302:$C313)&lt;12,"",STDEV($C302:$C313))</f>
        <v>3.10501574457544</v>
      </c>
    </row>
    <row r="314" customFormat="false" ht="15" hidden="false" customHeight="false" outlineLevel="0" collapsed="false">
      <c r="A314" s="5" t="s">
        <v>335</v>
      </c>
      <c r="B314" s="5" t="n">
        <v>1097.375</v>
      </c>
      <c r="C314" s="5" t="n">
        <f aca="false">IF(OR(B314="",B313=""),"",LN(B314/B313)*100)</f>
        <v>2.68967052766979</v>
      </c>
      <c r="D314" s="5" t="n">
        <f aca="false">IF(COUNT($C312:$C314)&lt;3,"",STDEV($C312:$C314))</f>
        <v>4.62545334533628</v>
      </c>
      <c r="E314" s="5" t="n">
        <f aca="false">IF(COUNT($C303:$C314)&lt;12,"",STDEV($C303:$C314))</f>
        <v>2.9257808688616</v>
      </c>
    </row>
    <row r="315" customFormat="false" ht="15" hidden="false" customHeight="false" outlineLevel="0" collapsed="false">
      <c r="A315" s="5" t="s">
        <v>336</v>
      </c>
      <c r="B315" s="5" t="n">
        <v>1199.9119047619</v>
      </c>
      <c r="C315" s="5" t="n">
        <f aca="false">IF(OR(B315="",B314=""),"",LN(B315/B314)*100)</f>
        <v>8.9327177136458</v>
      </c>
      <c r="D315" s="5" t="n">
        <f aca="false">IF(COUNT($C313:$C315)&lt;3,"",STDEV($C313:$C315))</f>
        <v>5.30592896762294</v>
      </c>
      <c r="E315" s="5" t="n">
        <f aca="false">IF(COUNT($C304:$C315)&lt;12,"",STDEV($C304:$C315))</f>
        <v>4.09023837635899</v>
      </c>
    </row>
    <row r="316" customFormat="false" ht="15" hidden="false" customHeight="false" outlineLevel="0" collapsed="false">
      <c r="A316" s="5" t="s">
        <v>337</v>
      </c>
      <c r="B316" s="5" t="n">
        <v>1246.33809523809</v>
      </c>
      <c r="C316" s="5" t="n">
        <f aca="false">IF(OR(B316="",B315=""),"",LN(B316/B315)*100)</f>
        <v>3.79615866501579</v>
      </c>
      <c r="D316" s="5" t="n">
        <f aca="false">IF(COUNT($C314:$C316)&lt;3,"",STDEV($C314:$C316))</f>
        <v>3.33127085420548</v>
      </c>
      <c r="E316" s="5" t="n">
        <f aca="false">IF(COUNT($C305:$C316)&lt;12,"",STDEV($C305:$C316))</f>
        <v>4.04478190199533</v>
      </c>
    </row>
    <row r="317" customFormat="false" ht="15" hidden="false" customHeight="false" outlineLevel="0" collapsed="false">
      <c r="A317" s="5" t="s">
        <v>338</v>
      </c>
      <c r="B317" s="5" t="n">
        <v>1242.2619047619</v>
      </c>
      <c r="C317" s="5" t="n">
        <f aca="false">IF(OR(B317="",B316=""),"",LN(B317/B316)*100)</f>
        <v>-0.327589337095945</v>
      </c>
      <c r="D317" s="5" t="n">
        <f aca="false">IF(COUNT($C315:$C317)&lt;3,"",STDEV($C315:$C317))</f>
        <v>4.63937537316898</v>
      </c>
      <c r="E317" s="5" t="n">
        <f aca="false">IF(COUNT($C306:$C317)&lt;12,"",STDEV($C306:$C317))</f>
        <v>4.03322510724997</v>
      </c>
    </row>
    <row r="318" customFormat="false" ht="15" hidden="false" customHeight="false" outlineLevel="0" collapsed="false">
      <c r="A318" s="5" t="s">
        <v>339</v>
      </c>
      <c r="B318" s="5" t="n">
        <v>1259.3975</v>
      </c>
      <c r="C318" s="5" t="n">
        <f aca="false">IF(OR(B318="",B317=""),"",LN(B318/B317)*100)</f>
        <v>1.36995973183861</v>
      </c>
      <c r="D318" s="5" t="n">
        <f aca="false">IF(COUNT($C316:$C318)&lt;3,"",STDEV($C316:$C318))</f>
        <v>2.07257535808758</v>
      </c>
      <c r="E318" s="5" t="n">
        <f aca="false">IF(COUNT($C307:$C318)&lt;12,"",STDEV($C307:$C318))</f>
        <v>4.04402973217697</v>
      </c>
    </row>
    <row r="319" customFormat="false" ht="15" hidden="false" customHeight="false" outlineLevel="0" collapsed="false">
      <c r="A319" s="5" t="s">
        <v>340</v>
      </c>
      <c r="B319" s="5" t="n">
        <v>1276.40454545454</v>
      </c>
      <c r="C319" s="5" t="n">
        <f aca="false">IF(OR(B319="",B318=""),"",LN(B319/B318)*100)</f>
        <v>1.34137445694319</v>
      </c>
      <c r="D319" s="5" t="n">
        <f aca="false">IF(COUNT($C317:$C319)&lt;3,"",STDEV($C317:$C319))</f>
        <v>0.971933648729424</v>
      </c>
      <c r="E319" s="5" t="n">
        <f aca="false">IF(COUNT($C308:$C319)&lt;12,"",STDEV($C308:$C319))</f>
        <v>4.00632130407041</v>
      </c>
    </row>
    <row r="320" customFormat="false" ht="15" hidden="false" customHeight="false" outlineLevel="0" collapsed="false">
      <c r="A320" s="5" t="s">
        <v>341</v>
      </c>
      <c r="B320" s="5" t="n">
        <v>1337.32619047619</v>
      </c>
      <c r="C320" s="5" t="n">
        <f aca="false">IF(OR(B320="",B319=""),"",LN(B320/B319)*100)</f>
        <v>4.66250637301065</v>
      </c>
      <c r="D320" s="5" t="n">
        <f aca="false">IF(COUNT($C318:$C320)&lt;3,"",STDEV($C318:$C320))</f>
        <v>1.90925804551384</v>
      </c>
      <c r="E320" s="5" t="n">
        <f aca="false">IF(COUNT($C309:$C320)&lt;12,"",STDEV($C309:$C320))</f>
        <v>3.81140438272531</v>
      </c>
    </row>
    <row r="321" customFormat="false" ht="15" hidden="false" customHeight="false" outlineLevel="0" collapsed="false">
      <c r="A321" s="5" t="s">
        <v>342</v>
      </c>
      <c r="B321" s="5" t="n">
        <v>1341.08863636363</v>
      </c>
      <c r="C321" s="5" t="n">
        <f aca="false">IF(OR(B321="",B320=""),"",LN(B321/B320)*100)</f>
        <v>0.280945903114374</v>
      </c>
      <c r="D321" s="5" t="n">
        <f aca="false">IF(COUNT($C319:$C321)&lt;3,"",STDEV($C319:$C321))</f>
        <v>2.28591695945176</v>
      </c>
      <c r="E321" s="5" t="n">
        <f aca="false">IF(COUNT($C310:$C321)&lt;12,"",STDEV($C310:$C321))</f>
        <v>3.74814592984081</v>
      </c>
    </row>
    <row r="322" customFormat="false" ht="15" hidden="false" customHeight="false" outlineLevel="0" collapsed="false">
      <c r="A322" s="5" t="s">
        <v>343</v>
      </c>
      <c r="B322" s="5" t="n">
        <v>1326.02954545454</v>
      </c>
      <c r="C322" s="5" t="n">
        <f aca="false">IF(OR(B322="",B321=""),"",LN(B322/B321)*100)</f>
        <v>-1.1292526173597</v>
      </c>
      <c r="D322" s="5" t="n">
        <f aca="false">IF(COUNT($C320:$C322)&lt;3,"",STDEV($C320:$C322))</f>
        <v>3.02024293231082</v>
      </c>
      <c r="E322" s="5" t="n">
        <f aca="false">IF(COUNT($C311:$C322)&lt;12,"",STDEV($C311:$C322))</f>
        <v>3.81983661062051</v>
      </c>
    </row>
    <row r="323" customFormat="false" ht="15" hidden="false" customHeight="false" outlineLevel="0" collapsed="false">
      <c r="A323" s="5" t="s">
        <v>344</v>
      </c>
      <c r="B323" s="5" t="n">
        <v>1266.56904761904</v>
      </c>
      <c r="C323" s="5" t="n">
        <f aca="false">IF(OR(B323="",B322=""),"",LN(B323/B322)*100)</f>
        <v>-4.58774657301773</v>
      </c>
      <c r="D323" s="5" t="n">
        <f aca="false">IF(COUNT($C321:$C323)&lt;3,"",STDEV($C321:$C323))</f>
        <v>2.50512829796586</v>
      </c>
      <c r="E323" s="5" t="n">
        <f aca="false">IF(COUNT($C312:$C323)&lt;12,"",STDEV($C312:$C323))</f>
        <v>4.13864822048988</v>
      </c>
    </row>
    <row r="324" customFormat="false" ht="15" hidden="false" customHeight="false" outlineLevel="0" collapsed="false">
      <c r="A324" s="5" t="s">
        <v>345</v>
      </c>
      <c r="B324" s="5" t="n">
        <v>1235.97954545454</v>
      </c>
      <c r="C324" s="5" t="n">
        <f aca="false">IF(OR(B324="",B323=""),"",LN(B324/B323)*100)</f>
        <v>-2.44478975116231</v>
      </c>
      <c r="D324" s="5" t="n">
        <f aca="false">IF(COUNT($C322:$C324)&lt;3,"",STDEV($C322:$C324))</f>
        <v>1.74566521857588</v>
      </c>
      <c r="E324" s="5" t="n">
        <f aca="false">IF(COUNT($C313:$C324)&lt;12,"",STDEV($C313:$C324))</f>
        <v>3.61763502798748</v>
      </c>
    </row>
    <row r="325" customFormat="false" ht="15" hidden="false" customHeight="false" outlineLevel="0" collapsed="false">
      <c r="A325" s="5" t="s">
        <v>346</v>
      </c>
      <c r="B325" s="5" t="n">
        <v>1151.40277777777</v>
      </c>
      <c r="C325" s="5" t="n">
        <f aca="false">IF(OR(B325="",B324=""),"",LN(B325/B324)*100)</f>
        <v>-7.08828041349537</v>
      </c>
      <c r="D325" s="5" t="n">
        <f aca="false">IF(COUNT($C323:$C325)&lt;3,"",STDEV($C323:$C325))</f>
        <v>2.32403883210833</v>
      </c>
      <c r="E325" s="5" t="n">
        <f aca="false">IF(COUNT($C314:$C325)&lt;12,"",STDEV($C314:$C325))</f>
        <v>4.27360962391868</v>
      </c>
    </row>
    <row r="326" customFormat="false" ht="15" hidden="false" customHeight="false" outlineLevel="0" collapsed="false">
      <c r="A326" s="5" t="s">
        <v>347</v>
      </c>
      <c r="B326" s="5" t="n">
        <v>1192.61666666666</v>
      </c>
      <c r="C326" s="5" t="n">
        <f aca="false">IF(OR(B326="",B325=""),"",LN(B326/B325)*100)</f>
        <v>3.5168766899081</v>
      </c>
      <c r="D326" s="5" t="n">
        <f aca="false">IF(COUNT($C324:$C326)&lt;3,"",STDEV($C324:$C326))</f>
        <v>5.31621465383075</v>
      </c>
      <c r="E326" s="5" t="n">
        <f aca="false">IF(COUNT($C315:$C326)&lt;12,"",STDEV($C315:$C326))</f>
        <v>4.31640413912776</v>
      </c>
    </row>
    <row r="327" customFormat="false" ht="15" hidden="false" customHeight="false" outlineLevel="0" collapsed="false">
      <c r="A327" s="5" t="s">
        <v>348</v>
      </c>
      <c r="B327" s="5" t="n">
        <v>1234.3575</v>
      </c>
      <c r="C327" s="5" t="n">
        <f aca="false">IF(OR(B327="",B326=""),"",LN(B327/B326)*100)</f>
        <v>3.44008191139718</v>
      </c>
      <c r="D327" s="5" t="n">
        <f aca="false">IF(COUNT($C325:$C327)&lt;3,"",STDEV($C325:$C327))</f>
        <v>6.1008423990748</v>
      </c>
      <c r="E327" s="5" t="n">
        <f aca="false">IF(COUNT($C316:$C327)&lt;12,"",STDEV($C316:$C327))</f>
        <v>3.59406726168916</v>
      </c>
    </row>
    <row r="328" customFormat="false" ht="15" hidden="false" customHeight="false" outlineLevel="0" collapsed="false">
      <c r="A328" s="5" t="s">
        <v>349</v>
      </c>
      <c r="B328" s="5" t="n">
        <v>1231.09347826087</v>
      </c>
      <c r="C328" s="5" t="n">
        <f aca="false">IF(OR(B328="",B327=""),"",LN(B328/B327)*100)</f>
        <v>-0.264781062360456</v>
      </c>
      <c r="D328" s="5" t="n">
        <f aca="false">IF(COUNT($C326:$C328)&lt;3,"",STDEV($C326:$C328))</f>
        <v>2.161513453101</v>
      </c>
      <c r="E328" s="5" t="n">
        <f aca="false">IF(COUNT($C317:$C328)&lt;12,"",STDEV($C317:$C328))</f>
        <v>3.41508830129168</v>
      </c>
    </row>
    <row r="329" customFormat="false" ht="15" hidden="false" customHeight="false" outlineLevel="0" collapsed="false">
      <c r="A329" s="5" t="s">
        <v>350</v>
      </c>
      <c r="B329" s="5" t="n">
        <v>1265.62777777777</v>
      </c>
      <c r="C329" s="5" t="n">
        <f aca="false">IF(OR(B329="",B328=""),"",LN(B329/B328)*100)</f>
        <v>2.76654849296746</v>
      </c>
      <c r="D329" s="5" t="n">
        <f aca="false">IF(COUNT($C327:$C329)&lt;3,"",STDEV($C327:$C329))</f>
        <v>1.97351698721962</v>
      </c>
      <c r="E329" s="5" t="n">
        <f aca="false">IF(COUNT($C318:$C329)&lt;12,"",STDEV($C318:$C329))</f>
        <v>3.51198511647031</v>
      </c>
    </row>
    <row r="330" customFormat="false" ht="15" hidden="false" customHeight="false" outlineLevel="0" collapsed="false">
      <c r="A330" s="5" t="s">
        <v>351</v>
      </c>
      <c r="B330" s="5" t="n">
        <v>1245.00476190476</v>
      </c>
      <c r="C330" s="5" t="n">
        <f aca="false">IF(OR(B330="",B329=""),"",LN(B330/B329)*100)</f>
        <v>-1.64289113652755</v>
      </c>
      <c r="D330" s="5" t="n">
        <f aca="false">IF(COUNT($C328:$C330)&lt;3,"",STDEV($C328:$C330))</f>
        <v>2.25578161234957</v>
      </c>
      <c r="E330" s="5" t="n">
        <f aca="false">IF(COUNT($C319:$C330)&lt;12,"",STDEV($C319:$C330))</f>
        <v>3.52492435998039</v>
      </c>
    </row>
    <row r="331" customFormat="false" ht="15" hidden="false" customHeight="false" outlineLevel="0" collapsed="false">
      <c r="A331" s="5" t="s">
        <v>352</v>
      </c>
      <c r="B331" s="5" t="n">
        <v>1260.25681818181</v>
      </c>
      <c r="C331" s="5" t="n">
        <f aca="false">IF(OR(B331="",B330=""),"",LN(B331/B330)*100)</f>
        <v>1.21761694154676</v>
      </c>
      <c r="D331" s="5" t="n">
        <f aca="false">IF(COUNT($C329:$C331)&lt;3,"",STDEV($C329:$C331))</f>
        <v>2.23699401213161</v>
      </c>
      <c r="E331" s="5" t="n">
        <f aca="false">IF(COUNT($C320:$C331)&lt;12,"",STDEV($C320:$C331))</f>
        <v>3.52051559319295</v>
      </c>
    </row>
    <row r="332" customFormat="false" ht="15" hidden="false" customHeight="false" outlineLevel="0" collapsed="false">
      <c r="A332" s="5" t="s">
        <v>353</v>
      </c>
      <c r="B332" s="5" t="n">
        <v>1236.22142857142</v>
      </c>
      <c r="C332" s="5" t="n">
        <f aca="false">IF(OR(B332="",B331=""),"",LN(B332/B331)*100)</f>
        <v>-1.92560318281222</v>
      </c>
      <c r="D332" s="5" t="n">
        <f aca="false">IF(COUNT($C330:$C332)&lt;3,"",STDEV($C330:$C332))</f>
        <v>1.73888207938406</v>
      </c>
      <c r="E332" s="5" t="n">
        <f aca="false">IF(COUNT($C321:$C332)&lt;12,"",STDEV($C321:$C332))</f>
        <v>3.20919731431477</v>
      </c>
    </row>
    <row r="333" customFormat="false" ht="15" hidden="false" customHeight="false" outlineLevel="0" collapsed="false">
      <c r="A333" s="5" t="s">
        <v>354</v>
      </c>
      <c r="B333" s="5" t="n">
        <v>1282.3159090909</v>
      </c>
      <c r="C333" s="5" t="n">
        <f aca="false">IF(OR(B333="",B332=""),"",LN(B333/B332)*100)</f>
        <v>3.66082547701742</v>
      </c>
      <c r="D333" s="5" t="n">
        <f aca="false">IF(COUNT($C331:$C333)&lt;3,"",STDEV($C331:$C333))</f>
        <v>2.80051441314324</v>
      </c>
      <c r="E333" s="5" t="n">
        <f aca="false">IF(COUNT($C322:$C333)&lt;12,"",STDEV($C322:$C333))</f>
        <v>3.43891537941799</v>
      </c>
    </row>
    <row r="334" customFormat="false" ht="15" hidden="false" customHeight="false" outlineLevel="0" collapsed="false">
      <c r="A334" s="5" t="s">
        <v>355</v>
      </c>
      <c r="B334" s="5" t="n">
        <v>1314.97857142857</v>
      </c>
      <c r="C334" s="5" t="n">
        <f aca="false">IF(OR(B334="",B333=""),"",LN(B334/B333)*100)</f>
        <v>2.5152622915397</v>
      </c>
      <c r="D334" s="5" t="n">
        <f aca="false">IF(COUNT($C332:$C334)&lt;3,"",STDEV($C332:$C334))</f>
        <v>2.95075657938149</v>
      </c>
      <c r="E334" s="5" t="n">
        <f aca="false">IF(COUNT($C323:$C334)&lt;12,"",STDEV($C323:$C334))</f>
        <v>3.52593086334268</v>
      </c>
    </row>
    <row r="335" customFormat="false" ht="15" hidden="false" customHeight="false" outlineLevel="0" collapsed="false">
      <c r="A335" s="5" t="s">
        <v>356</v>
      </c>
      <c r="B335" s="5" t="n">
        <v>1279.51363636363</v>
      </c>
      <c r="C335" s="5" t="n">
        <f aca="false">IF(OR(B335="",B334=""),"",LN(B335/B334)*100)</f>
        <v>-2.73403358722581</v>
      </c>
      <c r="D335" s="5" t="n">
        <f aca="false">IF(COUNT($C333:$C335)&lt;3,"",STDEV($C333:$C335))</f>
        <v>3.40983002231001</v>
      </c>
      <c r="E335" s="5" t="n">
        <f aca="false">IF(COUNT($C324:$C335)&lt;12,"",STDEV($C324:$C335))</f>
        <v>3.34601249368345</v>
      </c>
    </row>
    <row r="336" customFormat="false" ht="15" hidden="false" customHeight="false" outlineLevel="0" collapsed="false">
      <c r="A336" s="5" t="s">
        <v>357</v>
      </c>
      <c r="B336" s="5" t="n">
        <v>1282.28409090909</v>
      </c>
      <c r="C336" s="5" t="n">
        <f aca="false">IF(OR(B336="",B335=""),"",LN(B336/B335)*100)</f>
        <v>0.216289958884145</v>
      </c>
      <c r="D336" s="5" t="n">
        <f aca="false">IF(COUNT($C334:$C336)&lt;3,"",STDEV($C334:$C336))</f>
        <v>2.63137448354376</v>
      </c>
      <c r="E336" s="5" t="n">
        <f aca="false">IF(COUNT($C325:$C336)&lt;12,"",STDEV($C325:$C336))</f>
        <v>3.24992991820394</v>
      </c>
    </row>
    <row r="337" customFormat="false" ht="15" hidden="false" customHeight="false" outlineLevel="0" collapsed="false">
      <c r="A337" s="5" t="s">
        <v>358</v>
      </c>
      <c r="B337" s="5" t="n">
        <v>1261.25588235294</v>
      </c>
      <c r="C337" s="5" t="n">
        <f aca="false">IF(OR(B337="",B336=""),"",LN(B337/B336)*100)</f>
        <v>-1.65349771399635</v>
      </c>
      <c r="D337" s="5" t="n">
        <f aca="false">IF(COUNT($C335:$C337)&lt;3,"",STDEV($C335:$C337))</f>
        <v>1.49265271366799</v>
      </c>
      <c r="E337" s="5" t="n">
        <f aca="false">IF(COUNT($C326:$C337)&lt;12,"",STDEV($C326:$C337))</f>
        <v>2.39089137041959</v>
      </c>
    </row>
    <row r="338" customFormat="false" ht="15" hidden="false" customHeight="false" outlineLevel="0" collapsed="false">
      <c r="A338" s="5" t="s">
        <v>359</v>
      </c>
      <c r="B338" s="5" t="n">
        <v>1331.6659090909</v>
      </c>
      <c r="C338" s="5" t="n">
        <f aca="false">IF(OR(B338="",B337=""),"",LN(B338/B337)*100)</f>
        <v>5.43227650750322</v>
      </c>
      <c r="D338" s="5" t="n">
        <f aca="false">IF(COUNT($C336:$C338)&lt;3,"",STDEV($C336:$C338))</f>
        <v>3.67221136680835</v>
      </c>
      <c r="E338" s="5" t="n">
        <f aca="false">IF(COUNT($C327:$C338)&lt;12,"",STDEV($C327:$C338))</f>
        <v>2.64242275098838</v>
      </c>
    </row>
    <row r="339" customFormat="false" ht="15" hidden="false" customHeight="false" outlineLevel="0" collapsed="false">
      <c r="A339" s="5" t="s">
        <v>360</v>
      </c>
      <c r="B339" s="5" t="n">
        <v>1331.525</v>
      </c>
      <c r="C339" s="5" t="n">
        <f aca="false">IF(OR(B339="",B338=""),"",LN(B339/B338)*100)</f>
        <v>-0.0105819744690796</v>
      </c>
      <c r="D339" s="5" t="n">
        <f aca="false">IF(COUNT($C337:$C339)&lt;3,"",STDEV($C337:$C339))</f>
        <v>3.70882004821012</v>
      </c>
      <c r="E339" s="5" t="n">
        <f aca="false">IF(COUNT($C328:$C339)&lt;12,"",STDEV($C328:$C339))</f>
        <v>2.52842826481276</v>
      </c>
    </row>
    <row r="340" customFormat="false" ht="15" hidden="false" customHeight="false" outlineLevel="0" collapsed="false">
      <c r="A340" s="5" t="s">
        <v>361</v>
      </c>
      <c r="B340" s="5" t="n">
        <v>1324.65714285714</v>
      </c>
      <c r="C340" s="5" t="n">
        <f aca="false">IF(OR(B340="",B339=""),"",LN(B340/B339)*100)</f>
        <v>-0.517123606614103</v>
      </c>
      <c r="D340" s="5" t="n">
        <f aca="false">IF(COUNT($C338:$C340)&lt;3,"",STDEV($C338:$C340))</f>
        <v>3.2983999807415</v>
      </c>
      <c r="E340" s="5" t="n">
        <f aca="false">IF(COUNT($C329:$C340)&lt;12,"",STDEV($C329:$C340))</f>
        <v>2.53759246161425</v>
      </c>
    </row>
    <row r="341" customFormat="false" ht="15" hidden="false" customHeight="false" outlineLevel="0" collapsed="false">
      <c r="A341" s="5" t="s">
        <v>362</v>
      </c>
      <c r="B341" s="5" t="n">
        <v>1334.74</v>
      </c>
      <c r="C341" s="5" t="n">
        <f aca="false">IF(OR(B341="",B340=""),"",LN(B341/B340)*100)</f>
        <v>0.758285048419176</v>
      </c>
      <c r="D341" s="5" t="n">
        <f aca="false">IF(COUNT($C339:$C341)&lt;3,"",STDEV($C339:$C341))</f>
        <v>0.642184833376782</v>
      </c>
      <c r="E341" s="5" t="n">
        <f aca="false">IF(COUNT($C330:$C341)&lt;12,"",STDEV($C330:$C341))</f>
        <v>2.44707668315181</v>
      </c>
    </row>
    <row r="342" customFormat="false" ht="15" hidden="false" customHeight="false" outlineLevel="0" collapsed="false">
      <c r="A342" s="5" t="s">
        <v>363</v>
      </c>
      <c r="B342" s="5" t="n">
        <v>1303.02619047619</v>
      </c>
      <c r="C342" s="5" t="n">
        <f aca="false">IF(OR(B342="",B341=""),"",LN(B342/B341)*100)</f>
        <v>-2.40471182544634</v>
      </c>
      <c r="D342" s="5" t="n">
        <f aca="false">IF(COUNT($C340:$C342)&lt;3,"",STDEV($C340:$C342))</f>
        <v>1.59134145431305</v>
      </c>
      <c r="E342" s="5" t="n">
        <f aca="false">IF(COUNT($C331:$C342)&lt;12,"",STDEV($C331:$C342))</f>
        <v>2.51505084994586</v>
      </c>
    </row>
    <row r="343" customFormat="false" ht="15" hidden="false" customHeight="false" outlineLevel="0" collapsed="false">
      <c r="A343" s="5" t="s">
        <v>364</v>
      </c>
      <c r="B343" s="5" t="n">
        <v>1281.56666666666</v>
      </c>
      <c r="C343" s="5" t="n">
        <f aca="false">IF(OR(B343="",B342=""),"",LN(B343/B342)*100)</f>
        <v>-1.6606110237436</v>
      </c>
      <c r="D343" s="5" t="n">
        <f aca="false">IF(COUNT($C341:$C343)&lt;3,"",STDEV($C341:$C343))</f>
        <v>1.6537479370157</v>
      </c>
      <c r="E343" s="5" t="n">
        <f aca="false">IF(COUNT($C332:$C343)&lt;12,"",STDEV($C332:$C343))</f>
        <v>2.5646200079383</v>
      </c>
    </row>
    <row r="344" customFormat="false" ht="15" hidden="false" customHeight="false" outlineLevel="0" collapsed="false">
      <c r="A344" s="5" t="s">
        <v>365</v>
      </c>
      <c r="B344" s="5" t="n">
        <v>1238.525</v>
      </c>
      <c r="C344" s="5" t="n">
        <f aca="false">IF(OR(B344="",B343=""),"",LN(B344/B343)*100)</f>
        <v>-3.41621323864189</v>
      </c>
      <c r="D344" s="5" t="n">
        <f aca="false">IF(COUNT($C342:$C344)&lt;3,"",STDEV($C342:$C344))</f>
        <v>0.881188614783755</v>
      </c>
      <c r="E344" s="5" t="n">
        <f aca="false">IF(COUNT($C333:$C344)&lt;12,"",STDEV($C333:$C344))</f>
        <v>2.70595318446722</v>
      </c>
    </row>
    <row r="345" customFormat="false" ht="15" hidden="false" customHeight="false" outlineLevel="0" collapsed="false">
      <c r="A345" s="5" t="s">
        <v>366</v>
      </c>
      <c r="B345" s="5" t="n">
        <v>1201.24545454545</v>
      </c>
      <c r="C345" s="5" t="n">
        <f aca="false">IF(OR(B345="",B344=""),"",LN(B345/B344)*100)</f>
        <v>-3.05622580940513</v>
      </c>
      <c r="D345" s="5" t="n">
        <f aca="false">IF(COUNT($C343:$C345)&lt;3,"",STDEV($C343:$C345))</f>
        <v>0.927314286539484</v>
      </c>
      <c r="E345" s="5" t="n">
        <f aca="false">IF(COUNT($C334:$C345)&lt;12,"",STDEV($C334:$C345))</f>
        <v>2.57490332811111</v>
      </c>
    </row>
    <row r="346" customFormat="false" ht="15" hidden="false" customHeight="false" outlineLevel="0" collapsed="false">
      <c r="A346" s="5" t="s">
        <v>367</v>
      </c>
      <c r="B346" s="5" t="n">
        <v>1198.4725</v>
      </c>
      <c r="C346" s="5" t="n">
        <f aca="false">IF(OR(B346="",B345=""),"",LN(B346/B345)*100)</f>
        <v>-0.231106807731418</v>
      </c>
      <c r="D346" s="5" t="n">
        <f aca="false">IF(COUNT($C344:$C346)&lt;3,"",STDEV($C344:$C346))</f>
        <v>1.74431415839453</v>
      </c>
      <c r="E346" s="5" t="n">
        <f aca="false">IF(COUNT($C335:$C346)&lt;12,"",STDEV($C335:$C346))</f>
        <v>2.3939383530258</v>
      </c>
    </row>
    <row r="347" customFormat="false" ht="15" hidden="false" customHeight="false" outlineLevel="0" collapsed="false">
      <c r="A347" s="5" t="s">
        <v>368</v>
      </c>
      <c r="B347" s="5" t="n">
        <v>1215.39347826087</v>
      </c>
      <c r="C347" s="5" t="n">
        <f aca="false">IF(OR(B347="",B346=""),"",LN(B347/B346)*100)</f>
        <v>1.40200455040512</v>
      </c>
      <c r="D347" s="5" t="n">
        <f aca="false">IF(COUNT($C345:$C347)&lt;3,"",STDEV($C345:$C347))</f>
        <v>2.25551797535238</v>
      </c>
      <c r="E347" s="5" t="n">
        <f aca="false">IF(COUNT($C336:$C347)&lt;12,"",STDEV($C336:$C347))</f>
        <v>2.38366864197248</v>
      </c>
    </row>
    <row r="348" customFormat="false" ht="15" hidden="false" customHeight="false" outlineLevel="0" collapsed="false">
      <c r="A348" s="5" t="s">
        <v>369</v>
      </c>
      <c r="B348" s="5" t="n">
        <v>1220.94545454545</v>
      </c>
      <c r="C348" s="5" t="n">
        <f aca="false">IF(OR(B348="",B347=""),"",LN(B348/B347)*100)</f>
        <v>0.455764657400789</v>
      </c>
      <c r="D348" s="5" t="n">
        <f aca="false">IF(COUNT($C346:$C348)&lt;3,"",STDEV($C346:$C348))</f>
        <v>0.819981204337461</v>
      </c>
      <c r="E348" s="5" t="n">
        <f aca="false">IF(COUNT($C337:$C348)&lt;12,"",STDEV($C337:$C348))</f>
        <v>2.39054953230244</v>
      </c>
    </row>
    <row r="349" customFormat="false" ht="15" hidden="false" customHeight="false" outlineLevel="0" collapsed="false">
      <c r="A349" s="5" t="s">
        <v>370</v>
      </c>
      <c r="B349" s="5" t="n">
        <v>1247.92352941176</v>
      </c>
      <c r="C349" s="5" t="n">
        <f aca="false">IF(OR(B349="",B348=""),"",LN(B349/B348)*100)</f>
        <v>2.18554722013082</v>
      </c>
      <c r="D349" s="5" t="n">
        <f aca="false">IF(COUNT($C347:$C349)&lt;3,"",STDEV($C347:$C349))</f>
        <v>0.866165569691943</v>
      </c>
      <c r="E349" s="5" t="n">
        <f aca="false">IF(COUNT($C338:$C349)&lt;12,"",STDEV($C338:$C349))</f>
        <v>2.46452475598141</v>
      </c>
    </row>
    <row r="350" customFormat="false" ht="15" hidden="false" customHeight="false" outlineLevel="0" collapsed="false">
      <c r="A350" s="5" t="s">
        <v>371</v>
      </c>
      <c r="B350" s="5" t="n">
        <v>1291.74545454545</v>
      </c>
      <c r="C350" s="5" t="n">
        <f aca="false">IF(OR(B350="",B349=""),"",LN(B350/B349)*100)</f>
        <v>3.45133757843315</v>
      </c>
      <c r="D350" s="5" t="n">
        <f aca="false">IF(COUNT($C348:$C350)&lt;3,"",STDEV($C348:$C350))</f>
        <v>1.50376361566118</v>
      </c>
      <c r="E350" s="5" t="n">
        <f aca="false">IF(COUNT($C339:$C350)&lt;12,"",STDEV($C339:$C350))</f>
        <v>2.10058307984063</v>
      </c>
    </row>
    <row r="351" customFormat="false" ht="15" hidden="false" customHeight="false" outlineLevel="0" collapsed="false">
      <c r="A351" s="5" t="s">
        <v>372</v>
      </c>
      <c r="B351" s="5" t="n">
        <v>1320.065</v>
      </c>
      <c r="C351" s="5" t="n">
        <f aca="false">IF(OR(B351="",B350=""),"",LN(B351/B350)*100)</f>
        <v>2.16866084657532</v>
      </c>
      <c r="D351" s="5" t="n">
        <f aca="false">IF(COUNT($C349:$C351)&lt;3,"",STDEV($C349:$C351))</f>
        <v>0.735727528735163</v>
      </c>
      <c r="E351" s="5" t="n">
        <f aca="false">IF(COUNT($C340:$C351)&lt;12,"",STDEV($C340:$C351))</f>
        <v>2.21461327801787</v>
      </c>
    </row>
    <row r="352" customFormat="false" ht="15" hidden="false" customHeight="false" outlineLevel="0" collapsed="false">
      <c r="A352" s="5" t="s">
        <v>373</v>
      </c>
      <c r="B352" s="5" t="n">
        <v>1300.89761904761</v>
      </c>
      <c r="C352" s="5" t="n">
        <f aca="false">IF(OR(B352="",B351=""),"",LN(B352/B351)*100)</f>
        <v>-1.46264754212049</v>
      </c>
      <c r="D352" s="5" t="n">
        <f aca="false">IF(COUNT($C350:$C352)&lt;3,"",STDEV($C350:$C352))</f>
        <v>2.54882031461892</v>
      </c>
      <c r="E352" s="5" t="n">
        <f aca="false">IF(COUNT($C341:$C352)&lt;12,"",STDEV($C341:$C352))</f>
        <v>2.24845066075915</v>
      </c>
    </row>
    <row r="353" customFormat="false" ht="15" hidden="false" customHeight="false" outlineLevel="0" collapsed="false">
      <c r="A353" s="5" t="s">
        <v>374</v>
      </c>
      <c r="B353" s="5" t="n">
        <v>1286.445</v>
      </c>
      <c r="C353" s="5" t="n">
        <f aca="false">IF(OR(B353="",B352=""),"",LN(B353/B352)*100)</f>
        <v>-1.11719022149331</v>
      </c>
      <c r="D353" s="5" t="n">
        <f aca="false">IF(COUNT($C351:$C353)&lt;3,"",STDEV($C351:$C353))</f>
        <v>2.00426872016185</v>
      </c>
      <c r="E353" s="5" t="n">
        <f aca="false">IF(COUNT($C342:$C353)&lt;12,"",STDEV($C342:$C353))</f>
        <v>2.2446925761109</v>
      </c>
    </row>
    <row r="354" customFormat="false" ht="15" hidden="false" customHeight="false" outlineLevel="0" collapsed="false">
      <c r="A354" s="5" t="s">
        <v>375</v>
      </c>
      <c r="B354" s="5" t="n">
        <v>1283.94761904761</v>
      </c>
      <c r="C354" s="5" t="n">
        <f aca="false">IF(OR(B354="",B353=""),"",LN(B354/B353)*100)</f>
        <v>-0.194319087265032</v>
      </c>
      <c r="D354" s="5" t="n">
        <f aca="false">IF(COUNT($C352:$C354)&lt;3,"",STDEV($C352:$C354))</f>
        <v>0.655704323630036</v>
      </c>
      <c r="E354" s="5" t="n">
        <f aca="false">IF(COUNT($C343:$C354)&lt;12,"",STDEV($C343:$C354))</f>
        <v>2.14541274104805</v>
      </c>
    </row>
    <row r="355" customFormat="false" ht="15" hidden="false" customHeight="false" outlineLevel="0" collapsed="false">
      <c r="A355" s="5" t="s">
        <v>376</v>
      </c>
      <c r="B355" s="5" t="n">
        <v>1359.0425</v>
      </c>
      <c r="C355" s="5" t="n">
        <f aca="false">IF(OR(B355="",B354=""),"",LN(B355/B354)*100)</f>
        <v>5.68409983735007</v>
      </c>
      <c r="D355" s="5" t="n">
        <f aca="false">IF(COUNT($C353:$C355)&lt;3,"",STDEV($C353:$C355))</f>
        <v>3.68928734419415</v>
      </c>
      <c r="E355" s="5" t="n">
        <f aca="false">IF(COUNT($C344:$C355)&lt;12,"",STDEV($C344:$C355))</f>
        <v>2.65419550139508</v>
      </c>
    </row>
    <row r="356" customFormat="false" ht="15" hidden="false" customHeight="false" outlineLevel="0" collapsed="false">
      <c r="A356" s="5" t="s">
        <v>377</v>
      </c>
      <c r="B356" s="5" t="n">
        <v>1412.97826086956</v>
      </c>
      <c r="C356" s="5" t="n">
        <f aca="false">IF(OR(B356="",B355=""),"",LN(B356/B355)*100)</f>
        <v>3.89193108203972</v>
      </c>
      <c r="D356" s="5" t="n">
        <f aca="false">IF(COUNT($C354:$C356)&lt;3,"",STDEV($C354:$C356))</f>
        <v>3.01289225238603</v>
      </c>
      <c r="E356" s="5" t="n">
        <f aca="false">IF(COUNT($C345:$C356)&lt;12,"",STDEV($C345:$C356))</f>
        <v>2.51122403772555</v>
      </c>
    </row>
    <row r="357" customFormat="false" ht="15" hidden="false" customHeight="false" outlineLevel="0" collapsed="false">
      <c r="A357" s="5" t="s">
        <v>378</v>
      </c>
      <c r="B357" s="5" t="n">
        <v>1498.79761904761</v>
      </c>
      <c r="C357" s="5" t="n">
        <f aca="false">IF(OR(B357="",B356=""),"",LN(B357/B356)*100)</f>
        <v>5.8963480868419</v>
      </c>
      <c r="D357" s="5" t="n">
        <f aca="false">IF(COUNT($C355:$C357)&lt;3,"",STDEV($C355:$C357))</f>
        <v>1.1011059361738</v>
      </c>
      <c r="E357" s="5" t="n">
        <f aca="false">IF(COUNT($C346:$C357)&lt;12,"",STDEV($C346:$C357))</f>
        <v>2.49460221035306</v>
      </c>
    </row>
    <row r="358" customFormat="false" ht="15" hidden="false" customHeight="false" outlineLevel="0" collapsed="false">
      <c r="A358" s="5" t="s">
        <v>379</v>
      </c>
      <c r="B358" s="5" t="n">
        <v>1511.31428571428</v>
      </c>
      <c r="C358" s="5" t="n">
        <f aca="false">IF(OR(B358="",B357=""),"",LN(B358/B357)*100)</f>
        <v>0.831646078551411</v>
      </c>
      <c r="D358" s="5" t="n">
        <f aca="false">IF(COUNT($C356:$C358)&lt;3,"",STDEV($C356:$C358))</f>
        <v>2.55062862397022</v>
      </c>
      <c r="E358" s="5" t="n">
        <f aca="false">IF(COUNT($C347:$C358)&lt;12,"",STDEV($C347:$C358))</f>
        <v>2.43231433949249</v>
      </c>
    </row>
    <row r="359" customFormat="false" ht="15" hidden="false" customHeight="false" outlineLevel="0" collapsed="false">
      <c r="A359" s="5" t="s">
        <v>380</v>
      </c>
      <c r="B359" s="5" t="n">
        <v>1494.8</v>
      </c>
      <c r="C359" s="5" t="n">
        <f aca="false">IF(OR(B359="",B358=""),"",LN(B359/B358)*100)</f>
        <v>-1.09872415200045</v>
      </c>
      <c r="D359" s="5" t="n">
        <f aca="false">IF(COUNT($C357:$C359)&lt;3,"",STDEV($C357:$C359))</f>
        <v>3.61267609228038</v>
      </c>
      <c r="E359" s="5" t="n">
        <f aca="false">IF(COUNT($C348:$C359)&lt;12,"",STDEV($C348:$C359))</f>
        <v>2.58430169245576</v>
      </c>
    </row>
    <row r="360" customFormat="false" ht="15" hidden="false" customHeight="false" outlineLevel="0" collapsed="false">
      <c r="A360" s="5" t="s">
        <v>381</v>
      </c>
      <c r="B360" s="5" t="n">
        <v>1470.01666666666</v>
      </c>
      <c r="C360" s="5" t="n">
        <f aca="false">IF(OR(B360="",B359=""),"",LN(B360/B359)*100)</f>
        <v>-1.67186800343437</v>
      </c>
      <c r="D360" s="5" t="n">
        <f aca="false">IF(COUNT($C358:$C360)&lt;3,"",STDEV($C358:$C360))</f>
        <v>1.3116405668817</v>
      </c>
      <c r="E360" s="5" t="n">
        <f aca="false">IF(COUNT($C349:$C360)&lt;12,"",STDEV($C349:$C360))</f>
        <v>2.74710774706464</v>
      </c>
    </row>
    <row r="361" customFormat="false" ht="15" hidden="false" customHeight="false" outlineLevel="0" collapsed="false">
      <c r="A361" s="5" t="s">
        <v>382</v>
      </c>
      <c r="B361" s="5" t="n">
        <v>1476.04444444444</v>
      </c>
      <c r="C361" s="5" t="n">
        <f aca="false">IF(OR(B361="",B360=""),"",LN(B361/B360)*100)</f>
        <v>0.409209854231555</v>
      </c>
      <c r="D361" s="5" t="n">
        <f aca="false">IF(COUNT($C359:$C361)&lt;3,"",STDEV($C359:$C361))</f>
        <v>1.07496076604799</v>
      </c>
      <c r="E361" s="5" t="n">
        <f aca="false">IF(COUNT($C350:$C361)&lt;12,"",STDEV($C350:$C361))</f>
        <v>2.75741529143574</v>
      </c>
    </row>
    <row r="362" customFormat="false" ht="15" hidden="false" customHeight="false" outlineLevel="0" collapsed="false">
      <c r="A362" s="5" t="s">
        <v>383</v>
      </c>
      <c r="B362" s="5" t="n">
        <v>1560.67272727272</v>
      </c>
      <c r="C362" s="5" t="n">
        <f aca="false">IF(OR(B362="",B361=""),"",LN(B362/B361)*100)</f>
        <v>5.57511266002373</v>
      </c>
      <c r="D362" s="5" t="n">
        <f aca="false">IF(COUNT($C360:$C362)&lt;3,"",STDEV($C360:$C362))</f>
        <v>3.73131267306593</v>
      </c>
      <c r="E362" s="5" t="n">
        <f aca="false">IF(COUNT($C351:$C362)&lt;12,"",STDEV($C351:$C362))</f>
        <v>2.96170278985326</v>
      </c>
    </row>
    <row r="363" customFormat="false" ht="15" hidden="false" customHeight="false" outlineLevel="0" collapsed="false">
      <c r="A363" s="5" t="s">
        <v>384</v>
      </c>
      <c r="B363" s="5" t="n">
        <v>1597.1025</v>
      </c>
      <c r="C363" s="5" t="n">
        <f aca="false">IF(OR(B363="",B362=""),"",LN(B363/B362)*100)</f>
        <v>2.30740862786745</v>
      </c>
      <c r="D363" s="5" t="n">
        <f aca="false">IF(COUNT($C361:$C363)&lt;3,"",STDEV($C361:$C363))</f>
        <v>2.61303144594213</v>
      </c>
      <c r="E363" s="5" t="n">
        <f aca="false">IF(COUNT($C352:$C363)&lt;12,"",STDEV($C352:$C363))</f>
        <v>2.96449626299647</v>
      </c>
    </row>
    <row r="364" customFormat="false" ht="15" hidden="false" customHeight="false" outlineLevel="0" collapsed="false">
      <c r="A364" s="5" t="s">
        <v>385</v>
      </c>
      <c r="B364" s="5" t="n">
        <v>1591.92727272727</v>
      </c>
      <c r="C364" s="5" t="n">
        <f aca="false">IF(OR(B364="",B363=""),"",LN(B364/B363)*100)</f>
        <v>-0.324564659763955</v>
      </c>
      <c r="D364" s="5" t="n">
        <f aca="false">IF(COUNT($C362:$C364)&lt;3,"",STDEV($C362:$C364))</f>
        <v>2.9555418427702</v>
      </c>
      <c r="E364" s="5" t="n">
        <f aca="false">IF(COUNT($C353:$C364)&lt;12,"",STDEV($C353:$C364))</f>
        <v>2.87489261707638</v>
      </c>
    </row>
    <row r="365" customFormat="false" ht="15" hidden="false" customHeight="false" outlineLevel="0" collapsed="false">
      <c r="A365" s="5" t="s">
        <v>386</v>
      </c>
      <c r="B365" s="5" t="n">
        <v>1682.93</v>
      </c>
      <c r="C365" s="5" t="n">
        <f aca="false">IF(OR(B365="",B364=""),"",LN(B365/B364)*100)</f>
        <v>5.55909185307122</v>
      </c>
      <c r="D365" s="5" t="n">
        <f aca="false">IF(COUNT($C363:$C365)&lt;3,"",STDEV($C363:$C365))</f>
        <v>2.94726260409284</v>
      </c>
      <c r="E365" s="5" t="n">
        <f aca="false">IF(COUNT($C354:$C365)&lt;12,"",STDEV($C354:$C365))</f>
        <v>2.92934059405653</v>
      </c>
    </row>
    <row r="366" customFormat="false" ht="15" hidden="false" customHeight="false" outlineLevel="0" collapsed="false">
      <c r="A366" s="5" t="s">
        <v>387</v>
      </c>
      <c r="B366" s="5" t="n">
        <v>1716.38157894736</v>
      </c>
      <c r="C366" s="5" t="n">
        <f aca="false">IF(OR(B366="",B365=""),"",LN(B366/B365)*100)</f>
        <v>1.96820197510512</v>
      </c>
      <c r="D366" s="5" t="n">
        <f aca="false">IF(COUNT($C364:$C366)&lt;3,"",STDEV($C364:$C366))</f>
        <v>2.96559951551891</v>
      </c>
      <c r="E366" s="5" t="n">
        <f aca="false">IF(COUNT($C355:$C366)&lt;12,"",STDEV($C355:$C366))</f>
        <v>2.83091582151988</v>
      </c>
    </row>
    <row r="367" customFormat="false" ht="15" hidden="false" customHeight="false" outlineLevel="0" collapsed="false">
      <c r="A367" s="5" t="s">
        <v>388</v>
      </c>
      <c r="B367" s="5" t="n">
        <v>1732.21818181818</v>
      </c>
      <c r="C367" s="5" t="n">
        <f aca="false">IF(OR(B367="",B366=""),"",LN(B367/B366)*100)</f>
        <v>0.918443153302368</v>
      </c>
      <c r="D367" s="5" t="n">
        <f aca="false">IF(COUNT($C365:$C367)&lt;3,"",STDEV($C365:$C367))</f>
        <v>2.4335195381141</v>
      </c>
      <c r="E367" s="5" t="n">
        <f aca="false">IF(COUNT($C356:$C367)&lt;12,"",STDEV($C356:$C367))</f>
        <v>2.66036589662697</v>
      </c>
    </row>
    <row r="368" customFormat="false" ht="15" hidden="false" customHeight="false" outlineLevel="0" collapsed="false">
      <c r="A368" s="5" t="s">
        <v>389</v>
      </c>
      <c r="B368" s="5" t="n">
        <v>1843.31304347826</v>
      </c>
      <c r="C368" s="5" t="n">
        <f aca="false">IF(OR(B368="",B367=""),"",LN(B368/B367)*100)</f>
        <v>6.21617464176807</v>
      </c>
      <c r="D368" s="5" t="n">
        <f aca="false">IF(COUNT($C366:$C368)&lt;3,"",STDEV($C366:$C368))</f>
        <v>2.80515074712422</v>
      </c>
      <c r="E368" s="5" t="n">
        <f aca="false">IF(COUNT($C357:$C368)&lt;12,"",STDEV($C357:$C368))</f>
        <v>2.88409399437955</v>
      </c>
    </row>
    <row r="369" customFormat="false" ht="15" hidden="false" customHeight="false" outlineLevel="0" collapsed="false">
      <c r="A369" s="5" t="s">
        <v>390</v>
      </c>
      <c r="B369" s="5" t="n">
        <v>1968.03095238095</v>
      </c>
      <c r="C369" s="5" t="n">
        <f aca="false">IF(OR(B369="",B368=""),"",LN(B369/B368)*100)</f>
        <v>6.54690066913256</v>
      </c>
      <c r="D369" s="5" t="n">
        <f aca="false">IF(COUNT($C367:$C369)&lt;3,"",STDEV($C367:$C369))</f>
        <v>3.15845090291013</v>
      </c>
      <c r="E369" s="5" t="n">
        <f aca="false">IF(COUNT($C358:$C369)&lt;12,"",STDEV($C358:$C369))</f>
        <v>2.96456418216812</v>
      </c>
    </row>
    <row r="370" customFormat="false" ht="15" hidden="false" customHeight="false" outlineLevel="0" collapsed="false">
      <c r="A370" s="5" t="s">
        <v>391</v>
      </c>
      <c r="B370" s="5" t="n">
        <v>1922.21363636363</v>
      </c>
      <c r="C370" s="5" t="n">
        <f aca="false">IF(OR(B370="",B369=""),"",LN(B370/B369)*100)</f>
        <v>-2.35560688163283</v>
      </c>
      <c r="D370" s="5" t="n">
        <f aca="false">IF(COUNT($C368:$C370)&lt;3,"",STDEV($C368:$C370))</f>
        <v>5.04710245060682</v>
      </c>
      <c r="E370" s="5" t="n">
        <f aca="false">IF(COUNT($C359:$C370)&lt;12,"",STDEV($C359:$C370))</f>
        <v>3.2355173957811</v>
      </c>
    </row>
    <row r="371" customFormat="false" ht="15" hidden="false" customHeight="false" outlineLevel="0" collapsed="false">
      <c r="A371" s="5" t="s">
        <v>392</v>
      </c>
      <c r="B371" s="5" t="n">
        <v>1900.275</v>
      </c>
      <c r="C371" s="5" t="n">
        <f aca="false">IF(OR(B371="",B370=""),"",LN(B371/B370)*100)</f>
        <v>-1.14788449847669</v>
      </c>
      <c r="D371" s="5" t="n">
        <f aca="false">IF(COUNT($C369:$C371)&lt;3,"",STDEV($C369:$C371))</f>
        <v>4.82912954236873</v>
      </c>
      <c r="E371" s="5" t="n">
        <f aca="false">IF(COUNT($C360:$C371)&lt;12,"",STDEV($C360:$C371))</f>
        <v>3.23983154609602</v>
      </c>
    </row>
    <row r="372" customFormat="false" ht="15" hidden="false" customHeight="false" outlineLevel="0" collapsed="false">
      <c r="A372" s="5" t="s">
        <v>393</v>
      </c>
      <c r="B372" s="5" t="n">
        <v>1863.49285714285</v>
      </c>
      <c r="C372" s="5" t="n">
        <f aca="false">IF(OR(B372="",B371=""),"",LN(B372/B371)*100)</f>
        <v>-1.95460056443869</v>
      </c>
      <c r="D372" s="5" t="n">
        <f aca="false">IF(COUNT($C370:$C372)&lt;3,"",STDEV($C370:$C372))</f>
        <v>0.615113842076834</v>
      </c>
      <c r="E372" s="5" t="n">
        <f aca="false">IF(COUNT($C361:$C372)&lt;12,"",STDEV($C361:$C372))</f>
        <v>3.26985142308282</v>
      </c>
    </row>
    <row r="373" customFormat="false" ht="15" hidden="false" customHeight="false" outlineLevel="0" collapsed="false">
      <c r="A373" s="5" t="s">
        <v>394</v>
      </c>
      <c r="B373" s="5" t="n">
        <v>1855.95526315789</v>
      </c>
      <c r="C373" s="5" t="n">
        <f aca="false">IF(OR(B373="",B372=""),"",LN(B373/B372)*100)</f>
        <v>-0.405307672524092</v>
      </c>
      <c r="D373" s="5" t="n">
        <f aca="false">IF(COUNT($C371:$C373)&lt;3,"",STDEV($C371:$C373))</f>
        <v>0.774867689615473</v>
      </c>
      <c r="E373" s="5" t="n">
        <f aca="false">IF(COUNT($C362:$C373)&lt;12,"",STDEV($C362:$C373))</f>
        <v>3.31350568373192</v>
      </c>
    </row>
    <row r="374" customFormat="false" ht="15" hidden="false" customHeight="false" outlineLevel="0" collapsed="false">
      <c r="A374" s="5" t="s">
        <v>395</v>
      </c>
      <c r="B374" s="5" t="n">
        <v>1866.985</v>
      </c>
      <c r="C374" s="5" t="n">
        <f aca="false">IF(OR(B374="",B373=""),"",LN(B374/B373)*100)</f>
        <v>0.592530007621136</v>
      </c>
      <c r="D374" s="5" t="n">
        <f aca="false">IF(COUNT($C372:$C374)&lt;3,"",STDEV($C372:$C374))</f>
        <v>1.28347592186066</v>
      </c>
      <c r="E374" s="5" t="n">
        <f aca="false">IF(COUNT($C363:$C374)&lt;12,"",STDEV($C363:$C374))</f>
        <v>3.11874888454675</v>
      </c>
    </row>
    <row r="375" customFormat="false" ht="15" hidden="false" customHeight="false" outlineLevel="0" collapsed="false">
      <c r="A375" s="5" t="s">
        <v>396</v>
      </c>
      <c r="B375" s="5" t="n">
        <v>1808.175</v>
      </c>
      <c r="C375" s="5" t="n">
        <f aca="false">IF(OR(B375="",B374=""),"",LN(B375/B374)*100)</f>
        <v>-3.20067809263814</v>
      </c>
      <c r="D375" s="5" t="n">
        <f aca="false">IF(COUNT($C373:$C375)&lt;3,"",STDEV($C373:$C375))</f>
        <v>1.96630802577821</v>
      </c>
      <c r="E375" s="5" t="n">
        <f aca="false">IF(COUNT($C364:$C375)&lt;12,"",STDEV($C364:$C375))</f>
        <v>3.38225363118659</v>
      </c>
    </row>
    <row r="376" customFormat="false" ht="15" hidden="false" customHeight="false" outlineLevel="0" collapsed="false">
      <c r="A376" s="5" t="s">
        <v>397</v>
      </c>
      <c r="B376" s="5" t="n">
        <v>1718.22826086956</v>
      </c>
      <c r="C376" s="5" t="n">
        <f aca="false">IF(OR(B376="",B375=""),"",LN(B376/B375)*100)</f>
        <v>-5.10243702836948</v>
      </c>
      <c r="D376" s="5" t="n">
        <f aca="false">IF(COUNT($C374:$C376)&lt;3,"",STDEV($C374:$C376))</f>
        <v>2.89936097219503</v>
      </c>
      <c r="E376" s="5" t="n">
        <f aca="false">IF(COUNT($C365:$C376)&lt;12,"",STDEV($C365:$C376))</f>
        <v>3.8108410103118</v>
      </c>
    </row>
    <row r="377" customFormat="false" ht="15" hidden="false" customHeight="false" outlineLevel="0" collapsed="false">
      <c r="A377" s="5" t="s">
        <v>398</v>
      </c>
      <c r="B377" s="5" t="n">
        <v>1761.6775</v>
      </c>
      <c r="C377" s="5" t="n">
        <f aca="false">IF(OR(B377="",B376=""),"",LN(B377/B376)*100)</f>
        <v>2.49728010772014</v>
      </c>
      <c r="D377" s="5" t="n">
        <f aca="false">IF(COUNT($C375:$C377)&lt;3,"",STDEV($C375:$C377))</f>
        <v>3.95472534341806</v>
      </c>
      <c r="E377" s="5" t="n">
        <f aca="false">IF(COUNT($C366:$C377)&lt;12,"",STDEV($C366:$C377))</f>
        <v>3.54446239232866</v>
      </c>
    </row>
    <row r="378" customFormat="false" ht="15" hidden="false" customHeight="false" outlineLevel="0" collapsed="false">
      <c r="A378" s="5" t="s">
        <v>399</v>
      </c>
      <c r="B378" s="5" t="n">
        <v>1855.56</v>
      </c>
      <c r="C378" s="5" t="n">
        <f aca="false">IF(OR(B378="",B377=""),"",LN(B378/B377)*100)</f>
        <v>5.19200571783596</v>
      </c>
      <c r="D378" s="5" t="n">
        <f aca="false">IF(COUNT($C376:$C378)&lt;3,"",STDEV($C376:$C378))</f>
        <v>5.33842670514591</v>
      </c>
      <c r="E378" s="5" t="n">
        <f aca="false">IF(COUNT($C367:$C378)&lt;12,"",STDEV($C367:$C378))</f>
        <v>3.78940262003945</v>
      </c>
    </row>
    <row r="379" customFormat="false" ht="15" hidden="false" customHeight="false" outlineLevel="0" collapsed="false">
      <c r="A379" s="5" t="s">
        <v>400</v>
      </c>
      <c r="B379" s="5" t="n">
        <v>1834.5659090909</v>
      </c>
      <c r="C379" s="5" t="n">
        <f aca="false">IF(OR(B379="",B378=""),"",LN(B379/B378)*100)</f>
        <v>-1.137864557515</v>
      </c>
      <c r="D379" s="5" t="n">
        <f aca="false">IF(COUNT($C377:$C379)&lt;3,"",STDEV($C377:$C379))</f>
        <v>3.17655685068422</v>
      </c>
      <c r="E379" s="5" t="n">
        <f aca="false">IF(COUNT($C368:$C379)&lt;12,"",STDEV($C368:$C379))</f>
        <v>3.82249603788673</v>
      </c>
    </row>
    <row r="380" customFormat="false" ht="15" hidden="false" customHeight="false" outlineLevel="0" collapsed="false">
      <c r="A380" s="5" t="s">
        <v>401</v>
      </c>
      <c r="B380" s="5" t="n">
        <v>1807.09318181818</v>
      </c>
      <c r="C380" s="5" t="n">
        <f aca="false">IF(OR(B380="",B379=""),"",LN(B380/B379)*100)</f>
        <v>-1.5088314299603</v>
      </c>
      <c r="D380" s="5" t="n">
        <f aca="false">IF(COUNT($C378:$C380)&lt;3,"",STDEV($C378:$C380))</f>
        <v>3.7662114607943</v>
      </c>
      <c r="E380" s="5" t="n">
        <f aca="false">IF(COUNT($C369:$C380)&lt;12,"",STDEV($C369:$C380))</f>
        <v>3.39491489932221</v>
      </c>
    </row>
    <row r="381" customFormat="false" ht="15" hidden="false" customHeight="false" outlineLevel="0" collapsed="false">
      <c r="A381" s="5" t="s">
        <v>402</v>
      </c>
      <c r="B381" s="5" t="n">
        <v>1783.96904761904</v>
      </c>
      <c r="C381" s="5" t="n">
        <f aca="false">IF(OR(B381="",B380=""),"",LN(B381/B380)*100)</f>
        <v>-1.28788934004719</v>
      </c>
      <c r="D381" s="5" t="n">
        <f aca="false">IF(COUNT($C379:$C381)&lt;3,"",STDEV($C379:$C381))</f>
        <v>0.186609781326729</v>
      </c>
      <c r="E381" s="5" t="n">
        <f aca="false">IF(COUNT($C370:$C381)&lt;12,"",STDEV($C370:$C381))</f>
        <v>2.66065597455869</v>
      </c>
    </row>
    <row r="382" customFormat="false" ht="15" hidden="false" customHeight="false" outlineLevel="0" collapsed="false">
      <c r="A382" s="5" t="s">
        <v>403</v>
      </c>
      <c r="B382" s="5" t="n">
        <v>1777.25227272727</v>
      </c>
      <c r="C382" s="5" t="n">
        <f aca="false">IF(OR(B382="",B381=""),"",LN(B382/B381)*100)</f>
        <v>-0.377217940260986</v>
      </c>
      <c r="D382" s="5" t="n">
        <f aca="false">IF(COUNT($C380:$C382)&lt;3,"",STDEV($C380:$C382))</f>
        <v>0.599817596656573</v>
      </c>
      <c r="E382" s="5" t="n">
        <f aca="false">IF(COUNT($C371:$C382)&lt;12,"",STDEV($C371:$C382))</f>
        <v>2.61768392796785</v>
      </c>
    </row>
    <row r="383" customFormat="false" ht="15" hidden="false" customHeight="false" outlineLevel="0" collapsed="false">
      <c r="A383" s="5" t="s">
        <v>404</v>
      </c>
      <c r="B383" s="5" t="n">
        <v>1776.85476190476</v>
      </c>
      <c r="C383" s="5" t="n">
        <f aca="false">IF(OR(B383="",B382=""),"",LN(B383/B382)*100)</f>
        <v>-0.0223690969514605</v>
      </c>
      <c r="D383" s="5" t="n">
        <f aca="false">IF(COUNT($C381:$C383)&lt;3,"",STDEV($C381:$C383))</f>
        <v>0.652786538064798</v>
      </c>
      <c r="E383" s="5" t="n">
        <f aca="false">IF(COUNT($C372:$C383)&lt;12,"",STDEV($C372:$C383))</f>
        <v>2.61851967480686</v>
      </c>
    </row>
    <row r="384" customFormat="false" ht="15" hidden="false" customHeight="false" outlineLevel="0" collapsed="false">
      <c r="A384" s="5" t="s">
        <v>405</v>
      </c>
      <c r="B384" s="5" t="n">
        <v>1820.23409090909</v>
      </c>
      <c r="C384" s="5" t="n">
        <f aca="false">IF(OR(B384="",B383=""),"",LN(B384/B383)*100)</f>
        <v>2.41203005504514</v>
      </c>
      <c r="D384" s="5" t="n">
        <f aca="false">IF(COUNT($C382:$C384)&lt;3,"",STDEV($C382:$C384))</f>
        <v>1.51833907676333</v>
      </c>
      <c r="E384" s="5" t="n">
        <f aca="false">IF(COUNT($C373:$C384)&lt;12,"",STDEV($C373:$C384))</f>
        <v>2.70888827316483</v>
      </c>
    </row>
    <row r="385" customFormat="false" ht="15" hidden="false" customHeight="false" outlineLevel="0" collapsed="false">
      <c r="A385" s="5" t="s">
        <v>406</v>
      </c>
      <c r="B385" s="5" t="n">
        <v>1786.65263157894</v>
      </c>
      <c r="C385" s="5" t="n">
        <f aca="false">IF(OR(B385="",B384=""),"",LN(B385/B384)*100)</f>
        <v>-1.86212832721064</v>
      </c>
      <c r="D385" s="5" t="n">
        <f aca="false">IF(COUNT($C383:$C385)&lt;3,"",STDEV($C383:$C385))</f>
        <v>2.14396218612382</v>
      </c>
      <c r="E385" s="5" t="n">
        <f aca="false">IF(COUNT($C374:$C385)&lt;12,"",STDEV($C374:$C385))</f>
        <v>2.75144482864377</v>
      </c>
    </row>
    <row r="386" customFormat="false" ht="15" hidden="false" customHeight="false" outlineLevel="0" collapsed="false">
      <c r="A386" s="5" t="s">
        <v>407</v>
      </c>
      <c r="B386" s="5" t="n">
        <v>1816.765</v>
      </c>
      <c r="C386" s="5" t="n">
        <f aca="false">IF(OR(B386="",B385=""),"",LN(B386/B385)*100)</f>
        <v>1.67136160583207</v>
      </c>
      <c r="D386" s="5" t="n">
        <f aca="false">IF(COUNT($C384:$C386)&lt;3,"",STDEV($C384:$C386))</f>
        <v>2.28409612812819</v>
      </c>
      <c r="E386" s="5" t="n">
        <f aca="false">IF(COUNT($C375:$C386)&lt;12,"",STDEV($C375:$C386))</f>
        <v>2.80104793078091</v>
      </c>
    </row>
    <row r="387" customFormat="false" ht="15" hidden="false" customHeight="false" outlineLevel="0" collapsed="false">
      <c r="A387" s="5" t="s">
        <v>408</v>
      </c>
      <c r="B387" s="5" t="n">
        <v>1856.295</v>
      </c>
      <c r="C387" s="5" t="n">
        <f aca="false">IF(OR(B387="",B386=""),"",LN(B387/B386)*100)</f>
        <v>2.15251187167534</v>
      </c>
      <c r="D387" s="5" t="n">
        <f aca="false">IF(COUNT($C385:$C387)&lt;3,"",STDEV($C385:$C387))</f>
        <v>2.19219800701436</v>
      </c>
      <c r="E387" s="5" t="n">
        <f aca="false">IF(COUNT($C376:$C387)&lt;12,"",STDEV($C376:$C387))</f>
        <v>2.70921440355674</v>
      </c>
    </row>
    <row r="388" customFormat="false" ht="15" hidden="false" customHeight="false" outlineLevel="0" collapsed="false">
      <c r="A388" s="5" t="s">
        <v>409</v>
      </c>
      <c r="B388" s="5" t="n">
        <v>1947.82826086956</v>
      </c>
      <c r="C388" s="5" t="n">
        <f aca="false">IF(OR(B388="",B387=""),"",LN(B388/B387)*100)</f>
        <v>4.81324738633206</v>
      </c>
      <c r="D388" s="5" t="n">
        <f aca="false">IF(COUNT($C386:$C388)&lt;3,"",STDEV($C386:$C388))</f>
        <v>1.69226009205562</v>
      </c>
      <c r="E388" s="5" t="n">
        <f aca="false">IF(COUNT($C377:$C388)&lt;12,"",STDEV($C377:$C388))</f>
        <v>2.43715269021392</v>
      </c>
    </row>
    <row r="389" customFormat="false" ht="15" hidden="false" customHeight="false" outlineLevel="0" collapsed="false">
      <c r="A389" s="5" t="s">
        <v>410</v>
      </c>
      <c r="B389" s="5" t="n">
        <v>1933.9</v>
      </c>
      <c r="C389" s="5" t="n">
        <f aca="false">IF(OR(B389="",B388=""),"",LN(B389/B388)*100)</f>
        <v>-0.717635017647705</v>
      </c>
      <c r="D389" s="5" t="n">
        <f aca="false">IF(COUNT($C387:$C389)&lt;3,"",STDEV($C387:$C389))</f>
        <v>2.76610185435206</v>
      </c>
      <c r="E389" s="5" t="n">
        <f aca="false">IF(COUNT($C378:$C389)&lt;12,"",STDEV($C378:$C389))</f>
        <v>2.43971772242723</v>
      </c>
    </row>
    <row r="390" customFormat="false" ht="15" hidden="false" customHeight="false" outlineLevel="0" collapsed="false">
      <c r="A390" s="5" t="s">
        <v>411</v>
      </c>
      <c r="B390" s="5" t="n">
        <v>1849.83318181818</v>
      </c>
      <c r="C390" s="5" t="n">
        <f aca="false">IF(OR(B390="",B389=""),"",LN(B390/B389)*100)</f>
        <v>-4.44432263517937</v>
      </c>
      <c r="D390" s="5" t="n">
        <f aca="false">IF(COUNT($C388:$C390)&lt;3,"",STDEV($C388:$C390))</f>
        <v>4.6579942655701</v>
      </c>
      <c r="E390" s="5" t="n">
        <f aca="false">IF(COUNT($C379:$C390)&lt;12,"",STDEV($C379:$C390))</f>
        <v>2.44040459443248</v>
      </c>
    </row>
    <row r="391" customFormat="false" ht="15" hidden="false" customHeight="false" outlineLevel="0" collapsed="false">
      <c r="A391" s="5" t="s">
        <v>412</v>
      </c>
      <c r="B391" s="5" t="n">
        <v>1837.06409090909</v>
      </c>
      <c r="C391" s="5" t="n">
        <f aca="false">IF(OR(B391="",B390=""),"",LN(B391/B390)*100)</f>
        <v>-0.692676851005132</v>
      </c>
      <c r="D391" s="5" t="n">
        <f aca="false">IF(COUNT($C389:$C391)&lt;3,"",STDEV($C389:$C391))</f>
        <v>2.1588449689073</v>
      </c>
      <c r="E391" s="5" t="n">
        <f aca="false">IF(COUNT($C380:$C391)&lt;12,"",STDEV($C380:$C391))</f>
        <v>2.42529857633876</v>
      </c>
    </row>
    <row r="392" customFormat="false" ht="15" hidden="false" customHeight="false" outlineLevel="0" collapsed="false">
      <c r="A392" s="5" t="s">
        <v>413</v>
      </c>
      <c r="B392" s="5" t="n">
        <v>1737.38047619047</v>
      </c>
      <c r="C392" s="5" t="n">
        <f aca="false">IF(OR(B392="",B391=""),"",LN(B392/B391)*100)</f>
        <v>-5.57901891153919</v>
      </c>
      <c r="D392" s="5" t="n">
        <f aca="false">IF(COUNT($C390:$C392)&lt;3,"",STDEV($C390:$C392))</f>
        <v>2.55730067525771</v>
      </c>
      <c r="E392" s="5" t="n">
        <f aca="false">IF(COUNT($C381:$C392)&lt;12,"",STDEV($C381:$C392))</f>
        <v>2.89613317892471</v>
      </c>
    </row>
    <row r="393" customFormat="false" ht="15" hidden="false" customHeight="false" outlineLevel="0" collapsed="false">
      <c r="A393" s="5" t="s">
        <v>414</v>
      </c>
      <c r="B393" s="5" t="n">
        <v>1764.13260869565</v>
      </c>
      <c r="C393" s="5" t="n">
        <f aca="false">IF(OR(B393="",B392=""),"",LN(B393/B392)*100)</f>
        <v>1.52806243477563</v>
      </c>
      <c r="D393" s="5" t="n">
        <f aca="false">IF(COUNT($C391:$C393)&lt;3,"",STDEV($C391:$C393))</f>
        <v>3.63590032342038</v>
      </c>
      <c r="E393" s="5" t="n">
        <f aca="false">IF(COUNT($C382:$C393)&lt;12,"",STDEV($C382:$C393))</f>
        <v>2.9252094636591</v>
      </c>
    </row>
    <row r="394" customFormat="false" ht="15" hidden="false" customHeight="false" outlineLevel="0" collapsed="false">
      <c r="A394" s="5" t="s">
        <v>415</v>
      </c>
      <c r="B394" s="5" t="n">
        <v>1683.20818181818</v>
      </c>
      <c r="C394" s="5" t="n">
        <f aca="false">IF(OR(B394="",B393=""),"",LN(B394/B393)*100)</f>
        <v>-4.69575253361284</v>
      </c>
      <c r="D394" s="5" t="n">
        <f aca="false">IF(COUNT($C392:$C394)&lt;3,"",STDEV($C392:$C394))</f>
        <v>3.87355645194111</v>
      </c>
      <c r="E394" s="5" t="n">
        <f aca="false">IF(COUNT($C383:$C394)&lt;12,"",STDEV($C383:$C394))</f>
        <v>3.21465690309316</v>
      </c>
    </row>
    <row r="395" customFormat="false" ht="15" hidden="false" customHeight="false" outlineLevel="0" collapsed="false">
      <c r="A395" s="5" t="s">
        <v>416</v>
      </c>
      <c r="B395" s="5" t="n">
        <v>1666.62666666666</v>
      </c>
      <c r="C395" s="5" t="n">
        <f aca="false">IF(OR(B395="",B394=""),"",LN(B395/B394)*100)</f>
        <v>-0.989998094252464</v>
      </c>
      <c r="D395" s="5" t="n">
        <f aca="false">IF(COUNT($C393:$C395)&lt;3,"",STDEV($C393:$C395))</f>
        <v>3.13073786705905</v>
      </c>
      <c r="E395" s="5" t="n">
        <f aca="false">IF(COUNT($C384:$C395)&lt;12,"",STDEV($C384:$C395))</f>
        <v>3.21500736969382</v>
      </c>
    </row>
    <row r="396" customFormat="false" ht="15" hidden="false" customHeight="false" outlineLevel="0" collapsed="false">
      <c r="A396" s="5" t="s">
        <v>417</v>
      </c>
      <c r="B396" s="5" t="n">
        <v>1727.89863636363</v>
      </c>
      <c r="C396" s="5" t="n">
        <f aca="false">IF(OR(B396="",B395=""),"",LN(B396/B395)*100)</f>
        <v>3.61043856715571</v>
      </c>
      <c r="D396" s="5" t="n">
        <f aca="false">IF(COUNT($C394:$C396)&lt;3,"",STDEV($C394:$C396))</f>
        <v>4.16111852036113</v>
      </c>
      <c r="E396" s="5" t="n">
        <f aca="false">IF(COUNT($C385:$C396)&lt;12,"",STDEV($C385:$C396))</f>
        <v>3.33133684709551</v>
      </c>
    </row>
    <row r="397" customFormat="false" ht="15" hidden="false" customHeight="false" outlineLevel="0" collapsed="false">
      <c r="A397" s="5" t="s">
        <v>418</v>
      </c>
      <c r="B397" s="5" t="n">
        <v>1797.40818181818</v>
      </c>
      <c r="C397" s="5" t="n">
        <f aca="false">IF(OR(B397="",B396=""),"",LN(B397/B396)*100)</f>
        <v>3.94397191119348</v>
      </c>
      <c r="D397" s="5" t="n">
        <f aca="false">IF(COUNT($C395:$C397)&lt;3,"",STDEV($C395:$C397))</f>
        <v>2.75739375684884</v>
      </c>
      <c r="E397" s="5" t="n">
        <f aca="false">IF(COUNT($C386:$C397)&lt;12,"",STDEV($C386:$C397))</f>
        <v>3.52125609447668</v>
      </c>
    </row>
    <row r="398" customFormat="false" ht="15" hidden="false" customHeight="false" outlineLevel="0" collapsed="false">
      <c r="A398" s="5" t="s">
        <v>419</v>
      </c>
      <c r="B398" s="5" t="n">
        <v>1896.05954545454</v>
      </c>
      <c r="C398" s="5" t="n">
        <f aca="false">IF(OR(B398="",B397=""),"",LN(B398/B397)*100)</f>
        <v>5.34320809086569</v>
      </c>
      <c r="D398" s="5" t="n">
        <f aca="false">IF(COUNT($C396:$C398)&lt;3,"",STDEV($C396:$C398))</f>
        <v>0.919383543503182</v>
      </c>
      <c r="E398" s="5" t="n">
        <f aca="false">IF(COUNT($C387:$C398)&lt;12,"",STDEV($C387:$C398))</f>
        <v>3.82167590064322</v>
      </c>
    </row>
    <row r="399" customFormat="false" ht="15" hidden="false" customHeight="false" outlineLevel="0" collapsed="false">
      <c r="A399" s="5" t="s">
        <v>420</v>
      </c>
      <c r="B399" s="5" t="n">
        <v>1853.409</v>
      </c>
      <c r="C399" s="5" t="n">
        <f aca="false">IF(OR(B399="",B398=""),"",LN(B399/B398)*100)</f>
        <v>-2.27511630710331</v>
      </c>
      <c r="D399" s="5" t="n">
        <f aca="false">IF(COUNT($C397:$C399)&lt;3,"",STDEV($C397:$C399))</f>
        <v>4.05532133511331</v>
      </c>
      <c r="E399" s="5" t="n">
        <f aca="false">IF(COUNT($C388:$C399)&lt;12,"",STDEV($C388:$C399))</f>
        <v>3.84611918717255</v>
      </c>
    </row>
    <row r="400" customFormat="false" ht="15" hidden="false" customHeight="false" outlineLevel="0" collapsed="false">
      <c r="A400" s="5" t="s">
        <v>421</v>
      </c>
      <c r="B400" s="5" t="n">
        <v>1913.64826086956</v>
      </c>
      <c r="C400" s="5" t="n">
        <f aca="false">IF(OR(B400="",B399=""),"",LN(B400/B399)*100)</f>
        <v>3.19848582930764</v>
      </c>
      <c r="D400" s="5" t="n">
        <f aca="false">IF(COUNT($C398:$C400)&lt;3,"",STDEV($C398:$C400))</f>
        <v>3.928507361998</v>
      </c>
      <c r="E400" s="5" t="n">
        <f aca="false">IF(COUNT($C389:$C400)&lt;12,"",STDEV($C389:$C400))</f>
        <v>3.68686563266326</v>
      </c>
    </row>
    <row r="401" customFormat="false" ht="15" hidden="false" customHeight="false" outlineLevel="0" collapsed="false">
      <c r="A401" s="5" t="s">
        <v>422</v>
      </c>
      <c r="B401" s="5" t="n">
        <v>1999.6685</v>
      </c>
      <c r="C401" s="5" t="n">
        <f aca="false">IF(OR(B401="",B400=""),"",LN(B401/B400)*100)</f>
        <v>4.39699124297218</v>
      </c>
      <c r="D401" s="5" t="n">
        <f aca="false">IF(COUNT($C399:$C401)&lt;3,"",STDEV($C399:$C401))</f>
        <v>3.55700610846819</v>
      </c>
      <c r="E401" s="5" t="n">
        <f aca="false">IF(COUNT($C390:$C401)&lt;12,"",STDEV($C390:$C401))</f>
        <v>3.90419888241539</v>
      </c>
    </row>
    <row r="402" customFormat="false" ht="15" hidden="false" customHeight="false" outlineLevel="0" collapsed="false">
      <c r="A402" s="5" t="s">
        <v>423</v>
      </c>
      <c r="B402" s="5" t="n">
        <v>1989.82695652173</v>
      </c>
      <c r="C402" s="5" t="n">
        <f aca="false">IF(OR(B402="",B401=""),"",LN(B402/B401)*100)</f>
        <v>-0.493373838817626</v>
      </c>
      <c r="D402" s="5" t="n">
        <f aca="false">IF(COUNT($C400:$C402)&lt;3,"",STDEV($C400:$C402))</f>
        <v>2.54891851801577</v>
      </c>
      <c r="E402" s="5" t="n">
        <f aca="false">IF(COUNT($C391:$C402)&lt;12,"",STDEV($C391:$C402))</f>
        <v>3.62640397906051</v>
      </c>
    </row>
    <row r="403" customFormat="false" ht="15" hidden="false" customHeight="false" outlineLevel="0" collapsed="false">
      <c r="A403" s="5" t="s">
        <v>424</v>
      </c>
      <c r="B403" s="5" t="n">
        <v>1944.72863636363</v>
      </c>
      <c r="C403" s="5" t="n">
        <f aca="false">IF(OR(B403="",B402=""),"",LN(B403/B402)*100)</f>
        <v>-2.29252296760431</v>
      </c>
      <c r="D403" s="5" t="n">
        <f aca="false">IF(COUNT($C401:$C403)&lt;3,"",STDEV($C401:$C403))</f>
        <v>3.46174832019669</v>
      </c>
      <c r="E403" s="5" t="n">
        <f aca="false">IF(COUNT($C392:$C403)&lt;12,"",STDEV($C392:$C403))</f>
        <v>3.70707722849818</v>
      </c>
    </row>
    <row r="404" customFormat="false" ht="15" hidden="false" customHeight="false" outlineLevel="0" collapsed="false">
      <c r="A404" s="5" t="s">
        <v>425</v>
      </c>
      <c r="B404" s="5" t="n">
        <v>1950.27</v>
      </c>
      <c r="C404" s="5" t="n">
        <f aca="false">IF(OR(B404="",B403=""),"",LN(B404/B403)*100)</f>
        <v>0.284537577152613</v>
      </c>
      <c r="D404" s="5" t="n">
        <f aca="false">IF(COUNT($C402:$C404)&lt;3,"",STDEV($C402:$C404))</f>
        <v>1.32182479991699</v>
      </c>
      <c r="E404" s="5" t="n">
        <f aca="false">IF(COUNT($C393:$C404)&lt;12,"",STDEV($C393:$C404))</f>
        <v>3.18649393864921</v>
      </c>
    </row>
    <row r="405" customFormat="false" ht="15" hidden="false" customHeight="false" outlineLevel="0" collapsed="false">
      <c r="A405" s="5" t="s">
        <v>426</v>
      </c>
      <c r="B405" s="5" t="n">
        <v>1919.30217391304</v>
      </c>
      <c r="C405" s="5" t="n">
        <f aca="false">IF(OR(B405="",B404=""),"",LN(B405/B404)*100)</f>
        <v>-1.60061556408253</v>
      </c>
      <c r="D405" s="5" t="n">
        <f aca="false">IF(COUNT($C403:$C405)&lt;3,"",STDEV($C403:$C405))</f>
        <v>1.33377779710489</v>
      </c>
      <c r="E405" s="5" t="n">
        <f aca="false">IF(COUNT($C394:$C405)&lt;12,"",STDEV($C394:$C405))</f>
        <v>3.26315267294564</v>
      </c>
    </row>
    <row r="406" customFormat="false" ht="15" hidden="false" customHeight="false" outlineLevel="0" collapsed="false">
      <c r="A406" s="5" t="s">
        <v>427</v>
      </c>
      <c r="B406" s="5" t="n">
        <v>1915.43476190476</v>
      </c>
      <c r="C406" s="5" t="n">
        <f aca="false">IF(OR(B406="",B405=""),"",LN(B406/B405)*100)</f>
        <v>-0.201704230783474</v>
      </c>
      <c r="D406" s="5" t="n">
        <f aca="false">IF(COUNT($C404:$C406)&lt;3,"",STDEV($C404:$C406))</f>
        <v>0.978705469836407</v>
      </c>
      <c r="E406" s="5" t="n">
        <f aca="false">IF(COUNT($C395:$C406)&lt;12,"",STDEV($C395:$C406))</f>
        <v>2.81429862970508</v>
      </c>
    </row>
    <row r="407" customFormat="false" ht="15" hidden="false" customHeight="false" outlineLevel="0" collapsed="false">
      <c r="A407" s="5" t="s">
        <v>428</v>
      </c>
      <c r="B407" s="5" t="n">
        <v>1913.98454545454</v>
      </c>
      <c r="C407" s="5" t="n">
        <f aca="false">IF(OR(B407="",B406=""),"",LN(B407/B406)*100)</f>
        <v>-0.0757408057540966</v>
      </c>
      <c r="D407" s="5" t="n">
        <f aca="false">IF(COUNT($C405:$C407)&lt;3,"",STDEV($C405:$C407))</f>
        <v>0.846370952111116</v>
      </c>
      <c r="E407" s="5" t="n">
        <f aca="false">IF(COUNT($C396:$C407)&lt;12,"",STDEV($C396:$C407))</f>
        <v>2.76520052222703</v>
      </c>
    </row>
    <row r="408" customFormat="false" ht="15" hidden="false" customHeight="false" outlineLevel="0" collapsed="false">
      <c r="A408" s="5" t="s">
        <v>429</v>
      </c>
      <c r="B408" s="5" t="n">
        <v>1985.77772727272</v>
      </c>
      <c r="C408" s="5" t="n">
        <f aca="false">IF(OR(B408="",B407=""),"",LN(B408/B407)*100)</f>
        <v>3.6823421034235</v>
      </c>
      <c r="D408" s="5" t="n">
        <f aca="false">IF(COUNT($C406:$C408)&lt;3,"",STDEV($C406:$C408))</f>
        <v>2.20699153687263</v>
      </c>
      <c r="E408" s="5" t="n">
        <f aca="false">IF(COUNT($C397:$C408)&lt;12,"",STDEV($C397:$C408))</f>
        <v>2.77108083373557</v>
      </c>
    </row>
    <row r="409" customFormat="false" ht="15" hidden="false" customHeight="false" outlineLevel="0" collapsed="false">
      <c r="A409" s="5" t="s">
        <v>430</v>
      </c>
      <c r="B409" s="5" t="n">
        <v>2034.70428571428</v>
      </c>
      <c r="C409" s="5" t="n">
        <f aca="false">IF(OR(B409="",B408=""),"",LN(B409/B408)*100)</f>
        <v>2.43398546328813</v>
      </c>
      <c r="D409" s="5" t="n">
        <f aca="false">IF(COUNT($C407:$C409)&lt;3,"",STDEV($C407:$C409))</f>
        <v>1.91399701317877</v>
      </c>
      <c r="E409" s="5" t="n">
        <f aca="false">IF(COUNT($C398:$C409)&lt;12,"",STDEV($C398:$C409))</f>
        <v>2.66539973431381</v>
      </c>
    </row>
    <row r="410" customFormat="false" ht="15" hidden="false" customHeight="false" outlineLevel="0" collapsed="false">
      <c r="A410" s="5" t="s">
        <v>431</v>
      </c>
      <c r="B410" s="5" t="n">
        <v>2034.00608695652</v>
      </c>
      <c r="C410" s="5" t="n">
        <f aca="false">IF(OR(B410="",B409=""),"",LN(B410/B409)*100)</f>
        <v>-0.0343203964235529</v>
      </c>
      <c r="D410" s="5" t="n">
        <f aca="false">IF(COUNT($C408:$C410)&lt;3,"",STDEV($C408:$C410))</f>
        <v>1.89140636634165</v>
      </c>
      <c r="E410" s="5" t="n">
        <f aca="false">IF(COUNT($C399:$C410)&lt;12,"",STDEV($C399:$C410))</f>
        <v>2.30223975275555</v>
      </c>
    </row>
    <row r="411" customFormat="false" ht="15" hidden="false" customHeight="false" outlineLevel="0" collapsed="false">
      <c r="A411" s="5" t="s">
        <v>432</v>
      </c>
      <c r="B411" s="5" t="n">
        <v>2024.44619047619</v>
      </c>
      <c r="C411" s="5" t="n">
        <f aca="false">IF(OR(B411="",B410=""),"",LN(B411/B410)*100)</f>
        <v>-0.471111325614399</v>
      </c>
      <c r="D411" s="5" t="n">
        <f aca="false">IF(COUNT($C409:$C411)&lt;3,"",STDEV($C409:$C411))</f>
        <v>1.56646669747568</v>
      </c>
      <c r="E411" s="5" t="n">
        <f aca="false">IF(COUNT($C400:$C411)&lt;12,"",STDEV($C400:$C411))</f>
        <v>2.1525123435852</v>
      </c>
    </row>
    <row r="412" customFormat="false" ht="15" hidden="false" customHeight="false" outlineLevel="0" collapsed="false">
      <c r="A412" s="5" t="s">
        <v>433</v>
      </c>
      <c r="B412" s="5" t="n">
        <v>2162.34619047619</v>
      </c>
      <c r="C412" s="5" t="n">
        <f aca="false">IF(OR(B412="",B411=""),"",LN(B412/B411)*100)</f>
        <v>6.58976545332425</v>
      </c>
      <c r="D412" s="5" t="n">
        <f aca="false">IF(COUNT($C410:$C412)&lt;3,"",STDEV($C410:$C412))</f>
        <v>3.95654058802231</v>
      </c>
      <c r="E412" s="5" t="n">
        <f aca="false">IF(COUNT($C401:$C412)&lt;12,"",STDEV($C401:$C412))</f>
        <v>2.66651954399004</v>
      </c>
    </row>
    <row r="413" customFormat="false" ht="15" hidden="false" customHeight="false" outlineLevel="0" collapsed="false">
      <c r="A413" s="5" t="s">
        <v>434</v>
      </c>
      <c r="B413" s="5" t="n">
        <v>2333.55045454545</v>
      </c>
      <c r="C413" s="5" t="n">
        <f aca="false">IF(OR(B413="",B412=""),"",LN(B413/B412)*100)</f>
        <v>7.61970765032086</v>
      </c>
      <c r="D413" s="5" t="n">
        <f aca="false">IF(COUNT($C411:$C413)&lt;3,"",STDEV($C411:$C413))</f>
        <v>4.40412900049229</v>
      </c>
      <c r="E413" s="5" t="n">
        <f aca="false">IF(COUNT($C402:$C413)&lt;12,"",STDEV($C402:$C413))</f>
        <v>3.15525337345307</v>
      </c>
    </row>
    <row r="414" customFormat="false" ht="15" hidden="false" customHeight="false" outlineLevel="0" collapsed="false">
      <c r="A414" s="5" t="s">
        <v>435</v>
      </c>
      <c r="B414" s="5" t="n">
        <v>2350.59652173913</v>
      </c>
      <c r="C414" s="5" t="n">
        <f aca="false">IF(OR(B414="",B413=""),"",LN(B414/B413)*100)</f>
        <v>0.727822697612787</v>
      </c>
      <c r="D414" s="5" t="n">
        <f aca="false">IF(COUNT($C412:$C414)&lt;3,"",STDEV($C412:$C414))</f>
        <v>3.71755367595762</v>
      </c>
      <c r="E414" s="5" t="n">
        <f aca="false">IF(COUNT($C403:$C414)&lt;12,"",STDEV($C403:$C414))</f>
        <v>3.11201710110205</v>
      </c>
    </row>
    <row r="415" customFormat="false" ht="15" hidden="false" customHeight="false" outlineLevel="0" collapsed="false">
      <c r="A415" s="5" t="s">
        <v>436</v>
      </c>
      <c r="B415" s="5" t="n">
        <v>2328.2625</v>
      </c>
      <c r="C415" s="5" t="n">
        <f aca="false">IF(OR(B415="",B414=""),"",LN(B415/B414)*100)</f>
        <v>-0.95468537378427</v>
      </c>
      <c r="D415" s="5" t="n">
        <f aca="false">IF(COUNT($C413:$C415)&lt;3,"",STDEV($C413:$C415))</f>
        <v>4.54329409392757</v>
      </c>
      <c r="E415" s="5" t="n">
        <f aca="false">IF(COUNT($C404:$C415)&lt;12,"",STDEV($C404:$C415))</f>
        <v>2.98971812533074</v>
      </c>
    </row>
    <row r="416" customFormat="false" ht="15" hidden="false" customHeight="false" outlineLevel="0" collapsed="false">
      <c r="A416" s="5" t="s">
        <v>437</v>
      </c>
      <c r="B416" s="5" t="n">
        <v>2393.96217391304</v>
      </c>
      <c r="C416" s="5" t="n">
        <f aca="false">IF(OR(B416="",B415=""),"",LN(B416/B415)*100)</f>
        <v>2.78275253959863</v>
      </c>
      <c r="D416" s="5" t="n">
        <f aca="false">IF(COUNT($C414:$C416)&lt;3,"",STDEV($C414:$C416))</f>
        <v>1.87180893888738</v>
      </c>
      <c r="E416" s="5" t="n">
        <f aca="false">IF(COUNT($C405:$C416)&lt;12,"",STDEV($C405:$C416))</f>
        <v>2.98436199175656</v>
      </c>
    </row>
    <row r="417" customFormat="false" ht="15" hidden="false" customHeight="false" outlineLevel="0" collapsed="false">
      <c r="A417" s="5" t="s">
        <v>438</v>
      </c>
      <c r="B417" s="5" t="n">
        <v>2468.32863636363</v>
      </c>
      <c r="C417" s="5" t="n">
        <f aca="false">IF(OR(B417="",B416=""),"",LN(B417/B416)*100)</f>
        <v>3.0591449518211</v>
      </c>
      <c r="D417" s="5" t="n">
        <f aca="false">IF(COUNT($C415:$C417)&lt;3,"",STDEV($C415:$C417))</f>
        <v>2.24186190493064</v>
      </c>
      <c r="E417" s="5" t="n">
        <f aca="false">IF(COUNT($C406:$C417)&lt;12,"",STDEV($C406:$C417))</f>
        <v>2.8129260514119</v>
      </c>
    </row>
    <row r="418" customFormat="false" ht="15" hidden="false" customHeight="false" outlineLevel="0" collapsed="false">
      <c r="A418" s="5" t="s">
        <v>439</v>
      </c>
      <c r="B418" s="5" t="n">
        <v>2569.04904761904</v>
      </c>
      <c r="C418" s="5" t="n">
        <f aca="false">IF(OR(B418="",B417=""),"",LN(B418/B417)*100)</f>
        <v>3.99945538923262</v>
      </c>
      <c r="D418" s="5" t="n">
        <f aca="false">IF(COUNT($C416:$C418)&lt;3,"",STDEV($C416:$C418))</f>
        <v>0.637827341912458</v>
      </c>
      <c r="E418" s="5" t="n">
        <f aca="false">IF(COUNT($C407:$C418)&lt;12,"",STDEV($C407:$C418))</f>
        <v>2.76186360432478</v>
      </c>
    </row>
    <row r="419" customFormat="false" ht="15" hidden="false" customHeight="false" outlineLevel="0" collapsed="false">
      <c r="A419" s="5" t="s">
        <v>440</v>
      </c>
      <c r="B419" s="5" t="n">
        <v>2689.12869565217</v>
      </c>
      <c r="C419" s="5" t="n">
        <f aca="false">IF(OR(B419="",B418=""),"",LN(B419/B418)*100)</f>
        <v>4.56814261321882</v>
      </c>
      <c r="D419" s="5" t="n">
        <f aca="false">IF(COUNT($C417:$C419)&lt;3,"",STDEV($C417:$C419))</f>
        <v>0.762087354959384</v>
      </c>
      <c r="E419" s="5" t="n">
        <f aca="false">IF(COUNT($C408:$C419)&lt;12,"",STDEV($C408:$C419))</f>
        <v>2.70098402283225</v>
      </c>
    </row>
    <row r="420" customFormat="false" ht="15" hidden="false" customHeight="false" outlineLevel="0" collapsed="false">
      <c r="A420" s="5" t="s">
        <v>441</v>
      </c>
      <c r="B420" s="5" t="n">
        <v>2652.19952380952</v>
      </c>
      <c r="C420" s="5" t="n">
        <f aca="false">IF(OR(B420="",B419=""),"",LN(B420/B419)*100)</f>
        <v>-1.38279314673054</v>
      </c>
      <c r="D420" s="5" t="n">
        <f aca="false">IF(COUNT($C418:$C420)&lt;3,"",STDEV($C418:$C420))</f>
        <v>3.2839417595487</v>
      </c>
      <c r="E420" s="5" t="n">
        <f aca="false">IF(COUNT($C409:$C420)&lt;12,"",STDEV($C409:$C420))</f>
        <v>2.94136542213277</v>
      </c>
    </row>
    <row r="421" customFormat="false" ht="15" hidden="false" customHeight="false" outlineLevel="0" collapsed="false">
      <c r="A421" s="5" t="s">
        <v>442</v>
      </c>
      <c r="B421" s="5" t="n">
        <v>2640.60545454545</v>
      </c>
      <c r="C421" s="5" t="n">
        <f aca="false">IF(OR(B421="",B420=""),"",LN(B421/B420)*100)</f>
        <v>-0.438107500881543</v>
      </c>
      <c r="D421" s="5" t="n">
        <f aca="false">IF(COUNT($C419:$C421)&lt;3,"",STDEV($C419:$C421))</f>
        <v>3.19814028234762</v>
      </c>
      <c r="E421" s="5" t="n">
        <f aca="false">IF(COUNT($C410:$C421)&lt;12,"",STDEV($C410:$C421))</f>
        <v>3.05406167103514</v>
      </c>
    </row>
    <row r="422" customFormat="false" ht="15" hidden="false" customHeight="false" outlineLevel="0" collapsed="false">
      <c r="A422" s="5" t="s">
        <v>443</v>
      </c>
      <c r="B422" s="5" t="n">
        <v>2707.46739130434</v>
      </c>
      <c r="C422" s="5" t="n">
        <f aca="false">IF(OR(B422="",B421=""),"",LN(B422/B421)*100)</f>
        <v>2.50054262738362</v>
      </c>
      <c r="D422" s="5" t="n">
        <f aca="false">IF(COUNT($C420:$C422)&lt;3,"",STDEV($C420:$C422))</f>
        <v>2.02519103133263</v>
      </c>
      <c r="E422" s="5" t="n">
        <f aca="false">IF(COUNT($C411:$C422)&lt;12,"",STDEV($C411:$C422))</f>
        <v>2.97419354993852</v>
      </c>
    </row>
    <row r="423" customFormat="false" ht="15" hidden="false" customHeight="false" outlineLevel="0" collapsed="false">
      <c r="A423" s="5" t="s">
        <v>444</v>
      </c>
      <c r="B423" s="5" t="n">
        <v>2894.38</v>
      </c>
      <c r="C423" s="5" t="n">
        <f aca="false">IF(OR(B423="",B422=""),"",LN(B423/B422)*100)</f>
        <v>6.67572697591486</v>
      </c>
      <c r="D423" s="5" t="n">
        <f aca="false">IF(COUNT($C421:$C423)&lt;3,"",STDEV($C421:$C423))</f>
        <v>3.57478367373072</v>
      </c>
      <c r="E423" s="5" t="n">
        <f aca="false">IF(COUNT($C412:$C423)&lt;12,"",STDEV($C412:$C423))</f>
        <v>3.06481037739527</v>
      </c>
    </row>
    <row r="424" customFormat="false" ht="15" hidden="false" customHeight="false" outlineLevel="0" collapsed="false">
      <c r="A424" s="5" t="s">
        <v>445</v>
      </c>
      <c r="B424" s="5" t="n">
        <v>2986.25619047619</v>
      </c>
      <c r="C424" s="5" t="n">
        <f aca="false">IF(OR(B424="",B423=""),"",LN(B424/B423)*100)</f>
        <v>3.12495669089656</v>
      </c>
      <c r="D424" s="5" t="n">
        <f aca="false">IF(COUNT($C422:$C424)&lt;3,"",STDEV($C422:$C424))</f>
        <v>2.25203711055502</v>
      </c>
      <c r="E424" s="5" t="n">
        <f aca="false">IF(COUNT($C413:$C424)&lt;12,"",STDEV($C413:$C424))</f>
        <v>2.84934847074104</v>
      </c>
    </row>
    <row r="425" customFormat="false" ht="15" hidden="false" customHeight="false" outlineLevel="0" collapsed="false">
      <c r="A425" s="5" t="s">
        <v>446</v>
      </c>
      <c r="B425" s="5" t="n">
        <v>3222.01181818181</v>
      </c>
      <c r="C425" s="5" t="n">
        <f aca="false">IF(OR(B425="",B424=""),"",LN(B425/B424)*100)</f>
        <v>7.59854600635988</v>
      </c>
      <c r="D425" s="5" t="n">
        <f aca="false">IF(COUNT($C423:$C425)&lt;3,"",STDEV($C423:$C425))</f>
        <v>2.3619400903829</v>
      </c>
      <c r="E425" s="5" t="n">
        <f aca="false">IF(COUNT($C414:$C425)&lt;12,"",STDEV($C414:$C425))</f>
        <v>2.84602485533569</v>
      </c>
    </row>
    <row r="426" customFormat="false" ht="15" hidden="false" customHeight="false" outlineLevel="0" collapsed="false">
      <c r="A426" s="5" t="s">
        <v>447</v>
      </c>
      <c r="B426" s="5" t="n">
        <v>3288.00954545454</v>
      </c>
      <c r="C426" s="5" t="n">
        <f aca="false">IF(OR(B426="",B425=""),"",LN(B426/B425)*100)</f>
        <v>2.02764275958818</v>
      </c>
      <c r="D426" s="5" t="n">
        <f aca="false">IF(COUNT($C424:$C426)&lt;3,"",STDEV($C424:$C426))</f>
        <v>2.95104676942952</v>
      </c>
      <c r="E426" s="5" t="n">
        <f aca="false">IF(COUNT($C415:$C426)&lt;12,"",STDEV($C415:$C426))</f>
        <v>2.78877982535791</v>
      </c>
    </row>
    <row r="427" customFormat="false" ht="15" hidden="false" customHeight="false" outlineLevel="0" collapsed="false">
      <c r="A427" s="5" t="s">
        <v>448</v>
      </c>
      <c r="B427" s="5" t="n">
        <v>3351.85857142857</v>
      </c>
      <c r="C427" s="5" t="n">
        <f aca="false">IF(OR(B427="",B426=""),"",LN(B427/B426)*100)</f>
        <v>1.92326091266407</v>
      </c>
      <c r="D427" s="5" t="n">
        <f aca="false">IF(COUNT($C425:$C427)&lt;3,"",STDEV($C425:$C427))</f>
        <v>3.24691441858227</v>
      </c>
      <c r="E427" s="5" t="n">
        <f aca="false">IF(COUNT($C416:$C427)&lt;12,"",STDEV($C416:$C427))</f>
        <v>2.55039333233886</v>
      </c>
    </row>
    <row r="428" customFormat="false" ht="15" hidden="false" customHeight="false" outlineLevel="0" collapsed="false">
      <c r="A428" s="5" t="s">
        <v>449</v>
      </c>
      <c r="B428" s="5" t="n">
        <v>3341.64913043478</v>
      </c>
      <c r="C428" s="5" t="n">
        <f aca="false">IF(OR(B428="",B427=""),"",LN(B428/B427)*100)</f>
        <v>-0.305055267457412</v>
      </c>
      <c r="D428" s="5" t="n">
        <f aca="false">IF(COUNT($C426:$C428)&lt;3,"",STDEV($C426:$C428))</f>
        <v>1.31768538568841</v>
      </c>
      <c r="E428" s="5" t="n">
        <f aca="false">IF(COUNT($C417:$C428)&lt;12,"",STDEV($C417:$C428))</f>
        <v>2.72792427021373</v>
      </c>
    </row>
    <row r="429" customFormat="false" ht="15" hidden="false" customHeight="false" outlineLevel="0" collapsed="false">
      <c r="A429" s="5" t="s">
        <v>450</v>
      </c>
      <c r="B429" s="5" t="n">
        <v>3367.25619047619</v>
      </c>
      <c r="C429" s="5" t="n">
        <f aca="false">IF(OR(B429="",B428=""),"",LN(B429/B428)*100)</f>
        <v>0.763378917129707</v>
      </c>
      <c r="D429" s="5" t="n">
        <f aca="false">IF(COUNT($C427:$C429)&lt;3,"",STDEV($C427:$C429))</f>
        <v>1.11447078987819</v>
      </c>
      <c r="E429" s="5" t="n">
        <f aca="false">IF(COUNT($C418:$C429)&lt;12,"",STDEV($C418:$C429))</f>
        <v>2.78638963954445</v>
      </c>
    </row>
    <row r="430" customFormat="false" ht="15" hidden="false" customHeight="false" outlineLevel="0" collapsed="false">
      <c r="A430" s="5" t="s">
        <v>451</v>
      </c>
      <c r="B430" s="5" t="n">
        <v>3666.52363636363</v>
      </c>
      <c r="C430" s="5" t="n">
        <f aca="false">IF(OR(B430="",B429=""),"",LN(B430/B429)*100)</f>
        <v>8.5145749173094</v>
      </c>
      <c r="D430" s="5" t="n">
        <f aca="false">IF(COUNT($C428:$C430)&lt;3,"",STDEV($C428:$C430))</f>
        <v>4.81332296229341</v>
      </c>
      <c r="E430" s="5" t="n">
        <f aca="false">IF(COUNT($C419:$C430)&lt;12,"",STDEV($C419:$C430))</f>
        <v>3.25907254969863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4" activeCellId="0" sqref="F14"/>
    </sheetView>
  </sheetViews>
  <sheetFormatPr defaultColWidth="8.83203125" defaultRowHeight="12.75" zeroHeight="false" outlineLevelRow="0" outlineLevelCol="0"/>
  <sheetData>
    <row r="1" customFormat="false" ht="12.75" hidden="false" customHeight="false" outlineLevel="0" collapsed="false">
      <c r="A1" s="0" t="s">
        <v>452</v>
      </c>
      <c r="C1" s="0" t="s">
        <v>453</v>
      </c>
      <c r="D1" s="0" t="s">
        <v>454</v>
      </c>
      <c r="E1" s="0" t="s">
        <v>455</v>
      </c>
      <c r="F1" s="0" t="s">
        <v>456</v>
      </c>
      <c r="G1" s="0" t="s">
        <v>457</v>
      </c>
      <c r="H1" s="0" t="s">
        <v>458</v>
      </c>
      <c r="I1" s="0" t="s">
        <v>459</v>
      </c>
      <c r="J1" s="0" t="s">
        <v>460</v>
      </c>
      <c r="K1" s="0" t="s">
        <v>461</v>
      </c>
      <c r="L1" s="0" t="s">
        <v>462</v>
      </c>
      <c r="M1" s="0" t="s">
        <v>463</v>
      </c>
      <c r="N1" s="0" t="s">
        <v>464</v>
      </c>
      <c r="O1" s="0" t="s">
        <v>465</v>
      </c>
      <c r="P1" s="0" t="s">
        <v>466</v>
      </c>
    </row>
    <row r="2" customFormat="false" ht="12.75" hidden="false" customHeight="false" outlineLevel="0" collapsed="false">
      <c r="A2" s="0" t="s">
        <v>467</v>
      </c>
      <c r="C2" s="0" t="s">
        <v>468</v>
      </c>
      <c r="D2" s="0" t="s">
        <v>469</v>
      </c>
      <c r="E2" s="0" t="s">
        <v>470</v>
      </c>
      <c r="F2" s="0" t="s">
        <v>471</v>
      </c>
      <c r="G2" s="0" t="s">
        <v>472</v>
      </c>
      <c r="H2" s="0" t="s">
        <v>473</v>
      </c>
      <c r="I2" s="0" t="s">
        <v>474</v>
      </c>
      <c r="J2" s="0" t="s">
        <v>475</v>
      </c>
      <c r="K2" s="0" t="s">
        <v>476</v>
      </c>
      <c r="L2" s="0" t="s">
        <v>477</v>
      </c>
      <c r="M2" s="0" t="s">
        <v>478</v>
      </c>
      <c r="N2" s="0" t="s">
        <v>479</v>
      </c>
      <c r="O2" s="0" t="s">
        <v>480</v>
      </c>
      <c r="P2" s="0" t="s">
        <v>468</v>
      </c>
    </row>
    <row r="3" customFormat="false" ht="12.75" hidden="false" customHeight="false" outlineLevel="0" collapsed="false">
      <c r="A3" s="0" t="s">
        <v>481</v>
      </c>
      <c r="C3" s="0" t="s">
        <v>482</v>
      </c>
      <c r="D3" s="0" t="s">
        <v>482</v>
      </c>
      <c r="E3" s="0" t="s">
        <v>482</v>
      </c>
      <c r="F3" s="0" t="s">
        <v>482</v>
      </c>
      <c r="G3" s="0" t="s">
        <v>483</v>
      </c>
      <c r="H3" s="0" t="s">
        <v>482</v>
      </c>
      <c r="I3" s="0" t="s">
        <v>482</v>
      </c>
      <c r="J3" s="0" t="s">
        <v>482</v>
      </c>
      <c r="K3" s="0" t="s">
        <v>482</v>
      </c>
      <c r="L3" s="0" t="s">
        <v>483</v>
      </c>
      <c r="M3" s="0" t="s">
        <v>483</v>
      </c>
      <c r="N3" s="0" t="s">
        <v>482</v>
      </c>
      <c r="O3" s="0" t="s">
        <v>484</v>
      </c>
      <c r="P3" s="0" t="s">
        <v>483</v>
      </c>
    </row>
    <row r="4" customFormat="false" ht="12.75" hidden="false" customHeight="false" outlineLevel="0" collapsed="false">
      <c r="A4" s="0" t="s">
        <v>485</v>
      </c>
      <c r="C4" s="0" t="s">
        <v>486</v>
      </c>
      <c r="D4" s="0" t="s">
        <v>487</v>
      </c>
      <c r="E4" s="0" t="s">
        <v>488</v>
      </c>
      <c r="F4" s="0" t="s">
        <v>489</v>
      </c>
      <c r="G4" s="0" t="s">
        <v>490</v>
      </c>
      <c r="H4" s="0" t="s">
        <v>491</v>
      </c>
      <c r="I4" s="0" t="s">
        <v>492</v>
      </c>
      <c r="J4" s="0" t="s">
        <v>493</v>
      </c>
      <c r="K4" s="0" t="s">
        <v>494</v>
      </c>
      <c r="L4" s="0" t="s">
        <v>495</v>
      </c>
      <c r="M4" s="0" t="s">
        <v>496</v>
      </c>
      <c r="N4" s="0" t="s">
        <v>497</v>
      </c>
      <c r="O4" s="0" t="s">
        <v>498</v>
      </c>
      <c r="P4" s="0" t="s">
        <v>499</v>
      </c>
    </row>
    <row r="5" customFormat="false" ht="12.75" hidden="false" customHeight="false" outlineLevel="0" collapsed="false">
      <c r="A5" s="0" t="s">
        <v>500</v>
      </c>
      <c r="C5" s="0" t="s">
        <v>501</v>
      </c>
      <c r="D5" s="0" t="s">
        <v>501</v>
      </c>
      <c r="E5" s="0" t="s">
        <v>501</v>
      </c>
      <c r="F5" s="0" t="s">
        <v>501</v>
      </c>
      <c r="G5" s="0" t="s">
        <v>501</v>
      </c>
      <c r="H5" s="0" t="s">
        <v>501</v>
      </c>
      <c r="I5" s="0" t="s">
        <v>501</v>
      </c>
      <c r="J5" s="0" t="s">
        <v>501</v>
      </c>
      <c r="K5" s="0" t="s">
        <v>501</v>
      </c>
      <c r="L5" s="0" t="s">
        <v>501</v>
      </c>
      <c r="M5" s="0" t="s">
        <v>501</v>
      </c>
      <c r="N5" s="0" t="s">
        <v>501</v>
      </c>
      <c r="O5" s="0" t="s">
        <v>501</v>
      </c>
      <c r="P5" s="0" t="s">
        <v>501</v>
      </c>
    </row>
    <row r="6" customFormat="false" ht="12.75" hidden="false" customHeight="false" outlineLevel="0" collapsed="false">
      <c r="A6" s="0" t="s">
        <v>502</v>
      </c>
      <c r="C6" s="0" t="s">
        <v>503</v>
      </c>
      <c r="D6" s="0" t="s">
        <v>504</v>
      </c>
      <c r="E6" s="0" t="s">
        <v>505</v>
      </c>
      <c r="F6" s="0" t="s">
        <v>506</v>
      </c>
      <c r="G6" s="0" t="s">
        <v>507</v>
      </c>
      <c r="H6" s="0" t="s">
        <v>508</v>
      </c>
      <c r="I6" s="0" t="s">
        <v>509</v>
      </c>
      <c r="J6" s="0" t="s">
        <v>510</v>
      </c>
      <c r="K6" s="0" t="s">
        <v>511</v>
      </c>
      <c r="L6" s="0" t="s">
        <v>512</v>
      </c>
      <c r="M6" s="0" t="s">
        <v>513</v>
      </c>
      <c r="N6" s="0" t="s">
        <v>514</v>
      </c>
      <c r="O6" s="0" t="s">
        <v>515</v>
      </c>
      <c r="P6" s="0" t="s">
        <v>516</v>
      </c>
    </row>
    <row r="7" customFormat="false" ht="12.75" hidden="false" customHeight="false" outlineLevel="0" collapsed="false">
      <c r="A7" s="0" t="s">
        <v>517</v>
      </c>
      <c r="C7" s="0" t="s">
        <v>518</v>
      </c>
      <c r="D7" s="0" t="s">
        <v>518</v>
      </c>
      <c r="E7" s="0" t="s">
        <v>518</v>
      </c>
      <c r="F7" s="0" t="s">
        <v>518</v>
      </c>
      <c r="G7" s="0" t="s">
        <v>518</v>
      </c>
      <c r="H7" s="0" t="s">
        <v>518</v>
      </c>
      <c r="I7" s="0" t="s">
        <v>518</v>
      </c>
      <c r="J7" s="0" t="s">
        <v>518</v>
      </c>
      <c r="K7" s="0" t="s">
        <v>518</v>
      </c>
      <c r="L7" s="0" t="s">
        <v>519</v>
      </c>
      <c r="M7" s="0" t="s">
        <v>518</v>
      </c>
      <c r="N7" s="0" t="s">
        <v>518</v>
      </c>
      <c r="O7" s="0" t="s">
        <v>518</v>
      </c>
      <c r="P7" s="0" t="s">
        <v>520</v>
      </c>
    </row>
    <row r="8" customFormat="false" ht="12.75" hidden="false" customHeight="false" outlineLevel="0" collapsed="false">
      <c r="A8" s="0" t="s">
        <v>521</v>
      </c>
      <c r="C8" s="0" t="s">
        <v>522</v>
      </c>
      <c r="D8" s="0" t="s">
        <v>523</v>
      </c>
      <c r="E8" s="0" t="s">
        <v>524</v>
      </c>
      <c r="F8" s="0" t="s">
        <v>525</v>
      </c>
      <c r="G8" s="0" t="s">
        <v>526</v>
      </c>
      <c r="H8" s="0" t="s">
        <v>527</v>
      </c>
      <c r="I8" s="0" t="s">
        <v>528</v>
      </c>
      <c r="J8" s="0" t="s">
        <v>529</v>
      </c>
      <c r="K8" s="0" t="s">
        <v>530</v>
      </c>
      <c r="L8" s="0" t="s">
        <v>531</v>
      </c>
      <c r="M8" s="0" t="s">
        <v>532</v>
      </c>
      <c r="N8" s="0" t="s">
        <v>533</v>
      </c>
      <c r="O8" s="0" t="s">
        <v>534</v>
      </c>
      <c r="P8" s="0" t="s">
        <v>535</v>
      </c>
    </row>
    <row r="9" customFormat="false" ht="12.75" hidden="false" customHeight="false" outlineLevel="0" collapsed="false">
      <c r="A9" s="0" t="s">
        <v>536</v>
      </c>
      <c r="C9" s="0" t="s">
        <v>537</v>
      </c>
      <c r="D9" s="0" t="s">
        <v>538</v>
      </c>
      <c r="E9" s="0" t="s">
        <v>539</v>
      </c>
      <c r="F9" s="0" t="s">
        <v>540</v>
      </c>
      <c r="G9" s="0" t="s">
        <v>541</v>
      </c>
      <c r="H9" s="0" t="s">
        <v>542</v>
      </c>
      <c r="I9" s="0" t="s">
        <v>543</v>
      </c>
      <c r="J9" s="0" t="s">
        <v>544</v>
      </c>
      <c r="K9" s="0" t="s">
        <v>545</v>
      </c>
      <c r="L9" s="0" t="s">
        <v>546</v>
      </c>
      <c r="M9" s="0" t="s">
        <v>547</v>
      </c>
      <c r="N9" s="0" t="s">
        <v>548</v>
      </c>
      <c r="O9" s="0" t="s">
        <v>549</v>
      </c>
      <c r="P9" s="0" t="s">
        <v>550</v>
      </c>
    </row>
    <row r="10" customFormat="false" ht="12.75" hidden="false" customHeight="false" outlineLevel="0" collapsed="false">
      <c r="A10" s="0" t="s">
        <v>551</v>
      </c>
      <c r="B10" s="6" t="n">
        <v>43100</v>
      </c>
      <c r="C10" s="2" t="n">
        <v>2314.1</v>
      </c>
      <c r="D10" s="2" t="n">
        <v>7315.3</v>
      </c>
      <c r="E10" s="4" t="n">
        <v>3039.26</v>
      </c>
      <c r="F10" s="3" t="n">
        <v>30997</v>
      </c>
      <c r="G10" s="4" t="n">
        <v>2176.49</v>
      </c>
      <c r="H10" s="4" t="n">
        <v>2803.26</v>
      </c>
      <c r="I10" s="4" t="n">
        <v>28076.87</v>
      </c>
      <c r="J10" s="4" t="n">
        <v>147973.78</v>
      </c>
      <c r="K10" s="4" t="n">
        <v>4629.67</v>
      </c>
      <c r="L10" s="4" t="n">
        <v>9961.9</v>
      </c>
      <c r="M10" s="4" t="n">
        <v>1015.84</v>
      </c>
      <c r="N10" s="2" t="n">
        <v>4461.7</v>
      </c>
      <c r="O10" s="4" t="n">
        <v>18822.26</v>
      </c>
      <c r="P10" s="3" t="n">
        <v>394358</v>
      </c>
    </row>
    <row r="11" customFormat="false" ht="12.75" hidden="false" customHeight="false" outlineLevel="0" collapsed="false">
      <c r="A11" s="0" t="s">
        <v>552</v>
      </c>
      <c r="B11" s="6" t="n">
        <v>43465</v>
      </c>
      <c r="C11" s="2" t="n">
        <v>2259.3</v>
      </c>
      <c r="D11" s="2" t="n">
        <v>7157.6</v>
      </c>
      <c r="E11" s="4" t="n">
        <v>3288.83</v>
      </c>
      <c r="F11" s="3" t="n">
        <v>30927</v>
      </c>
      <c r="G11" s="4" t="n">
        <v>2155.46</v>
      </c>
      <c r="H11" s="4" t="n">
        <v>2995.18</v>
      </c>
      <c r="I11" s="4" t="n">
        <v>27081.41</v>
      </c>
      <c r="J11" s="4" t="n">
        <v>142512.29</v>
      </c>
      <c r="K11" s="4" t="n">
        <v>4372.76</v>
      </c>
      <c r="L11" s="4" t="n">
        <v>11261.85</v>
      </c>
      <c r="M11" s="4" t="n">
        <v>1202.38</v>
      </c>
      <c r="N11" s="2" t="n">
        <v>5774.6</v>
      </c>
      <c r="O11" s="4" t="n">
        <v>19995.66</v>
      </c>
      <c r="P11" s="3" t="n">
        <v>439752</v>
      </c>
    </row>
    <row r="12" customFormat="false" ht="12.75" hidden="false" customHeight="false" outlineLevel="0" collapsed="false">
      <c r="A12" s="0" t="s">
        <v>553</v>
      </c>
      <c r="B12" s="6" t="n">
        <v>43830</v>
      </c>
      <c r="C12" s="2" t="n">
        <v>2849.7</v>
      </c>
      <c r="D12" s="2" t="n">
        <v>9393.5</v>
      </c>
      <c r="E12" s="4" t="n">
        <v>3505.85</v>
      </c>
      <c r="F12" s="3" t="n">
        <v>28958</v>
      </c>
      <c r="G12" s="4" t="n">
        <v>2424.11</v>
      </c>
      <c r="H12" s="4" t="n">
        <v>3059.63</v>
      </c>
      <c r="I12" s="4" t="n">
        <v>29172.14</v>
      </c>
      <c r="J12" s="4" t="n">
        <v>149855.13</v>
      </c>
      <c r="K12" s="4" t="n">
        <v>4478.45</v>
      </c>
      <c r="L12" s="4" t="n">
        <v>13378.48</v>
      </c>
      <c r="M12" s="4" t="n">
        <v>1529.22</v>
      </c>
      <c r="N12" s="2" t="n">
        <v>5082.4</v>
      </c>
      <c r="O12" s="4" t="n">
        <v>20775.42</v>
      </c>
      <c r="P12" s="3" t="n">
        <v>487644</v>
      </c>
    </row>
    <row r="13" customFormat="false" ht="12.75" hidden="false" customHeight="false" outlineLevel="0" collapsed="false">
      <c r="A13" s="0" t="s">
        <v>554</v>
      </c>
      <c r="B13" s="6" t="n">
        <v>44196</v>
      </c>
      <c r="C13" s="2" t="n">
        <v>2615.5</v>
      </c>
      <c r="D13" s="2" t="n">
        <v>7468.5</v>
      </c>
      <c r="E13" s="4" t="n">
        <v>3910.75</v>
      </c>
      <c r="F13" s="3" t="n">
        <v>35638</v>
      </c>
      <c r="G13" s="4" t="n">
        <v>2808.11</v>
      </c>
      <c r="H13" s="4" t="n">
        <v>3783.54</v>
      </c>
      <c r="I13" s="4" t="n">
        <v>34903.99</v>
      </c>
      <c r="J13" s="4" t="n">
        <v>166121.4</v>
      </c>
      <c r="K13" s="4" t="n">
        <v>5273.58</v>
      </c>
      <c r="L13" s="4" t="n">
        <v>13491.66</v>
      </c>
      <c r="M13" s="4" t="n">
        <v>2135.02</v>
      </c>
      <c r="N13" s="2" t="n">
        <v>4832.4</v>
      </c>
      <c r="O13" s="4" t="n">
        <v>23258.55</v>
      </c>
      <c r="P13" s="3" t="n">
        <v>579719</v>
      </c>
    </row>
    <row r="14" customFormat="false" ht="12.75" hidden="false" customHeight="false" outlineLevel="0" collapsed="false">
      <c r="A14" s="0" t="s">
        <v>555</v>
      </c>
      <c r="B14" s="6" t="n">
        <v>44561</v>
      </c>
      <c r="C14" s="2" t="n">
        <v>3229.9</v>
      </c>
      <c r="D14" s="2" t="n">
        <v>8425</v>
      </c>
      <c r="E14" s="4" t="n">
        <v>4272.55</v>
      </c>
      <c r="F14" s="3" t="n">
        <v>34378</v>
      </c>
      <c r="G14" s="4" t="n">
        <v>2977.56</v>
      </c>
      <c r="H14" s="4" t="n">
        <v>3901.88</v>
      </c>
      <c r="I14" s="4" t="n">
        <v>35139.18</v>
      </c>
      <c r="J14" s="4" t="n">
        <v>173613.03</v>
      </c>
      <c r="K14" s="4" t="n">
        <v>5486.97</v>
      </c>
      <c r="L14" s="4" t="n">
        <v>16454.51</v>
      </c>
      <c r="M14" s="4" t="n">
        <v>1982.13</v>
      </c>
      <c r="N14" s="2" t="n">
        <v>5576.8</v>
      </c>
      <c r="O14" s="4" t="n">
        <v>28311.94</v>
      </c>
      <c r="P14" s="3" t="n">
        <v>674162</v>
      </c>
    </row>
    <row r="15" customFormat="false" ht="12.75" hidden="false" customHeight="false" outlineLevel="0" collapsed="false">
      <c r="A15" s="0" t="s">
        <v>556</v>
      </c>
      <c r="B15" s="6" t="n">
        <v>44926</v>
      </c>
      <c r="C15" s="2" t="n">
        <v>4111.8</v>
      </c>
      <c r="D15" s="2" t="n">
        <v>7929.5</v>
      </c>
      <c r="E15" s="4" t="n">
        <v>4901.53</v>
      </c>
      <c r="F15" s="3" t="n">
        <v>35076</v>
      </c>
      <c r="G15" s="4" t="n">
        <v>2798.09</v>
      </c>
      <c r="H15" s="4" t="n">
        <v>4474.17</v>
      </c>
      <c r="I15" s="4" t="n">
        <v>35767.5</v>
      </c>
      <c r="J15" s="4" t="n">
        <v>139982.33</v>
      </c>
      <c r="K15" s="4" t="n">
        <v>4476.04</v>
      </c>
      <c r="L15" s="4" t="n">
        <v>19415.65</v>
      </c>
      <c r="M15" s="4" t="n">
        <v>2042.13</v>
      </c>
      <c r="N15" s="2" t="n">
        <v>5385.8</v>
      </c>
      <c r="O15" s="4" t="n">
        <v>29733.46</v>
      </c>
      <c r="P15" s="3" t="n">
        <v>733758</v>
      </c>
    </row>
    <row r="16" customFormat="false" ht="12.75" hidden="false" customHeight="false" outlineLevel="0" collapsed="false">
      <c r="A16" s="0" t="s">
        <v>557</v>
      </c>
      <c r="B16" s="6" t="n">
        <v>45291</v>
      </c>
      <c r="C16" s="2" t="n">
        <v>3607.6</v>
      </c>
      <c r="D16" s="2" t="n">
        <v>8127.4</v>
      </c>
      <c r="E16" s="4" t="n">
        <v>5009.6</v>
      </c>
      <c r="F16" s="3" t="n">
        <v>35944</v>
      </c>
      <c r="G16" s="4" t="n">
        <v>3236.48</v>
      </c>
      <c r="H16" s="4" t="n">
        <v>5453.14</v>
      </c>
      <c r="I16" s="4" t="n">
        <v>34564.65</v>
      </c>
      <c r="J16" s="4" t="n">
        <v>148378.86</v>
      </c>
      <c r="K16" s="4" t="n">
        <v>4963.52</v>
      </c>
      <c r="L16" s="4" t="n">
        <v>24909.1</v>
      </c>
      <c r="M16" s="4" t="n">
        <v>1574.6</v>
      </c>
      <c r="N16" s="2" t="n">
        <v>6197.5</v>
      </c>
      <c r="P16" s="3" t="n">
        <v>762651</v>
      </c>
    </row>
    <row r="17" customFormat="false" ht="12.75" hidden="false" customHeight="false" outlineLevel="0" collapsed="false">
      <c r="A17" s="0" t="s">
        <v>558</v>
      </c>
      <c r="B17" s="6" t="n">
        <v>45657</v>
      </c>
      <c r="C17" s="2" t="n">
        <v>3685.3</v>
      </c>
      <c r="D17" s="2" t="n">
        <v>8922.6</v>
      </c>
      <c r="E17" s="4" t="n">
        <v>4448.55</v>
      </c>
      <c r="F17" s="3" t="n">
        <v>45823</v>
      </c>
      <c r="G17" s="4" t="n">
        <v>5088.08</v>
      </c>
      <c r="H17" s="4" t="n">
        <v>5483.57</v>
      </c>
      <c r="I17" s="4" t="n">
        <v>41181.64</v>
      </c>
      <c r="J17" s="4" t="n">
        <v>146285.64</v>
      </c>
      <c r="K17" s="4" t="n">
        <v>5121.67</v>
      </c>
      <c r="L17" s="4" t="n">
        <v>29294.57</v>
      </c>
      <c r="M17" s="4" t="n">
        <v>1742.94</v>
      </c>
      <c r="N17" s="2" t="n">
        <v>7404.1</v>
      </c>
      <c r="P17" s="3" t="n">
        <v>915250</v>
      </c>
    </row>
    <row r="18" customFormat="false" ht="12.75" hidden="false" customHeight="false" outlineLevel="0" collapsed="false">
      <c r="A18" s="0" t="s">
        <v>559</v>
      </c>
      <c r="B18" s="6" t="n">
        <v>46022</v>
      </c>
      <c r="C18" s="2" t="n">
        <v>5086.3</v>
      </c>
      <c r="D18" s="2" t="n">
        <v>14425.9</v>
      </c>
      <c r="E18" s="4" t="n">
        <v>6158.7</v>
      </c>
      <c r="F18" s="3" t="n">
        <v>65727</v>
      </c>
      <c r="H18" s="4" t="n">
        <v>5999.34</v>
      </c>
      <c r="I18" s="4" t="n">
        <v>66311.75</v>
      </c>
      <c r="J18" s="4" t="n">
        <v>175830.49</v>
      </c>
      <c r="K18" s="4" t="n">
        <v>6076.9</v>
      </c>
      <c r="N18" s="2" t="n">
        <v>7082.7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2" activeCellId="0" sqref="E22"/>
    </sheetView>
  </sheetViews>
  <sheetFormatPr defaultColWidth="8.83203125" defaultRowHeight="12.75" zeroHeight="false" outlineLevelRow="0" outlineLevelCol="0"/>
  <sheetData>
    <row r="1" customFormat="false" ht="12.75" hidden="false" customHeight="false" outlineLevel="0" collapsed="false">
      <c r="A1" s="0" t="s">
        <v>452</v>
      </c>
      <c r="C1" s="0" t="s">
        <v>560</v>
      </c>
      <c r="D1" s="0" t="s">
        <v>561</v>
      </c>
      <c r="E1" s="0" t="s">
        <v>562</v>
      </c>
      <c r="F1" s="0" t="s">
        <v>563</v>
      </c>
      <c r="G1" s="0" t="s">
        <v>564</v>
      </c>
      <c r="H1" s="0" t="s">
        <v>565</v>
      </c>
      <c r="I1" s="0" t="s">
        <v>566</v>
      </c>
      <c r="J1" s="0" t="s">
        <v>567</v>
      </c>
      <c r="K1" s="0" t="s">
        <v>568</v>
      </c>
      <c r="L1" s="0" t="s">
        <v>569</v>
      </c>
      <c r="M1" s="0" t="s">
        <v>570</v>
      </c>
      <c r="N1" s="0" t="s">
        <v>571</v>
      </c>
      <c r="O1" s="0" t="s">
        <v>572</v>
      </c>
      <c r="P1" s="0" t="s">
        <v>573</v>
      </c>
      <c r="Q1" s="0" t="s">
        <v>574</v>
      </c>
      <c r="R1" s="0" t="s">
        <v>575</v>
      </c>
    </row>
    <row r="2" customFormat="false" ht="12.75" hidden="false" customHeight="false" outlineLevel="0" collapsed="false">
      <c r="A2" s="0" t="s">
        <v>467</v>
      </c>
      <c r="C2" s="0" t="s">
        <v>468</v>
      </c>
      <c r="D2" s="0" t="s">
        <v>469</v>
      </c>
      <c r="E2" s="0" t="s">
        <v>576</v>
      </c>
      <c r="F2" s="0" t="s">
        <v>470</v>
      </c>
      <c r="G2" s="0" t="s">
        <v>471</v>
      </c>
      <c r="H2" s="0" t="s">
        <v>577</v>
      </c>
      <c r="I2" s="0" t="s">
        <v>578</v>
      </c>
      <c r="J2" s="0" t="s">
        <v>473</v>
      </c>
      <c r="K2" s="0" t="s">
        <v>479</v>
      </c>
      <c r="L2" s="0" t="s">
        <v>468</v>
      </c>
      <c r="M2" s="0" t="s">
        <v>474</v>
      </c>
      <c r="N2" s="0" t="s">
        <v>475</v>
      </c>
      <c r="O2" s="0" t="s">
        <v>476</v>
      </c>
      <c r="P2" s="0" t="s">
        <v>579</v>
      </c>
      <c r="Q2" s="0" t="s">
        <v>580</v>
      </c>
      <c r="R2" s="0" t="s">
        <v>468</v>
      </c>
    </row>
    <row r="3" customFormat="false" ht="12.75" hidden="false" customHeight="false" outlineLevel="0" collapsed="false">
      <c r="A3" s="0" t="s">
        <v>481</v>
      </c>
      <c r="C3" s="0" t="s">
        <v>483</v>
      </c>
      <c r="D3" s="0" t="s">
        <v>482</v>
      </c>
      <c r="E3" s="0" t="s">
        <v>483</v>
      </c>
      <c r="F3" s="0" t="s">
        <v>482</v>
      </c>
      <c r="G3" s="0" t="s">
        <v>483</v>
      </c>
      <c r="H3" s="0" t="s">
        <v>483</v>
      </c>
      <c r="I3" s="0" t="s">
        <v>483</v>
      </c>
      <c r="J3" s="0" t="s">
        <v>482</v>
      </c>
      <c r="K3" s="0" t="s">
        <v>483</v>
      </c>
      <c r="L3" s="0" t="s">
        <v>482</v>
      </c>
      <c r="M3" s="0" t="s">
        <v>482</v>
      </c>
      <c r="N3" s="0" t="s">
        <v>482</v>
      </c>
      <c r="O3" s="0" t="s">
        <v>482</v>
      </c>
      <c r="P3" s="0" t="s">
        <v>483</v>
      </c>
      <c r="Q3" s="0" t="s">
        <v>482</v>
      </c>
      <c r="R3" s="0" t="s">
        <v>483</v>
      </c>
    </row>
    <row r="4" customFormat="false" ht="12.75" hidden="false" customHeight="false" outlineLevel="0" collapsed="false">
      <c r="A4" s="0" t="s">
        <v>485</v>
      </c>
      <c r="C4" s="0" t="s">
        <v>486</v>
      </c>
      <c r="D4" s="0" t="s">
        <v>487</v>
      </c>
      <c r="E4" s="0" t="s">
        <v>581</v>
      </c>
      <c r="F4" s="0" t="s">
        <v>488</v>
      </c>
      <c r="G4" s="0" t="s">
        <v>489</v>
      </c>
      <c r="H4" s="0" t="s">
        <v>490</v>
      </c>
      <c r="I4" s="0" t="s">
        <v>582</v>
      </c>
      <c r="J4" s="0" t="s">
        <v>491</v>
      </c>
      <c r="K4" s="0" t="s">
        <v>583</v>
      </c>
      <c r="L4" s="0" t="s">
        <v>584</v>
      </c>
      <c r="M4" s="0" t="s">
        <v>492</v>
      </c>
      <c r="N4" s="0" t="s">
        <v>493</v>
      </c>
      <c r="O4" s="0" t="s">
        <v>494</v>
      </c>
      <c r="P4" s="0" t="s">
        <v>495</v>
      </c>
      <c r="Q4" s="0" t="s">
        <v>497</v>
      </c>
      <c r="R4" s="0" t="s">
        <v>499</v>
      </c>
    </row>
    <row r="5" customFormat="false" ht="12.75" hidden="false" customHeight="false" outlineLevel="0" collapsed="false">
      <c r="A5" s="0" t="s">
        <v>500</v>
      </c>
      <c r="C5" s="0" t="s">
        <v>501</v>
      </c>
      <c r="D5" s="0" t="s">
        <v>501</v>
      </c>
      <c r="E5" s="0" t="s">
        <v>501</v>
      </c>
      <c r="F5" s="0" t="s">
        <v>501</v>
      </c>
      <c r="G5" s="0" t="s">
        <v>501</v>
      </c>
      <c r="H5" s="0" t="s">
        <v>501</v>
      </c>
      <c r="I5" s="0" t="s">
        <v>501</v>
      </c>
      <c r="J5" s="0" t="s">
        <v>501</v>
      </c>
      <c r="K5" s="0" t="s">
        <v>501</v>
      </c>
      <c r="L5" s="0" t="s">
        <v>501</v>
      </c>
      <c r="M5" s="0" t="s">
        <v>501</v>
      </c>
      <c r="N5" s="0" t="s">
        <v>501</v>
      </c>
      <c r="O5" s="0" t="s">
        <v>501</v>
      </c>
      <c r="P5" s="0" t="s">
        <v>501</v>
      </c>
      <c r="Q5" s="0" t="s">
        <v>501</v>
      </c>
      <c r="R5" s="0" t="s">
        <v>501</v>
      </c>
    </row>
    <row r="6" customFormat="false" ht="12.75" hidden="false" customHeight="false" outlineLevel="0" collapsed="false">
      <c r="A6" s="0" t="s">
        <v>502</v>
      </c>
      <c r="C6" s="0" t="s">
        <v>585</v>
      </c>
      <c r="D6" s="0" t="s">
        <v>504</v>
      </c>
      <c r="E6" s="0" t="s">
        <v>586</v>
      </c>
      <c r="F6" s="0" t="s">
        <v>505</v>
      </c>
      <c r="G6" s="0" t="s">
        <v>587</v>
      </c>
      <c r="H6" s="0" t="s">
        <v>588</v>
      </c>
      <c r="I6" s="0" t="s">
        <v>589</v>
      </c>
      <c r="J6" s="0" t="s">
        <v>508</v>
      </c>
      <c r="K6" s="0" t="s">
        <v>590</v>
      </c>
      <c r="L6" s="0" t="s">
        <v>591</v>
      </c>
      <c r="M6" s="0" t="s">
        <v>509</v>
      </c>
      <c r="N6" s="0" t="s">
        <v>510</v>
      </c>
      <c r="O6" s="0" t="s">
        <v>511</v>
      </c>
      <c r="P6" s="0" t="s">
        <v>512</v>
      </c>
      <c r="Q6" s="0" t="s">
        <v>514</v>
      </c>
      <c r="R6" s="0" t="s">
        <v>516</v>
      </c>
    </row>
    <row r="7" customFormat="false" ht="12.75" hidden="false" customHeight="false" outlineLevel="0" collapsed="false">
      <c r="A7" s="0" t="s">
        <v>517</v>
      </c>
      <c r="C7" s="0" t="s">
        <v>518</v>
      </c>
      <c r="D7" s="0" t="s">
        <v>518</v>
      </c>
      <c r="E7" s="0" t="s">
        <v>518</v>
      </c>
      <c r="F7" s="0" t="s">
        <v>518</v>
      </c>
      <c r="G7" s="0" t="s">
        <v>518</v>
      </c>
      <c r="H7" s="0" t="s">
        <v>518</v>
      </c>
      <c r="I7" s="0" t="s">
        <v>518</v>
      </c>
      <c r="J7" s="0" t="s">
        <v>518</v>
      </c>
      <c r="K7" s="0" t="s">
        <v>518</v>
      </c>
      <c r="L7" s="0" t="s">
        <v>518</v>
      </c>
      <c r="M7" s="0" t="s">
        <v>518</v>
      </c>
      <c r="N7" s="0" t="s">
        <v>518</v>
      </c>
      <c r="O7" s="0" t="s">
        <v>518</v>
      </c>
      <c r="P7" s="0" t="s">
        <v>519</v>
      </c>
      <c r="Q7" s="0" t="s">
        <v>518</v>
      </c>
      <c r="R7" s="0" t="s">
        <v>520</v>
      </c>
    </row>
    <row r="8" customFormat="false" ht="12.75" hidden="false" customHeight="false" outlineLevel="0" collapsed="false">
      <c r="A8" s="0" t="s">
        <v>521</v>
      </c>
      <c r="C8" s="0" t="s">
        <v>522</v>
      </c>
      <c r="D8" s="0" t="s">
        <v>523</v>
      </c>
      <c r="E8" s="0" t="s">
        <v>592</v>
      </c>
      <c r="F8" s="0" t="s">
        <v>524</v>
      </c>
      <c r="G8" s="0" t="s">
        <v>525</v>
      </c>
      <c r="H8" s="0" t="s">
        <v>593</v>
      </c>
      <c r="I8" s="0" t="s">
        <v>594</v>
      </c>
      <c r="J8" s="0" t="s">
        <v>527</v>
      </c>
      <c r="K8" s="0" t="s">
        <v>595</v>
      </c>
      <c r="L8" s="0" t="s">
        <v>596</v>
      </c>
      <c r="M8" s="0" t="s">
        <v>528</v>
      </c>
      <c r="N8" s="0" t="s">
        <v>529</v>
      </c>
      <c r="O8" s="0" t="s">
        <v>530</v>
      </c>
      <c r="P8" s="0" t="s">
        <v>531</v>
      </c>
      <c r="Q8" s="0" t="s">
        <v>533</v>
      </c>
      <c r="R8" s="0" t="s">
        <v>535</v>
      </c>
    </row>
    <row r="9" customFormat="false" ht="12.75" hidden="false" customHeight="false" outlineLevel="0" collapsed="false">
      <c r="A9" s="0" t="s">
        <v>536</v>
      </c>
      <c r="C9" s="0" t="s">
        <v>537</v>
      </c>
      <c r="D9" s="0" t="s">
        <v>538</v>
      </c>
      <c r="E9" s="0" t="s">
        <v>597</v>
      </c>
      <c r="F9" s="0" t="s">
        <v>539</v>
      </c>
      <c r="G9" s="0" t="s">
        <v>540</v>
      </c>
      <c r="H9" s="0" t="s">
        <v>541</v>
      </c>
      <c r="I9" s="0" t="s">
        <v>598</v>
      </c>
      <c r="J9" s="0" t="s">
        <v>542</v>
      </c>
      <c r="K9" s="0" t="s">
        <v>599</v>
      </c>
      <c r="L9" s="0" t="s">
        <v>600</v>
      </c>
      <c r="M9" s="0" t="s">
        <v>543</v>
      </c>
      <c r="N9" s="0" t="s">
        <v>544</v>
      </c>
      <c r="O9" s="0" t="s">
        <v>545</v>
      </c>
      <c r="P9" s="0" t="s">
        <v>546</v>
      </c>
      <c r="Q9" s="0" t="s">
        <v>548</v>
      </c>
      <c r="R9" s="0" t="s">
        <v>550</v>
      </c>
    </row>
    <row r="10" customFormat="false" ht="12.75" hidden="false" customHeight="false" outlineLevel="0" collapsed="false">
      <c r="A10" s="0" t="s">
        <v>551</v>
      </c>
      <c r="B10" s="6" t="n">
        <v>43100</v>
      </c>
      <c r="C10" s="2" t="n">
        <v>0</v>
      </c>
      <c r="D10" s="2" t="n">
        <v>1939.9</v>
      </c>
      <c r="E10" s="4" t="n">
        <v>65.8</v>
      </c>
      <c r="F10" s="3" t="n">
        <v>0</v>
      </c>
      <c r="G10" s="3" t="n">
        <v>12498</v>
      </c>
      <c r="H10" s="4" t="n">
        <v>289.61</v>
      </c>
      <c r="I10" s="4" t="n">
        <v>1689.71</v>
      </c>
      <c r="J10" s="4" t="n">
        <v>3.08</v>
      </c>
      <c r="K10" s="2" t="n">
        <v>76647</v>
      </c>
      <c r="L10" s="4" t="n">
        <v>1060.65</v>
      </c>
      <c r="M10" s="4" t="n">
        <v>14034.06</v>
      </c>
      <c r="N10" s="4" t="n">
        <v>393.44</v>
      </c>
      <c r="O10" s="4" t="n">
        <v>277.54</v>
      </c>
      <c r="P10" s="4" t="n">
        <v>675.1</v>
      </c>
      <c r="Q10" s="2" t="n">
        <v>243.4</v>
      </c>
      <c r="R10" s="3" t="n">
        <v>14942</v>
      </c>
    </row>
    <row r="11" customFormat="false" ht="12.75" hidden="false" customHeight="false" outlineLevel="0" collapsed="false">
      <c r="A11" s="0" t="s">
        <v>552</v>
      </c>
      <c r="B11" s="6" t="n">
        <v>43465</v>
      </c>
      <c r="C11" s="2" t="n">
        <v>0</v>
      </c>
      <c r="D11" s="2" t="n">
        <v>1934.7</v>
      </c>
      <c r="E11" s="4" t="n">
        <v>64.87</v>
      </c>
      <c r="F11" s="3" t="n">
        <v>0</v>
      </c>
      <c r="G11" s="3" t="n">
        <v>14391</v>
      </c>
      <c r="H11" s="4" t="n">
        <v>460.3</v>
      </c>
      <c r="I11" s="4" t="n">
        <v>1668.23</v>
      </c>
      <c r="J11" s="4" t="n">
        <v>3.01</v>
      </c>
      <c r="K11" s="2" t="n">
        <v>86902.8</v>
      </c>
      <c r="L11" s="4" t="n">
        <v>1002.22</v>
      </c>
      <c r="M11" s="4" t="n">
        <v>14640.75</v>
      </c>
      <c r="N11" s="4" t="n">
        <v>361.31</v>
      </c>
      <c r="O11" s="4" t="n">
        <v>274.02</v>
      </c>
      <c r="P11" s="4" t="n">
        <v>736.16</v>
      </c>
      <c r="Q11" s="2" t="n">
        <v>240.3</v>
      </c>
      <c r="R11" s="3" t="n">
        <v>19928</v>
      </c>
    </row>
    <row r="12" customFormat="false" ht="12.75" hidden="false" customHeight="false" outlineLevel="0" collapsed="false">
      <c r="A12" s="0" t="s">
        <v>553</v>
      </c>
      <c r="B12" s="6" t="n">
        <v>43830</v>
      </c>
      <c r="C12" s="2" t="n">
        <v>0</v>
      </c>
      <c r="D12" s="2" t="n">
        <v>2387.2</v>
      </c>
      <c r="E12" s="4" t="n">
        <v>133.56</v>
      </c>
      <c r="F12" s="3" t="n">
        <v>0</v>
      </c>
      <c r="G12" s="3" t="n">
        <v>18875</v>
      </c>
      <c r="H12" s="4" t="n">
        <v>701.19</v>
      </c>
      <c r="I12" s="4" t="n">
        <v>1984.51</v>
      </c>
      <c r="J12" s="4" t="n">
        <v>3.6</v>
      </c>
      <c r="K12" s="2" t="n">
        <v>110376</v>
      </c>
      <c r="L12" s="4" t="n">
        <v>1218.79</v>
      </c>
      <c r="M12" s="4" t="n">
        <v>16329.21</v>
      </c>
      <c r="N12" s="4" t="n">
        <v>390.82</v>
      </c>
      <c r="O12" s="4" t="n">
        <v>324.46</v>
      </c>
      <c r="P12" s="4" t="n">
        <v>1336.76</v>
      </c>
      <c r="Q12" s="2" t="n">
        <v>284.6</v>
      </c>
      <c r="R12" s="3" t="n">
        <v>42519</v>
      </c>
    </row>
    <row r="13" customFormat="false" ht="12.75" hidden="false" customHeight="false" outlineLevel="0" collapsed="false">
      <c r="A13" s="0" t="s">
        <v>554</v>
      </c>
      <c r="B13" s="6" t="n">
        <v>44196</v>
      </c>
      <c r="C13" s="2" t="n">
        <v>0</v>
      </c>
      <c r="D13" s="2" t="n">
        <v>3041.5</v>
      </c>
      <c r="E13" s="4" t="n">
        <v>167.09</v>
      </c>
      <c r="F13" s="3" t="n">
        <v>0</v>
      </c>
      <c r="G13" s="3" t="n">
        <v>23582</v>
      </c>
      <c r="H13" s="4" t="n">
        <v>1017.91</v>
      </c>
      <c r="I13" s="4" t="n">
        <v>2472.06</v>
      </c>
      <c r="J13" s="4" t="n">
        <v>4.47</v>
      </c>
      <c r="K13" s="2" t="n">
        <v>138754.4</v>
      </c>
      <c r="L13" s="4" t="n">
        <v>1583.87</v>
      </c>
      <c r="M13" s="4" t="n">
        <v>20216.74</v>
      </c>
      <c r="N13" s="4" t="n">
        <v>572.64</v>
      </c>
      <c r="O13" s="4" t="n">
        <v>403.59</v>
      </c>
      <c r="P13" s="4" t="n">
        <v>1760.15</v>
      </c>
      <c r="Q13" s="2" t="n">
        <v>353.4</v>
      </c>
      <c r="R13" s="3" t="n">
        <v>52253</v>
      </c>
    </row>
    <row r="14" customFormat="false" ht="12.75" hidden="false" customHeight="false" outlineLevel="0" collapsed="false">
      <c r="A14" s="0" t="s">
        <v>555</v>
      </c>
      <c r="B14" s="6" t="n">
        <v>44561</v>
      </c>
      <c r="C14" s="2" t="n">
        <v>0</v>
      </c>
      <c r="D14" s="2" t="n">
        <v>3123</v>
      </c>
      <c r="E14" s="4" t="n">
        <v>160.66</v>
      </c>
      <c r="F14" s="3" t="n">
        <v>0</v>
      </c>
      <c r="G14" s="3" t="n">
        <v>23546</v>
      </c>
      <c r="H14" s="4" t="n">
        <v>591.79</v>
      </c>
      <c r="I14" s="4" t="n">
        <v>2386.53</v>
      </c>
      <c r="J14" s="4" t="n">
        <v>4.28</v>
      </c>
      <c r="K14" s="2" t="n">
        <v>133069.8</v>
      </c>
      <c r="L14" s="4" t="n">
        <v>1557.76</v>
      </c>
      <c r="M14" s="4" t="n">
        <v>20949.71</v>
      </c>
      <c r="N14" s="4" t="n">
        <v>614.21</v>
      </c>
      <c r="O14" s="4" t="n">
        <v>389.34</v>
      </c>
      <c r="P14" s="4" t="n">
        <v>1931.4</v>
      </c>
      <c r="Q14" s="2" t="n">
        <v>341.4</v>
      </c>
      <c r="R14" s="3" t="n">
        <v>54844</v>
      </c>
    </row>
    <row r="15" customFormat="false" ht="12.75" hidden="false" customHeight="false" outlineLevel="0" collapsed="false">
      <c r="A15" s="0" t="s">
        <v>556</v>
      </c>
      <c r="B15" s="6" t="n">
        <v>44926</v>
      </c>
      <c r="C15" s="2" t="n">
        <v>0</v>
      </c>
      <c r="D15" s="2" t="n">
        <v>3141.4</v>
      </c>
      <c r="E15" s="4" t="n">
        <v>176.12</v>
      </c>
      <c r="F15" s="3" t="n">
        <v>0</v>
      </c>
      <c r="G15" s="3" t="n">
        <v>20491</v>
      </c>
      <c r="H15" s="4" t="n">
        <v>955.11</v>
      </c>
      <c r="I15" s="4" t="n">
        <v>2386.82</v>
      </c>
      <c r="J15" s="4" t="n">
        <v>4.3</v>
      </c>
      <c r="K15" s="2" t="n">
        <v>136077</v>
      </c>
      <c r="L15" s="4" t="n">
        <v>1565.27</v>
      </c>
      <c r="M15" s="4" t="n">
        <v>23064.77</v>
      </c>
      <c r="N15" s="4" t="n">
        <v>697.96</v>
      </c>
      <c r="O15" s="4" t="n">
        <v>390.48</v>
      </c>
      <c r="P15" s="4" t="n">
        <v>2104.6</v>
      </c>
      <c r="Q15" s="2" t="n">
        <v>342.1</v>
      </c>
      <c r="R15" s="3" t="n">
        <v>58650</v>
      </c>
    </row>
    <row r="16" customFormat="false" ht="12.75" hidden="false" customHeight="false" outlineLevel="0" collapsed="false">
      <c r="A16" s="0" t="s">
        <v>557</v>
      </c>
      <c r="B16" s="6" t="n">
        <v>45291</v>
      </c>
      <c r="C16" s="2" t="n">
        <v>0</v>
      </c>
      <c r="D16" s="2" t="n">
        <v>3582.2</v>
      </c>
      <c r="E16" s="4" t="n">
        <v>223.92</v>
      </c>
      <c r="F16" s="3" t="n">
        <v>0</v>
      </c>
      <c r="G16" s="3" t="n">
        <v>19510</v>
      </c>
      <c r="H16" s="4" t="n">
        <v>1430.24</v>
      </c>
      <c r="I16" s="4" t="n">
        <v>2711.06</v>
      </c>
      <c r="J16" s="4" t="n">
        <v>4.91</v>
      </c>
      <c r="K16" s="2" t="n">
        <v>155857.7</v>
      </c>
      <c r="L16" s="4" t="n">
        <v>1798.62</v>
      </c>
      <c r="M16" s="4" t="n">
        <v>24632.16</v>
      </c>
      <c r="N16" s="4" t="n">
        <v>2033.88</v>
      </c>
      <c r="O16" s="4" t="n">
        <v>441.37</v>
      </c>
      <c r="P16" s="4" t="n">
        <v>2393.24</v>
      </c>
      <c r="Q16" s="2" t="n">
        <v>387.3</v>
      </c>
      <c r="R16" s="3" t="n">
        <v>93591</v>
      </c>
    </row>
    <row r="17" customFormat="false" ht="12.75" hidden="false" customHeight="false" outlineLevel="0" collapsed="false">
      <c r="A17" s="0" t="s">
        <v>558</v>
      </c>
      <c r="B17" s="6" t="n">
        <v>45657</v>
      </c>
      <c r="C17" s="2" t="n">
        <v>0</v>
      </c>
      <c r="D17" s="2" t="n">
        <v>4522.9</v>
      </c>
      <c r="E17" s="4" t="n">
        <v>286</v>
      </c>
      <c r="F17" s="3" t="n">
        <v>599</v>
      </c>
      <c r="G17" s="3" t="n">
        <v>23844</v>
      </c>
      <c r="H17" s="4" t="n">
        <v>3198.41</v>
      </c>
      <c r="I17" s="4" t="n">
        <v>3411.66</v>
      </c>
      <c r="J17" s="4" t="n">
        <v>6.26</v>
      </c>
      <c r="K17" s="2" t="n">
        <v>195707.3</v>
      </c>
      <c r="L17" s="4" t="n">
        <v>2310.81</v>
      </c>
      <c r="M17" s="4" t="n">
        <v>32036.68</v>
      </c>
      <c r="N17" s="4" t="n">
        <v>4297.24</v>
      </c>
      <c r="O17" s="4" t="n">
        <v>555.85</v>
      </c>
      <c r="P17" s="4" t="n">
        <v>3883.65</v>
      </c>
      <c r="Q17" s="2" t="n">
        <v>487.1</v>
      </c>
      <c r="R17" s="3" t="n">
        <v>154308</v>
      </c>
    </row>
    <row r="18" customFormat="false" ht="12.75" hidden="false" customHeight="false" outlineLevel="0" collapsed="false">
      <c r="A18" s="0" t="s">
        <v>559</v>
      </c>
      <c r="B18" s="6" t="n">
        <v>46022</v>
      </c>
      <c r="D18" s="2" t="n">
        <v>7471</v>
      </c>
      <c r="F18" s="3" t="n">
        <v>1002</v>
      </c>
      <c r="J18" s="4" t="n">
        <v>10.71</v>
      </c>
      <c r="L18" s="4" t="n">
        <v>3877.64</v>
      </c>
      <c r="M18" s="4" t="n">
        <v>55092.42</v>
      </c>
      <c r="N18" s="4" t="n">
        <v>10121.89</v>
      </c>
      <c r="O18" s="4" t="n">
        <v>921.28</v>
      </c>
      <c r="Q18" s="2" t="n">
        <v>807.1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4" activeCellId="0" sqref="F24"/>
    </sheetView>
  </sheetViews>
  <sheetFormatPr defaultColWidth="8.83203125" defaultRowHeight="12.75" zeroHeight="false" outlineLevelRow="0" outlineLevelCol="0"/>
  <sheetData>
    <row r="1" customFormat="false" ht="12.75" hidden="false" customHeight="false" outlineLevel="0" collapsed="false">
      <c r="A1" s="0" t="s">
        <v>452</v>
      </c>
      <c r="C1" s="0" t="s">
        <v>601</v>
      </c>
      <c r="D1" s="0" t="s">
        <v>602</v>
      </c>
      <c r="E1" s="0" t="s">
        <v>603</v>
      </c>
      <c r="F1" s="0" t="s">
        <v>604</v>
      </c>
      <c r="G1" s="0" t="s">
        <v>605</v>
      </c>
      <c r="H1" s="0" t="s">
        <v>606</v>
      </c>
      <c r="I1" s="0" t="s">
        <v>607</v>
      </c>
      <c r="J1" s="0" t="s">
        <v>608</v>
      </c>
      <c r="K1" s="0" t="s">
        <v>609</v>
      </c>
      <c r="L1" s="0" t="s">
        <v>610</v>
      </c>
    </row>
    <row r="2" customFormat="false" ht="12.75" hidden="false" customHeight="false" outlineLevel="0" collapsed="false">
      <c r="A2" s="0" t="s">
        <v>467</v>
      </c>
      <c r="C2" s="0" t="s">
        <v>611</v>
      </c>
      <c r="D2" s="0" t="s">
        <v>577</v>
      </c>
      <c r="E2" s="0" t="s">
        <v>612</v>
      </c>
      <c r="F2" s="0" t="s">
        <v>474</v>
      </c>
      <c r="G2" s="0" t="s">
        <v>613</v>
      </c>
      <c r="H2" s="0" t="s">
        <v>577</v>
      </c>
      <c r="I2" s="0" t="s">
        <v>614</v>
      </c>
      <c r="J2" s="0" t="s">
        <v>579</v>
      </c>
      <c r="K2" s="0" t="s">
        <v>468</v>
      </c>
      <c r="L2" s="0" t="s">
        <v>615</v>
      </c>
    </row>
    <row r="3" customFormat="false" ht="12.75" hidden="false" customHeight="false" outlineLevel="0" collapsed="false">
      <c r="A3" s="0" t="s">
        <v>481</v>
      </c>
      <c r="C3" s="0" t="s">
        <v>483</v>
      </c>
      <c r="D3" s="0" t="s">
        <v>483</v>
      </c>
      <c r="E3" s="0" t="s">
        <v>483</v>
      </c>
      <c r="F3" s="0" t="s">
        <v>482</v>
      </c>
      <c r="G3" s="0" t="s">
        <v>482</v>
      </c>
      <c r="H3" s="0" t="s">
        <v>482</v>
      </c>
      <c r="I3" s="0" t="s">
        <v>482</v>
      </c>
      <c r="J3" s="0" t="s">
        <v>483</v>
      </c>
      <c r="K3" s="0" t="s">
        <v>483</v>
      </c>
      <c r="L3" s="0" t="s">
        <v>483</v>
      </c>
    </row>
    <row r="4" customFormat="false" ht="12.75" hidden="false" customHeight="false" outlineLevel="0" collapsed="false">
      <c r="A4" s="0" t="s">
        <v>485</v>
      </c>
      <c r="C4" s="0" t="s">
        <v>581</v>
      </c>
      <c r="D4" s="0" t="s">
        <v>490</v>
      </c>
      <c r="E4" s="0" t="s">
        <v>583</v>
      </c>
      <c r="F4" s="0" t="s">
        <v>492</v>
      </c>
      <c r="G4" s="0" t="s">
        <v>493</v>
      </c>
      <c r="H4" s="0" t="s">
        <v>616</v>
      </c>
      <c r="I4" s="0" t="s">
        <v>494</v>
      </c>
      <c r="J4" s="0" t="s">
        <v>495</v>
      </c>
      <c r="K4" s="0" t="s">
        <v>499</v>
      </c>
      <c r="L4" s="0" t="s">
        <v>617</v>
      </c>
    </row>
    <row r="5" customFormat="false" ht="12.75" hidden="false" customHeight="false" outlineLevel="0" collapsed="false">
      <c r="A5" s="0" t="s">
        <v>500</v>
      </c>
      <c r="C5" s="0" t="s">
        <v>501</v>
      </c>
      <c r="D5" s="0" t="s">
        <v>501</v>
      </c>
      <c r="E5" s="0" t="s">
        <v>501</v>
      </c>
      <c r="F5" s="0" t="s">
        <v>501</v>
      </c>
      <c r="G5" s="0" t="s">
        <v>501</v>
      </c>
      <c r="H5" s="0" t="s">
        <v>501</v>
      </c>
      <c r="I5" s="0" t="s">
        <v>501</v>
      </c>
      <c r="J5" s="0" t="s">
        <v>501</v>
      </c>
      <c r="K5" s="0" t="s">
        <v>501</v>
      </c>
      <c r="L5" s="0" t="s">
        <v>501</v>
      </c>
    </row>
    <row r="6" customFormat="false" ht="12.75" hidden="false" customHeight="false" outlineLevel="0" collapsed="false">
      <c r="A6" s="0" t="s">
        <v>502</v>
      </c>
      <c r="C6" s="0" t="s">
        <v>586</v>
      </c>
      <c r="D6" s="0" t="s">
        <v>618</v>
      </c>
      <c r="E6" s="0" t="s">
        <v>590</v>
      </c>
      <c r="F6" s="0" t="s">
        <v>509</v>
      </c>
      <c r="G6" s="0" t="s">
        <v>510</v>
      </c>
      <c r="H6" s="0" t="s">
        <v>619</v>
      </c>
      <c r="I6" s="0" t="s">
        <v>620</v>
      </c>
      <c r="J6" s="0" t="s">
        <v>512</v>
      </c>
      <c r="K6" s="0" t="s">
        <v>516</v>
      </c>
      <c r="L6" s="0" t="s">
        <v>621</v>
      </c>
    </row>
    <row r="7" customFormat="false" ht="12.75" hidden="false" customHeight="false" outlineLevel="0" collapsed="false">
      <c r="A7" s="0" t="s">
        <v>517</v>
      </c>
      <c r="C7" s="0" t="s">
        <v>518</v>
      </c>
      <c r="D7" s="0" t="s">
        <v>622</v>
      </c>
      <c r="E7" s="0" t="s">
        <v>622</v>
      </c>
      <c r="F7" s="0" t="s">
        <v>622</v>
      </c>
      <c r="G7" s="0" t="s">
        <v>622</v>
      </c>
      <c r="H7" s="0" t="s">
        <v>622</v>
      </c>
      <c r="I7" s="0" t="s">
        <v>520</v>
      </c>
      <c r="J7" s="0" t="s">
        <v>622</v>
      </c>
      <c r="K7" s="0" t="s">
        <v>622</v>
      </c>
      <c r="L7" s="0" t="s">
        <v>622</v>
      </c>
    </row>
    <row r="8" customFormat="false" ht="12.75" hidden="false" customHeight="false" outlineLevel="0" collapsed="false">
      <c r="A8" s="0" t="s">
        <v>521</v>
      </c>
      <c r="C8" s="0" t="s">
        <v>592</v>
      </c>
      <c r="D8" s="0" t="s">
        <v>593</v>
      </c>
      <c r="E8" s="0" t="s">
        <v>595</v>
      </c>
      <c r="F8" s="0" t="s">
        <v>528</v>
      </c>
      <c r="G8" s="0" t="s">
        <v>529</v>
      </c>
      <c r="H8" s="0" t="s">
        <v>623</v>
      </c>
      <c r="I8" s="0" t="s">
        <v>530</v>
      </c>
      <c r="J8" s="0" t="s">
        <v>531</v>
      </c>
      <c r="K8" s="0" t="s">
        <v>535</v>
      </c>
      <c r="L8" s="0" t="s">
        <v>624</v>
      </c>
    </row>
    <row r="9" customFormat="false" ht="12.75" hidden="false" customHeight="false" outlineLevel="0" collapsed="false">
      <c r="A9" s="0" t="s">
        <v>536</v>
      </c>
      <c r="C9" s="0" t="s">
        <v>597</v>
      </c>
      <c r="D9" s="0" t="s">
        <v>541</v>
      </c>
      <c r="E9" s="0" t="s">
        <v>599</v>
      </c>
      <c r="F9" s="0" t="s">
        <v>543</v>
      </c>
      <c r="G9" s="0" t="s">
        <v>544</v>
      </c>
      <c r="H9" s="0" t="s">
        <v>625</v>
      </c>
      <c r="I9" s="0" t="s">
        <v>545</v>
      </c>
      <c r="J9" s="0" t="s">
        <v>546</v>
      </c>
      <c r="K9" s="0" t="s">
        <v>550</v>
      </c>
      <c r="L9" s="0" t="s">
        <v>626</v>
      </c>
    </row>
    <row r="10" customFormat="false" ht="12.75" hidden="false" customHeight="false" outlineLevel="0" collapsed="false">
      <c r="A10" s="0" t="s">
        <v>551</v>
      </c>
      <c r="B10" s="6" t="n">
        <v>43100</v>
      </c>
      <c r="C10" s="4" t="n">
        <v>0.05</v>
      </c>
      <c r="D10" s="4" t="n">
        <v>223.38</v>
      </c>
      <c r="E10" s="2" t="n">
        <v>59.1</v>
      </c>
      <c r="F10" s="4" t="n">
        <v>10.82</v>
      </c>
      <c r="G10" s="4" t="n">
        <v>0.3</v>
      </c>
      <c r="H10" s="7" t="n">
        <v>1.019</v>
      </c>
      <c r="I10" s="4" t="n">
        <v>0.21</v>
      </c>
      <c r="J10" s="4" t="n">
        <v>0.62</v>
      </c>
      <c r="K10" s="7" t="n">
        <v>3.311</v>
      </c>
      <c r="L10" s="7" t="n">
        <v>3.334</v>
      </c>
    </row>
    <row r="11" customFormat="false" ht="12.75" hidden="false" customHeight="false" outlineLevel="0" collapsed="false">
      <c r="A11" s="0" t="s">
        <v>552</v>
      </c>
      <c r="B11" s="6" t="n">
        <v>43465</v>
      </c>
      <c r="C11" s="4" t="n">
        <v>0.05</v>
      </c>
      <c r="D11" s="4" t="n">
        <v>359.89</v>
      </c>
      <c r="E11" s="2" t="n">
        <v>67.9</v>
      </c>
      <c r="F11" s="4" t="n">
        <v>11.42</v>
      </c>
      <c r="G11" s="4" t="n">
        <v>0.28</v>
      </c>
      <c r="H11" s="7" t="n">
        <v>1.019</v>
      </c>
      <c r="I11" s="4" t="n">
        <v>0.21</v>
      </c>
      <c r="J11" s="4" t="n">
        <v>0.66</v>
      </c>
      <c r="K11" s="7" t="n">
        <v>4.136</v>
      </c>
      <c r="L11" s="7" t="n">
        <v>3.334</v>
      </c>
    </row>
    <row r="12" customFormat="false" ht="12.75" hidden="false" customHeight="false" outlineLevel="0" collapsed="false">
      <c r="A12" s="0" t="s">
        <v>553</v>
      </c>
      <c r="B12" s="6" t="n">
        <v>43830</v>
      </c>
      <c r="C12" s="4" t="n">
        <v>0.09</v>
      </c>
      <c r="D12" s="4" t="n">
        <v>462.91</v>
      </c>
      <c r="E12" s="2" t="n">
        <v>73</v>
      </c>
      <c r="F12" s="4" t="n">
        <v>10.8</v>
      </c>
      <c r="G12" s="4" t="n">
        <v>0.26</v>
      </c>
      <c r="H12" s="7" t="n">
        <v>1.019</v>
      </c>
      <c r="I12" s="4" t="n">
        <v>0.21</v>
      </c>
      <c r="J12" s="4" t="n">
        <v>0.98</v>
      </c>
      <c r="K12" s="7" t="n">
        <v>7.351</v>
      </c>
      <c r="L12" s="7" t="n">
        <v>3.33</v>
      </c>
    </row>
    <row r="13" customFormat="false" ht="12.75" hidden="false" customHeight="false" outlineLevel="0" collapsed="false">
      <c r="A13" s="0" t="s">
        <v>554</v>
      </c>
      <c r="B13" s="6" t="n">
        <v>44196</v>
      </c>
      <c r="C13" s="4" t="n">
        <v>0.09</v>
      </c>
      <c r="D13" s="4" t="n">
        <v>539.26</v>
      </c>
      <c r="E13" s="2" t="n">
        <v>73.9</v>
      </c>
      <c r="F13" s="4" t="n">
        <v>10.69</v>
      </c>
      <c r="G13" s="4" t="n">
        <v>0.3</v>
      </c>
      <c r="H13" s="7" t="n">
        <v>1.019</v>
      </c>
      <c r="I13" s="4" t="n">
        <v>0.21</v>
      </c>
      <c r="J13" s="4" t="n">
        <v>1.15</v>
      </c>
      <c r="K13" s="7" t="n">
        <v>7.352</v>
      </c>
      <c r="L13" s="7" t="n">
        <v>3.332</v>
      </c>
    </row>
    <row r="14" customFormat="false" ht="12.75" hidden="false" customHeight="false" outlineLevel="0" collapsed="false">
      <c r="A14" s="0" t="s">
        <v>555</v>
      </c>
      <c r="B14" s="6" t="n">
        <v>44561</v>
      </c>
      <c r="C14" s="4" t="n">
        <v>0.09</v>
      </c>
      <c r="D14" s="4" t="n">
        <v>327.71</v>
      </c>
      <c r="E14" s="2" t="n">
        <v>74</v>
      </c>
      <c r="F14" s="4" t="n">
        <v>11.64</v>
      </c>
      <c r="G14" s="4" t="n">
        <v>0.34</v>
      </c>
      <c r="H14" s="7" t="n">
        <v>1.019</v>
      </c>
      <c r="I14" s="4" t="n">
        <v>0.21</v>
      </c>
      <c r="J14" s="4" t="n">
        <v>1.2</v>
      </c>
      <c r="K14" s="7" t="n">
        <v>7.422</v>
      </c>
      <c r="L14" s="7" t="n">
        <v>3.332</v>
      </c>
    </row>
    <row r="15" customFormat="false" ht="12.75" hidden="false" customHeight="false" outlineLevel="0" collapsed="false">
      <c r="A15" s="0" t="s">
        <v>556</v>
      </c>
      <c r="B15" s="6" t="n">
        <v>44926</v>
      </c>
      <c r="C15" s="4" t="n">
        <v>0.1</v>
      </c>
      <c r="D15" s="4" t="n">
        <v>527</v>
      </c>
      <c r="E15" s="2"/>
      <c r="F15" s="4" t="n">
        <v>12.73</v>
      </c>
      <c r="G15" s="4" t="n">
        <v>0.38</v>
      </c>
      <c r="H15" s="7" t="n">
        <v>1.019</v>
      </c>
      <c r="I15" s="4" t="n">
        <v>0.21</v>
      </c>
      <c r="J15" s="4" t="n">
        <v>1.24</v>
      </c>
      <c r="K15" s="7" t="n">
        <v>7.352</v>
      </c>
      <c r="L15" s="7" t="n">
        <v>3.332</v>
      </c>
    </row>
    <row r="16" customFormat="false" ht="12.75" hidden="false" customHeight="false" outlineLevel="0" collapsed="false">
      <c r="A16" s="0" t="s">
        <v>557</v>
      </c>
      <c r="B16" s="6" t="n">
        <v>45291</v>
      </c>
      <c r="C16" s="4" t="n">
        <v>0.11</v>
      </c>
      <c r="D16" s="4" t="n">
        <v>693.49</v>
      </c>
      <c r="E16" s="2" t="n">
        <v>75</v>
      </c>
      <c r="F16" s="4" t="n">
        <v>11.94</v>
      </c>
      <c r="G16" s="4" t="n">
        <v>0.99</v>
      </c>
      <c r="H16" s="7" t="n">
        <v>1.019</v>
      </c>
      <c r="I16" s="4" t="n">
        <v>0.21</v>
      </c>
      <c r="J16" s="4" t="n">
        <v>1.28</v>
      </c>
      <c r="K16" s="7" t="n">
        <v>11.532</v>
      </c>
      <c r="L16" s="7" t="n">
        <v>3.332</v>
      </c>
    </row>
    <row r="17" customFormat="false" ht="12.75" hidden="false" customHeight="false" outlineLevel="0" collapsed="false">
      <c r="A17" s="0" t="s">
        <v>558</v>
      </c>
      <c r="B17" s="6" t="n">
        <v>45657</v>
      </c>
      <c r="C17" s="4" t="n">
        <v>0.11</v>
      </c>
      <c r="D17" s="4" t="n">
        <v>1225.87</v>
      </c>
      <c r="E17" s="2" t="n">
        <v>75</v>
      </c>
      <c r="F17" s="4" t="n">
        <v>12.3</v>
      </c>
      <c r="G17" s="4" t="n">
        <v>1.65</v>
      </c>
      <c r="H17" s="7" t="n">
        <v>1.019</v>
      </c>
      <c r="I17" s="4" t="n">
        <v>0.21</v>
      </c>
      <c r="J17" s="4" t="n">
        <v>1.55</v>
      </c>
      <c r="K17" s="7" t="n">
        <v>14.411</v>
      </c>
      <c r="L17" s="7" t="n">
        <v>3.332</v>
      </c>
    </row>
    <row r="18" customFormat="false" ht="12.75" hidden="false" customHeight="false" outlineLevel="0" collapsed="false">
      <c r="A18" s="0" t="s">
        <v>559</v>
      </c>
      <c r="B18" s="6" t="n">
        <v>46022</v>
      </c>
      <c r="F18" s="4" t="n">
        <v>12.55</v>
      </c>
      <c r="G18" s="4" t="n">
        <v>2.3</v>
      </c>
      <c r="H18" s="7" t="n">
        <v>1.019</v>
      </c>
      <c r="I18" s="4" t="n">
        <v>0.21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2026-01-10T02:12:20Z</dcterms:created>
  <dc:creator>Wang, Shuyi</dc:creator>
  <dc:description/>
  <dc:language>en-US</dc:language>
  <cp:lastModifiedBy>Wang, Shuyi</cp:lastModifiedBy>
  <dcterms:modified xsi:type="dcterms:W3CDTF">2026-10-08T03:08:19Z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07ed86-5dc5-4593-ad03-a8684b843815_ActionId">
    <vt:lpwstr>ab89b2e5-d89f-44c6-8e7d-cc245484291e</vt:lpwstr>
  </property>
  <property fmtid="{D5CDD505-2E9C-101B-9397-08002B2CF9AE}" pid="3" name="MSIP_Label_0c07ed86-5dc5-4593-ad03-a8684b843815_ContentBits">
    <vt:lpwstr>0</vt:lpwstr>
  </property>
  <property fmtid="{D5CDD505-2E9C-101B-9397-08002B2CF9AE}" pid="4" name="MSIP_Label_0c07ed86-5dc5-4593-ad03-a8684b843815_Enabled">
    <vt:lpwstr>true</vt:lpwstr>
  </property>
  <property fmtid="{D5CDD505-2E9C-101B-9397-08002B2CF9AE}" pid="5" name="MSIP_Label_0c07ed86-5dc5-4593-ad03-a8684b843815_Method">
    <vt:lpwstr>Standard</vt:lpwstr>
  </property>
  <property fmtid="{D5CDD505-2E9C-101B-9397-08002B2CF9AE}" pid="6" name="MSIP_Label_0c07ed86-5dc5-4593-ad03-a8684b843815_Name">
    <vt:lpwstr>0c07ed86-5dc5-4593-ad03-a8684b843815</vt:lpwstr>
  </property>
  <property fmtid="{D5CDD505-2E9C-101B-9397-08002B2CF9AE}" pid="7" name="MSIP_Label_0c07ed86-5dc5-4593-ad03-a8684b843815_SetDate">
    <vt:lpwstr>2026-01-10T02:12:23Z</vt:lpwstr>
  </property>
  <property fmtid="{D5CDD505-2E9C-101B-9397-08002B2CF9AE}" pid="8" name="MSIP_Label_0c07ed86-5dc5-4593-ad03-a8684b843815_SiteId">
    <vt:lpwstr>8085fa43-302e-45bd-b171-a6648c3b6be7</vt:lpwstr>
  </property>
  <property fmtid="{D5CDD505-2E9C-101B-9397-08002B2CF9AE}" pid="9" name="MSIP_Label_0c07ed86-5dc5-4593-ad03-a8684b843815_Tag">
    <vt:lpwstr>10, 3, 0, 1</vt:lpwstr>
  </property>
</Properties>
</file>