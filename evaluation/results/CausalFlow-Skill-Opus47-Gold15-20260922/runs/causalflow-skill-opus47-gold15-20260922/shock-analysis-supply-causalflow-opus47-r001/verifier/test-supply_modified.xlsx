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<sst xmlns="http://schemas.openxmlformats.org/spreadsheetml/2006/main" count="57" uniqueCount="53">
  <si>
    <t xml:space="preserve">Assumption</t>
  </si>
  <si>
    <t xml:space="preserve">capital's share</t>
  </si>
  <si>
    <t xml:space="preserve">annual depreciation rate</t>
  </si>
  <si>
    <t xml:space="preserve">lambda</t>
  </si>
  <si>
    <t xml:space="preserve">HP Filter</t>
  </si>
  <si>
    <t xml:space="preserve">Objective total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</si>
  <si>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</si>
  <si>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</si>
  <si>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</si>
  <si>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</si>
  <si>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</si>
  <si>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</si>
  <si>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</si>
  <si>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</si>
  <si>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per-row (LnZ-LnZ_HP)^2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</si>
  <si>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</si>
  <si>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</si>
  <si>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</si>
  <si>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</si>
  <si>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</si>
  <si>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</si>
  <si>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</si>
  <si>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</si>
  <si>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</si>
  <si>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</si>
  <si>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</si>
  <si>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</si>
  <si>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</si>
  <si>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</si>
  <si>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</si>
  <si>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</si>
  <si>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</si>
  <si>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</si>
  <si>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</si>
  <si>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</si>
  <si>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</si>
  <si>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rgdpna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</si>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</sst>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</row>
    <row r="3" customFormat="false" ht="12" hidden="false" customHeight="true" outlineLevel="0" collapsed="false">
      <c r="A3" s="7" t="s">
        <v>2</v>
      </c>
      <c r="B3" s="8" t="n">
        <f aca="false">AVERAGE('CFC data'!E22:E29)</f>
        <v>20106.5006294154</v>
      </c>
      <c r="C3" s="8"/>
      <c r="D3" s="8"/>
      <c r="E3" s="8"/>
      <c r="F3" s="8"/>
      <c r="G3" s="8"/>
      <c r="H3" s="8"/>
      <c r="I3" s="9"/>
      <c r="O3" s="1" t="s">
        <v>3</v>
      </c>
      <c r="P3" s="1" t="n">
        <v>100</v>
      </c>
    </row>
    <row r="4" customFormat="false" ht="12" hidden="false" customHeight="true" outlineLevel="0" collapsed="false">
      <c r="K4" s="10" t="s">
        <v>4</v>
      </c>
      <c r="L4" s="11"/>
      <c r="M4" s="11"/>
      <c r="N4" s="12"/>
      <c r="O4" s="1" t="s">
        <v>5</v>
      </c>
    </row>
    <row r="5" customFormat="false" ht="12" hidden="false" customHeight="true" outlineLevel="0" collapsed="false">
      <c r="D5" s="1" t="s">
        <v>6</v>
      </c>
      <c r="E5" s="1" t="s">
        <v>7</v>
      </c>
      <c r="F5" s="1" t="s">
        <v>8</v>
      </c>
      <c r="G5" s="1" t="s">
        <v>9</v>
      </c>
      <c r="K5" s="5" t="s">
        <v>10</v>
      </c>
      <c r="L5" s="1" t="s">
        <v>11</v>
      </c>
      <c r="M5" s="1" t="s">
        <v>12</v>
      </c>
      <c r="N5" s="6" t="s">
        <v>13</v>
      </c>
      <c r="O5" s="13" t="s">
        <v>14</v>
      </c>
      <c r="P5" s="14" t="n">
        <f aca="false">SUM(O6:O27)+$P$3*SUMSQ(M7:M26)</f>
        <v>6.88673444375202</v>
      </c>
    </row>
    <row r="6" customFormat="false" ht="12" hidden="false" customHeight="true" outlineLevel="0" collapsed="false">
      <c r="C6" s="1" t="n">
        <v>2002</v>
      </c>
      <c r="D6" s="15" t="n">
        <f aca="false">'CFC data'!D8</f>
        <v>240523.046875</v>
      </c>
      <c r="E6" s="1" t="n">
        <f aca="false">WEO_Data!C10</f>
        <v>18.747</v>
      </c>
      <c r="F6" s="1" t="n">
        <f aca="false">IFERROR(LN(D6),"")</f>
        <v>12.3905711929387</v>
      </c>
      <c r="G6" s="1" t="n">
        <f aca="false">IFERROR(LN(E6),"")</f>
        <v>2.93103373961505</v>
      </c>
      <c r="K6" s="5" t="n">
        <f aca="false">IFERROR(G6-$B$2*F6,"")</f>
        <v>-1.4056661779135</v>
      </c>
      <c r="L6" s="1" t="n">
        <f aca="false">K6</f>
        <v>-1.4056661779135</v>
      </c>
      <c r="N6" s="6" t="n">
        <f aca="false">IFERROR(K6-L6,"")</f>
        <v>0</v>
      </c>
      <c r="O6" s="1" t="n">
        <f aca="false">IFERROR(N6^2,"")</f>
        <v>0</v>
      </c>
    </row>
    <row r="7" customFormat="false" ht="12" hidden="false" customHeight="true" outlineLevel="0" collapsed="false">
      <c r="C7" s="1" t="n">
        <v>2003</v>
      </c>
      <c r="D7" s="15" t="n">
        <f aca="false">'CFC data'!D9</f>
        <v>242715.265625</v>
      </c>
      <c r="E7" s="1" t="n">
        <f aca="false">WEO_Data!C11</f>
        <v>20.852</v>
      </c>
      <c r="F7" s="1" t="n">
        <f aca="false">IFERROR(LN(D7),"")</f>
        <v>12.399644288892</v>
      </c>
      <c r="G7" s="1" t="n">
        <f aca="false">IFERROR(LN(E7),"")</f>
        <v>3.03744986690586</v>
      </c>
      <c r="K7" s="5" t="n">
        <f aca="false">IFERROR(G7-$B$2*F7,"")</f>
        <v>-1.30242563420633</v>
      </c>
      <c r="L7" s="1" t="n">
        <f aca="false">K7</f>
        <v>-1.30242563420633</v>
      </c>
      <c r="M7" s="1" t="n">
        <f aca="false">IFERROR(L6-2*L7+L8,"")</f>
        <v>-0.0509860797556372</v>
      </c>
      <c r="N7" s="6" t="n">
        <f aca="false">IFERROR(K7-L7,"")</f>
        <v>0</v>
      </c>
      <c r="O7" s="1" t="n">
        <f aca="false">IFERROR(N7^2,"")</f>
        <v>0</v>
      </c>
    </row>
    <row r="8" customFormat="false" ht="12" hidden="false" customHeight="true" outlineLevel="0" collapsed="false">
      <c r="C8" s="1" t="n">
        <v>2004</v>
      </c>
      <c r="D8" s="15" t="n">
        <f aca="false">'CFC data'!D10</f>
        <v>245580.140625</v>
      </c>
      <c r="E8" s="1" t="n">
        <f aca="false">WEO_Data!C12</f>
        <v>22.061</v>
      </c>
      <c r="F8" s="1" t="n">
        <f aca="false">IFERROR(LN(D8),"")</f>
        <v>12.4113786113383</v>
      </c>
      <c r="G8" s="1" t="n">
        <f aca="false">IFERROR(LN(E8),"")</f>
        <v>3.09381134371363</v>
      </c>
      <c r="K8" s="5" t="n">
        <f aca="false">IFERROR(G8-$B$2*F8,"")</f>
        <v>-1.25017117025479</v>
      </c>
      <c r="L8" s="1" t="n">
        <f aca="false">K8</f>
        <v>-1.25017117025479</v>
      </c>
      <c r="M8" s="1" t="n">
        <f aca="false">IFERROR(L7-2*L8+L9,"")</f>
        <v>0.0341044472515737</v>
      </c>
      <c r="N8" s="6" t="n">
        <f aca="false">IFERROR(K8-L8,"")</f>
        <v>0</v>
      </c>
      <c r="O8" s="1" t="n">
        <f aca="false">IFERROR(N8^2,"")</f>
        <v>0</v>
      </c>
    </row>
    <row r="9" customFormat="false" ht="12" hidden="false" customHeight="true" outlineLevel="0" collapsed="false">
      <c r="C9" s="1" t="n">
        <v>2005</v>
      </c>
      <c r="D9" s="15" t="n">
        <f aca="false">'CFC data'!D11</f>
        <v>249248.984375</v>
      </c>
      <c r="E9" s="1" t="n">
        <f aca="false">WEO_Data!C13</f>
        <v>24.176</v>
      </c>
      <c r="F9" s="1" t="n">
        <f aca="false">IFERROR(LN(D9),"")</f>
        <v>12.4262076130916</v>
      </c>
      <c r="G9" s="1" t="n">
        <f aca="false">IFERROR(LN(E9),"")</f>
        <v>3.18536040553038</v>
      </c>
      <c r="K9" s="5" t="n">
        <f aca="false">IFERROR(G9-$B$2*F9,"")</f>
        <v>-1.16381225905168</v>
      </c>
      <c r="L9" s="1" t="n">
        <f aca="false">K9</f>
        <v>-1.16381225905168</v>
      </c>
      <c r="M9" s="1" t="n">
        <f aca="false">IFERROR(L8-2*L9+L10,"")</f>
        <v>-0.00056617030998174</v>
      </c>
      <c r="N9" s="6" t="n">
        <f aca="false">IFERROR(K9-L9,"")</f>
        <v>0</v>
      </c>
      <c r="O9" s="1" t="n">
        <f aca="false">IFERROR(N9^2,"")</f>
        <v>0</v>
      </c>
    </row>
    <row r="10" customFormat="false" ht="12" hidden="false" customHeight="true" outlineLevel="0" collapsed="false">
      <c r="C10" s="1" t="n">
        <v>2006</v>
      </c>
      <c r="D10" s="15" t="n">
        <f aca="false">'CFC data'!D12</f>
        <v>252297.078125</v>
      </c>
      <c r="E10" s="1" t="n">
        <f aca="false">WEO_Data!C14</f>
        <v>26.454</v>
      </c>
      <c r="F10" s="1" t="n">
        <f aca="false">IFERROR(LN(D10),"")</f>
        <v>12.4383625536069</v>
      </c>
      <c r="G10" s="1" t="n">
        <f aca="false">IFERROR(LN(E10),"")</f>
        <v>3.27540737560386</v>
      </c>
      <c r="K10" s="5" t="n">
        <f aca="false">IFERROR(G10-$B$2*F10,"")</f>
        <v>-1.07801951815855</v>
      </c>
      <c r="L10" s="1" t="n">
        <f aca="false">K10</f>
        <v>-1.07801951815855</v>
      </c>
      <c r="M10" s="1" t="n">
        <f aca="false">IFERROR(L9-2*L10+L11,"")</f>
        <v>0.0272510051802382</v>
      </c>
      <c r="N10" s="6" t="n">
        <f aca="false">IFERROR(K10-L10,"")</f>
        <v>0</v>
      </c>
      <c r="O10" s="1" t="n">
        <f aca="false">IFERROR(N10^2,"")</f>
        <v>0</v>
      </c>
    </row>
    <row r="11" customFormat="false" ht="12" hidden="false" customHeight="true" outlineLevel="0" collapsed="false">
      <c r="C11" s="1" t="n">
        <v>2007</v>
      </c>
      <c r="D11" s="15" t="n">
        <f aca="false">'CFC data'!D13</f>
        <v>256234.109375</v>
      </c>
      <c r="E11" s="1" t="n">
        <f aca="false">WEO_Data!C15</f>
        <v>29.781</v>
      </c>
      <c r="F11" s="1" t="n">
        <f aca="false">IFERROR(LN(D11),"")</f>
        <v>12.4538467953168</v>
      </c>
      <c r="G11" s="1" t="n">
        <f aca="false">IFERROR(LN(E11),"")</f>
        <v>3.39387060627569</v>
      </c>
      <c r="K11" s="5" t="n">
        <f aca="false">IFERROR(G11-$B$2*F11,"")</f>
        <v>-0.964975772085185</v>
      </c>
      <c r="L11" s="1" t="n">
        <f aca="false">K11</f>
        <v>-0.964975772085185</v>
      </c>
      <c r="M11" s="1" t="n">
        <f aca="false">IFERROR(L10-2*L11+L12,"")</f>
        <v>-0.0911396736752428</v>
      </c>
      <c r="N11" s="6" t="n">
        <f aca="false">IFERROR(K11-L11,"")</f>
        <v>0</v>
      </c>
      <c r="O11" s="1" t="n">
        <f aca="false">IFERROR(N11^2,"")</f>
        <v>0</v>
      </c>
    </row>
    <row r="12" customFormat="false" ht="12" hidden="false" customHeight="true" outlineLevel="0" collapsed="false">
      <c r="C12" s="1" t="n">
        <v>2008</v>
      </c>
      <c r="D12" s="15" t="n">
        <f aca="false">'CFC data'!D14</f>
        <v>257715.4375</v>
      </c>
      <c r="E12" s="1" t="n">
        <f aca="false">WEO_Data!C16</f>
        <v>30.502</v>
      </c>
      <c r="F12" s="1" t="n">
        <f aca="false">IFERROR(LN(D12),"")</f>
        <v>12.4596112997744</v>
      </c>
      <c r="G12" s="1" t="n">
        <f aca="false">IFERROR(LN(E12),"")</f>
        <v>3.41779225523399</v>
      </c>
      <c r="K12" s="5" t="n">
        <f aca="false">IFERROR(G12-$B$2*F12,"")</f>
        <v>-0.943071699687061</v>
      </c>
      <c r="L12" s="1" t="n">
        <f aca="false">K12</f>
        <v>-0.943071699687061</v>
      </c>
      <c r="M12" s="1" t="n">
        <f aca="false">IFERROR(L11-2*L12+L13,"")</f>
        <v>-0.0562197251021441</v>
      </c>
      <c r="N12" s="6" t="n">
        <f aca="false">IFERROR(K12-L12,"")</f>
        <v>0</v>
      </c>
      <c r="O12" s="1" t="n">
        <f aca="false">IFERROR(N12^2,"")</f>
        <v>0</v>
      </c>
    </row>
    <row r="13" customFormat="false" ht="12" hidden="false" customHeight="true" outlineLevel="0" collapsed="false">
      <c r="C13" s="1" t="n">
        <v>2009</v>
      </c>
      <c r="D13" s="15" t="n">
        <f aca="false">'CFC data'!D15</f>
        <v>255596.078125</v>
      </c>
      <c r="E13" s="1" t="n">
        <f aca="false">WEO_Data!C17</f>
        <v>29.388</v>
      </c>
      <c r="F13" s="1" t="n">
        <f aca="false">IFERROR(LN(D13),"")</f>
        <v>12.4513536575689</v>
      </c>
      <c r="G13" s="1" t="n">
        <f aca="false">IFERROR(LN(E13),"")</f>
        <v>3.38058642775803</v>
      </c>
      <c r="K13" s="5" t="n">
        <f aca="false">IFERROR(G13-$B$2*F13,"")</f>
        <v>-0.977387352391082</v>
      </c>
      <c r="L13" s="1" t="n">
        <f aca="false">K13</f>
        <v>-0.977387352391082</v>
      </c>
      <c r="M13" s="1" t="n">
        <f aca="false">IFERROR(L12-2*L13+L14,"")</f>
        <v>0.100622736734336</v>
      </c>
      <c r="N13" s="6" t="n">
        <f aca="false">IFERROR(K13-L13,"")</f>
        <v>0</v>
      </c>
      <c r="O13" s="1" t="n">
        <f aca="false">IFERROR(N13^2,"")</f>
        <v>0</v>
      </c>
    </row>
    <row r="14" customFormat="false" ht="12" hidden="false" customHeight="true" outlineLevel="0" collapsed="false">
      <c r="C14" s="1" t="n">
        <v>2010</v>
      </c>
      <c r="D14" s="15" t="n">
        <f aca="false">'CFC data'!D16</f>
        <v>256185.140625</v>
      </c>
      <c r="E14" s="1" t="n">
        <f aca="false">WEO_Data!C18</f>
        <v>31.428</v>
      </c>
      <c r="F14" s="1" t="n">
        <f aca="false">IFERROR(LN(D14),"")</f>
        <v>12.453655667641</v>
      </c>
      <c r="G14" s="1" t="n">
        <f aca="false">IFERROR(LN(E14),"")</f>
        <v>3.44769921531358</v>
      </c>
      <c r="K14" s="5" t="n">
        <f aca="false">IFERROR(G14-$B$2*F14,"")</f>
        <v>-0.911080268360767</v>
      </c>
      <c r="L14" s="1" t="n">
        <f aca="false">K14</f>
        <v>-0.911080268360767</v>
      </c>
      <c r="M14" s="1" t="n">
        <f aca="false">IFERROR(L13-2*L14+L15,"")</f>
        <v>0.00746644274484831</v>
      </c>
      <c r="N14" s="6" t="n">
        <f aca="false">IFERROR(K14-L14,"")</f>
        <v>0</v>
      </c>
      <c r="O14" s="1" t="n">
        <f aca="false">IFERROR(N14^2,"")</f>
        <v>0</v>
      </c>
    </row>
    <row r="15" customFormat="false" ht="12" hidden="false" customHeight="true" outlineLevel="0" collapsed="false">
      <c r="C15" s="1" t="n">
        <v>2011</v>
      </c>
      <c r="D15" s="15" t="n">
        <f aca="false">'CFC data'!D17</f>
        <v>258197.40625</v>
      </c>
      <c r="E15" s="1" t="n">
        <f aca="false">WEO_Data!C19</f>
        <v>33.927</v>
      </c>
      <c r="F15" s="1" t="n">
        <f aca="false">IFERROR(LN(D15),"")</f>
        <v>12.4614797118369</v>
      </c>
      <c r="G15" s="1" t="n">
        <f aca="false">IFERROR(LN(E15),"")</f>
        <v>3.5242111575573</v>
      </c>
      <c r="K15" s="5" t="n">
        <f aca="false">IFERROR(G15-$B$2*F15,"")</f>
        <v>-0.837306741585603</v>
      </c>
      <c r="L15" s="1" t="n">
        <f aca="false">K15</f>
        <v>-0.837306741585603</v>
      </c>
      <c r="M15" s="1" t="n">
        <f aca="false">IFERROR(L14-2*L15+L16,"")</f>
        <v>-0.0135328145964047</v>
      </c>
      <c r="N15" s="6" t="n">
        <f aca="false">IFERROR(K15-L15,"")</f>
        <v>0</v>
      </c>
      <c r="O15" s="1" t="n">
        <f aca="false">IFERROR(N15^2,"")</f>
        <v>0</v>
      </c>
    </row>
    <row r="16" customFormat="false" ht="12" hidden="false" customHeight="true" outlineLevel="0" collapsed="false">
      <c r="C16" s="1" t="n">
        <v>2012</v>
      </c>
      <c r="D16" s="15" t="n">
        <f aca="false">'CFC data'!D18</f>
        <v>260772.96875</v>
      </c>
      <c r="E16" s="1" t="n">
        <f aca="false">WEO_Data!C20</f>
        <v>36.159</v>
      </c>
      <c r="F16" s="1" t="n">
        <f aca="false">IFERROR(LN(D16),"")</f>
        <v>12.4714054562319</v>
      </c>
      <c r="G16" s="1" t="n">
        <f aca="false">IFERROR(LN(E16),"")</f>
        <v>3.58792588027432</v>
      </c>
      <c r="K16" s="5" t="n">
        <f aca="false">IFERROR(G16-$B$2*F16,"")</f>
        <v>-0.777066029406844</v>
      </c>
      <c r="L16" s="1" t="n">
        <f aca="false">K16</f>
        <v>-0.777066029406844</v>
      </c>
      <c r="M16" s="1" t="n">
        <f aca="false">IFERROR(L15-2*L16+L17,"")</f>
        <v>-0.0117527808727296</v>
      </c>
      <c r="N16" s="6" t="n">
        <f aca="false">IFERROR(K16-L16,"")</f>
        <v>0</v>
      </c>
      <c r="O16" s="1" t="n">
        <f aca="false">IFERROR(N16^2,"")</f>
        <v>0</v>
      </c>
    </row>
    <row r="17" customFormat="false" ht="12" hidden="false" customHeight="true" outlineLevel="0" collapsed="false">
      <c r="C17" s="1" t="n">
        <v>2013</v>
      </c>
      <c r="D17" s="15" t="n">
        <f aca="false">'CFC data'!D19</f>
        <v>261943.109375</v>
      </c>
      <c r="E17" s="1" t="n">
        <f aca="false">WEO_Data!C21</f>
        <v>38.015</v>
      </c>
      <c r="F17" s="1" t="n">
        <f aca="false">IFERROR(LN(D17),"")</f>
        <v>12.4758826193749</v>
      </c>
      <c r="G17" s="1" t="n">
        <f aca="false">IFERROR(LN(E17),"")</f>
        <v>3.6379808186804</v>
      </c>
      <c r="K17" s="5" t="n">
        <f aca="false">IFERROR(G17-$B$2*F17,"")</f>
        <v>-0.728578098100815</v>
      </c>
      <c r="L17" s="1" t="n">
        <f aca="false">K17</f>
        <v>-0.728578098100815</v>
      </c>
      <c r="M17" s="1" t="n">
        <f aca="false">IFERROR(L16-2*L17+L18,"")</f>
        <v>-0.0135376127834697</v>
      </c>
      <c r="N17" s="6" t="n">
        <f aca="false">IFERROR(K17-L17,"")</f>
        <v>0</v>
      </c>
      <c r="O17" s="1" t="n">
        <f aca="false">IFERROR(N17^2,"")</f>
        <v>0</v>
      </c>
    </row>
    <row r="18" customFormat="false" ht="12" hidden="false" customHeight="true" outlineLevel="0" collapsed="false">
      <c r="C18" s="1" t="n">
        <v>2014</v>
      </c>
      <c r="D18" s="15" t="n">
        <f aca="false">'CFC data'!D20</f>
        <v>265818.40625</v>
      </c>
      <c r="E18" s="1" t="n">
        <f aca="false">WEO_Data!C22</f>
        <v>39.57</v>
      </c>
      <c r="F18" s="1" t="n">
        <f aca="false">IFERROR(LN(D18),"")</f>
        <v>12.4905686713588</v>
      </c>
      <c r="G18" s="1" t="n">
        <f aca="false">IFERROR(LN(E18),"")</f>
        <v>3.67807125539733</v>
      </c>
      <c r="K18" s="5" t="n">
        <f aca="false">IFERROR(G18-$B$2*F18,"")</f>
        <v>-0.693627779578255</v>
      </c>
      <c r="L18" s="1" t="n">
        <f aca="false">K18</f>
        <v>-0.693627779578255</v>
      </c>
      <c r="M18" s="1" t="n">
        <f aca="false">IFERROR(L17-2*L18+L19,"")</f>
        <v>-0.0092952826224737</v>
      </c>
      <c r="N18" s="6" t="n">
        <f aca="false">IFERROR(K18-L18,"")</f>
        <v>0</v>
      </c>
      <c r="O18" s="1" t="n">
        <f aca="false">IFERROR(N18^2,"")</f>
        <v>0</v>
      </c>
    </row>
    <row r="19" customFormat="false" ht="12" hidden="false" customHeight="true" outlineLevel="0" collapsed="false">
      <c r="C19" s="1" t="n">
        <v>2015</v>
      </c>
      <c r="D19" s="15" t="n">
        <f aca="false">'CFC data'!D21</f>
        <v>271425.46875</v>
      </c>
      <c r="E19" s="1" t="n">
        <f aca="false">WEO_Data!C23</f>
        <v>40.896</v>
      </c>
      <c r="F19" s="1" t="n">
        <f aca="false">IFERROR(LN(D19),"")</f>
        <v>12.511442864095</v>
      </c>
      <c r="G19" s="1" t="n">
        <f aca="false">IFERROR(LN(E19),"")</f>
        <v>3.71103225875507</v>
      </c>
      <c r="K19" s="5" t="n">
        <f aca="false">IFERROR(G19-$B$2*F19,"")</f>
        <v>-0.667972743678169</v>
      </c>
      <c r="L19" s="1" t="n">
        <f aca="false">K19</f>
        <v>-0.667972743678169</v>
      </c>
      <c r="M19" s="1" t="n">
        <f aca="false">IFERROR(L18-2*L19+L20,"")</f>
        <v>0.000407420108114565</v>
      </c>
      <c r="N19" s="6" t="n">
        <f aca="false">IFERROR(K19-L19,"")</f>
        <v>0</v>
      </c>
      <c r="O19" s="1" t="n">
        <f aca="false">IFERROR(N19^2,"")</f>
        <v>0</v>
      </c>
    </row>
    <row r="20" customFormat="false" ht="12" hidden="false" customHeight="true" outlineLevel="0" collapsed="false">
      <c r="C20" s="1" t="n">
        <v>2016</v>
      </c>
      <c r="D20" s="15" t="n">
        <f aca="false">'CFC data'!D22</f>
        <v>277588.15625</v>
      </c>
      <c r="E20" s="1" t="n">
        <f aca="false">WEO_Data!C24</f>
        <v>42.307</v>
      </c>
      <c r="F20" s="1" t="n">
        <f aca="false">IFERROR(LN(D20),"")</f>
        <v>12.5338938418991</v>
      </c>
      <c r="G20" s="1" t="n">
        <f aca="false">IFERROR(LN(E20),"")</f>
        <v>3.74495255699473</v>
      </c>
      <c r="K20" s="5" t="n">
        <f aca="false">IFERROR(G20-$B$2*F20,"")</f>
        <v>-0.641910287669969</v>
      </c>
      <c r="L20" s="1" t="n">
        <f aca="false">K20</f>
        <v>-0.641910287669969</v>
      </c>
      <c r="M20" s="1" t="n">
        <f aca="false">IFERROR(L19-2*L20+L21,"")</f>
        <v>0.0166488736840904</v>
      </c>
      <c r="N20" s="6" t="n">
        <f aca="false">IFERROR(K20-L20,"")</f>
        <v>0</v>
      </c>
      <c r="O20" s="1" t="n">
        <f aca="false">IFERROR(N20^2,"")</f>
        <v>0</v>
      </c>
    </row>
    <row r="21" customFormat="false" ht="12" hidden="false" customHeight="true" outlineLevel="0" collapsed="false">
      <c r="C21" s="1" t="n">
        <v>2017</v>
      </c>
      <c r="D21" s="15" t="n">
        <f aca="false">'CFC data'!D23</f>
        <v>283682.15625</v>
      </c>
      <c r="E21" s="1" t="n">
        <f aca="false">WEO_Data!C25</f>
        <v>44.49</v>
      </c>
      <c r="F21" s="1" t="n">
        <f aca="false">IFERROR(LN(D21),"")</f>
        <v>12.5556097222732</v>
      </c>
      <c r="G21" s="1" t="n">
        <f aca="false">IFERROR(LN(E21),"")</f>
        <v>3.79526444481795</v>
      </c>
      <c r="K21" s="5" t="n">
        <f aca="false">IFERROR(G21-$B$2*F21,"")</f>
        <v>-0.599198957977678</v>
      </c>
      <c r="L21" s="1" t="n">
        <f aca="false">K21</f>
        <v>-0.599198957977678</v>
      </c>
      <c r="M21" s="1" t="n">
        <f aca="false">IFERROR(L20-2*L21+L22,"")</f>
        <v>0.00896373085923452</v>
      </c>
      <c r="N21" s="6" t="n">
        <f aca="false">IFERROR(K21-L21,"")</f>
        <v>0</v>
      </c>
      <c r="O21" s="1" t="n">
        <f aca="false">IFERROR(N21^2,"")</f>
        <v>0</v>
      </c>
    </row>
    <row r="22" customFormat="false" ht="12" hidden="false" customHeight="true" outlineLevel="0" collapsed="false">
      <c r="C22" s="1" t="n">
        <v>2018</v>
      </c>
      <c r="D22" s="15" t="n">
        <f aca="false">'CFC data'!D24</f>
        <v>289560.90625</v>
      </c>
      <c r="E22" s="1" t="n">
        <f aca="false">WEO_Data!C26</f>
        <v>47.187</v>
      </c>
      <c r="F22" s="1" t="n">
        <f aca="false">IFERROR(LN(D22),"")</f>
        <v>12.5761209381508</v>
      </c>
      <c r="G22" s="1" t="n">
        <f aca="false">IFERROR(LN(E22),"")</f>
        <v>3.85411843092662</v>
      </c>
      <c r="K22" s="5" t="n">
        <f aca="false">IFERROR(G22-$B$2*F22,"")</f>
        <v>-0.547523897426152</v>
      </c>
      <c r="L22" s="1" t="n">
        <f aca="false">K22</f>
        <v>-0.547523897426152</v>
      </c>
      <c r="M22" s="1" t="n">
        <f aca="false">IFERROR(L21-2*L22+L23,"")</f>
        <v>-0.00957279498280839</v>
      </c>
      <c r="N22" s="6" t="n">
        <f aca="false">IFERROR(K22-L22,"")</f>
        <v>0</v>
      </c>
      <c r="O22" s="1" t="n">
        <f aca="false">IFERROR(N22^2,"")</f>
        <v>0</v>
      </c>
    </row>
    <row r="23" customFormat="false" ht="12" hidden="false" customHeight="true" outlineLevel="0" collapsed="false">
      <c r="C23" s="1" t="n">
        <v>2019</v>
      </c>
      <c r="D23" s="15" t="n">
        <f aca="false">'CFC data'!D25</f>
        <v>298215.0625</v>
      </c>
      <c r="E23" s="1" t="n">
        <f aca="false">WEO_Data!C27</f>
        <v>49.726</v>
      </c>
      <c r="F23" s="1" t="n">
        <f aca="false">IFERROR(LN(D23),"")</f>
        <v>12.6055701914389</v>
      </c>
      <c r="G23" s="1" t="n">
        <f aca="false">IFERROR(LN(E23),"")</f>
        <v>3.90652793514617</v>
      </c>
      <c r="K23" s="5" t="n">
        <f aca="false">IFERROR(G23-$B$2*F23,"")</f>
        <v>-0.505421631857435</v>
      </c>
      <c r="L23" s="1" t="n">
        <f aca="false">K23</f>
        <v>-0.505421631857435</v>
      </c>
      <c r="M23" s="1" t="n">
        <f aca="false">IFERROR(L22-2*L23+L24,"")</f>
        <v>-0.115122685364844</v>
      </c>
      <c r="N23" s="6" t="n">
        <f aca="false">IFERROR(K23-L23,"")</f>
        <v>0</v>
      </c>
      <c r="O23" s="1" t="n">
        <f aca="false">IFERROR(N23^2,"")</f>
        <v>0</v>
      </c>
    </row>
    <row r="24" customFormat="false" ht="12" hidden="false" customHeight="true" outlineLevel="0" collapsed="false">
      <c r="C24" s="1" t="n">
        <v>2020</v>
      </c>
      <c r="D24" s="15" t="n">
        <f aca="false">'CFC data'!D26</f>
        <v>305153.587816793</v>
      </c>
      <c r="E24" s="1" t="n">
        <f aca="false">WEO_Data!C28</f>
        <v>46.598</v>
      </c>
      <c r="F24" s="1" t="n">
        <f aca="false">IFERROR(LN(D24),"")</f>
        <v>12.6285704954549</v>
      </c>
      <c r="G24" s="1" t="n">
        <f aca="false">IFERROR(LN(E24),"")</f>
        <v>3.84155762175564</v>
      </c>
      <c r="K24" s="5" t="n">
        <f aca="false">IFERROR(G24-$B$2*F24,"")</f>
        <v>-0.578442051653562</v>
      </c>
      <c r="L24" s="1" t="n">
        <f aca="false">K24</f>
        <v>-0.578442051653562</v>
      </c>
      <c r="M24" s="1" t="n">
        <f aca="false">IFERROR(L23-2*L24+L25,"")</f>
        <v>0.166120079194025</v>
      </c>
      <c r="N24" s="6" t="n">
        <f aca="false">IFERROR(K24-L24,"")</f>
        <v>0</v>
      </c>
      <c r="O24" s="1" t="n">
        <f aca="false">IFERROR(N24^2,"")</f>
        <v>0</v>
      </c>
    </row>
    <row r="25" customFormat="false" ht="12" hidden="false" customHeight="true" outlineLevel="0" collapsed="false">
      <c r="C25" s="1" t="n">
        <v>2021</v>
      </c>
      <c r="D25" s="15" t="n">
        <f aca="false">'CFC data'!D27</f>
        <v>312253.550765772</v>
      </c>
      <c r="E25" s="1" t="n">
        <f aca="false">WEO_Data!C29</f>
        <v>51.558</v>
      </c>
      <c r="F25" s="1" t="n">
        <f aca="false">IFERROR(LN(D25),"")</f>
        <v>12.6515707994709</v>
      </c>
      <c r="G25" s="1" t="n">
        <f aca="false">IFERROR(LN(E25),"")</f>
        <v>3.94270738755914</v>
      </c>
      <c r="K25" s="5" t="n">
        <f aca="false">IFERROR(G25-$B$2*F25,"")</f>
        <v>-0.485342392255665</v>
      </c>
      <c r="L25" s="1" t="n">
        <f aca="false">K25</f>
        <v>-0.485342392255665</v>
      </c>
      <c r="M25" s="1" t="n">
        <f aca="false">IFERROR(L24-2*L25+L26,"")</f>
        <v>0.00283659538345393</v>
      </c>
      <c r="N25" s="6" t="n">
        <f aca="false">IFERROR(K25-L25,"")</f>
        <v>0</v>
      </c>
      <c r="O25" s="1" t="n">
        <f aca="false">IFERROR(N25^2,"")</f>
        <v>0</v>
      </c>
    </row>
    <row r="26" customFormat="false" ht="12" hidden="false" customHeight="true" outlineLevel="0" collapsed="false">
      <c r="C26" s="1" t="n">
        <v>2022</v>
      </c>
      <c r="D26" s="15" t="n">
        <f aca="false">'CFC data'!D28</f>
        <v>319518.707492209</v>
      </c>
      <c r="E26" s="1" t="n">
        <f aca="false">WEO_Data!C30</f>
        <v>57.208</v>
      </c>
      <c r="F26" s="1" t="n">
        <f aca="false">IFERROR(LN(D26),"")</f>
        <v>12.6745711034869</v>
      </c>
      <c r="G26" s="1" t="n">
        <f aca="false">IFERROR(LN(E26),"")</f>
        <v>4.0466937487461</v>
      </c>
      <c r="K26" s="5" t="n">
        <f aca="false">IFERROR(G26-$B$2*F26,"")</f>
        <v>-0.389406137474314</v>
      </c>
      <c r="L26" s="1" t="n">
        <f aca="false">K26</f>
        <v>-0.389406137474314</v>
      </c>
      <c r="M26" s="1" t="n">
        <f aca="false">IFERROR(L25-2*L26+L27,"")</f>
        <v>-0.0285744769255571</v>
      </c>
      <c r="N26" s="6" t="n">
        <f aca="false">IFERROR(K26-L26,"")</f>
        <v>0</v>
      </c>
      <c r="O26" s="1" t="n">
        <f aca="false">IFERROR(N26^2,"")</f>
        <v>0</v>
      </c>
    </row>
    <row r="27" customFormat="false" ht="12" hidden="false" customHeight="true" outlineLevel="0" collapsed="false">
      <c r="C27" s="1" t="n">
        <v>2023</v>
      </c>
      <c r="D27" s="15" t="n">
        <f aca="false">'CFC data'!D29</f>
        <v>326952.901535053</v>
      </c>
      <c r="E27" s="1" t="n">
        <f aca="false">WEO_Data!C31</f>
        <v>61.689</v>
      </c>
      <c r="F27" s="1" t="n">
        <f aca="false">IFERROR(LN(D27),"")</f>
        <v>12.6975714075029</v>
      </c>
      <c r="G27" s="1" t="n">
        <f aca="false">IFERROR(LN(E27),"")</f>
        <v>4.12210563300749</v>
      </c>
      <c r="K27" s="7" t="n">
        <f aca="false">IFERROR(G27-$B$2*F27,"")</f>
        <v>-0.32204435961852</v>
      </c>
      <c r="L27" s="8" t="n">
        <f aca="false">K27</f>
        <v>-0.32204435961852</v>
      </c>
      <c r="M27" s="8"/>
      <c r="N27" s="9" t="n">
        <f aca="false">IFERROR(K27-L27,"")</f>
        <v>0</v>
      </c>
      <c r="O27" s="1" t="n">
        <f aca="false">IFERROR(N27^2,"")</f>
        <v>0</v>
      </c>
    </row>
    <row r="35" customFormat="false" ht="12" hidden="false" customHeight="true" outlineLevel="0" collapsed="false">
      <c r="D35" s="1" t="s">
        <v>15</v>
      </c>
      <c r="E35" s="1" t="s">
        <v>6</v>
      </c>
      <c r="F35" s="1" t="s">
        <v>16</v>
      </c>
      <c r="G35" s="1" t="s">
        <v>17</v>
      </c>
      <c r="H35" s="1" t="s">
        <v>18</v>
      </c>
      <c r="I35" s="1" t="s">
        <v>19</v>
      </c>
      <c r="J35" s="1" t="s">
        <v>20</v>
      </c>
      <c r="K35" s="1" t="s">
        <v>21</v>
      </c>
      <c r="L35" s="1" t="s">
        <v>22</v>
      </c>
      <c r="M35" s="1" t="s">
        <v>23</v>
      </c>
      <c r="N35" s="1" t="s">
        <v>24</v>
      </c>
      <c r="O35" s="1" t="s">
        <v>25</v>
      </c>
      <c r="P35" s="1" t="s">
        <v>26</v>
      </c>
    </row>
    <row r="36" customFormat="false" ht="12" hidden="false" customHeight="true" outlineLevel="0" collapsed="false">
      <c r="C36" s="1" t="n">
        <v>2002</v>
      </c>
      <c r="D36" s="1" t="n">
        <f aca="false">IFERROR(E36/F36,"")</f>
        <v>12829.9486251134</v>
      </c>
      <c r="E36" s="15" t="n">
        <f aca="false">'CFC data'!D8</f>
        <v>240523.046875</v>
      </c>
      <c r="F36" s="1" t="n">
        <f aca="false">WEO_Data!C10</f>
        <v>18.747</v>
      </c>
      <c r="G36" s="1" t="n">
        <f aca="false">L6</f>
        <v>-1.4056661779135</v>
      </c>
      <c r="H36" s="1" t="n">
        <f aca="false">EXP(G36+$B$2*LN(E36))</f>
        <v>18.747</v>
      </c>
      <c r="I36" s="1" t="n">
        <v>0</v>
      </c>
      <c r="J36" s="1" t="n">
        <v>0</v>
      </c>
      <c r="K36" s="15" t="n">
        <f aca="false">E36+J36</f>
        <v>240523.046875</v>
      </c>
      <c r="L36" s="1" t="n">
        <f aca="false">EXP(G36+$B$2*LN(K36))</f>
        <v>18.747</v>
      </c>
      <c r="M36" s="1" t="n">
        <f aca="false">L36/H36-1</f>
        <v>0</v>
      </c>
      <c r="N36" s="1" t="n">
        <f aca="false">F36*(1+M36)</f>
        <v>18.747</v>
      </c>
    </row>
    <row r="37" customFormat="false" ht="12" hidden="false" customHeight="true" outlineLevel="0" collapsed="false">
      <c r="C37" s="1" t="n">
        <v>2003</v>
      </c>
      <c r="D37" s="1" t="n">
        <f aca="false">IFERROR(E37/F37,"")</f>
        <v>11639.9033965567</v>
      </c>
      <c r="E37" s="15" t="n">
        <f aca="false">'CFC data'!D9</f>
        <v>242715.265625</v>
      </c>
      <c r="F37" s="1" t="n">
        <f aca="false">WEO_Data!C11</f>
        <v>20.852</v>
      </c>
      <c r="G37" s="1" t="n">
        <f aca="false">L7</f>
        <v>-1.30242563420633</v>
      </c>
      <c r="H37" s="1" t="n">
        <f aca="false">EXP(G37+$B$2*LN(E37))</f>
        <v>20.852</v>
      </c>
      <c r="I37" s="1" t="n">
        <v>0</v>
      </c>
      <c r="J37" s="1" t="n">
        <v>0</v>
      </c>
      <c r="K37" s="15" t="n">
        <f aca="false">E37+J37</f>
        <v>242715.265625</v>
      </c>
      <c r="L37" s="1" t="n">
        <f aca="false">EXP(G37+$B$2*LN(K37))</f>
        <v>20.852</v>
      </c>
      <c r="M37" s="1" t="n">
        <f aca="false">L37/H37-1</f>
        <v>0</v>
      </c>
      <c r="N37" s="1" t="n">
        <f aca="false">F37*(1+M37)</f>
        <v>20.852</v>
      </c>
      <c r="O37" s="1" t="n">
        <f aca="false">IFERROR(N37/N36-1,"")</f>
        <v>0.11228463220782</v>
      </c>
      <c r="P37" s="1" t="n">
        <f aca="false">IFERROR(F37/F36-1,"")</f>
        <v>0.11228463220782</v>
      </c>
    </row>
    <row r="38" customFormat="false" ht="12" hidden="false" customHeight="true" outlineLevel="0" collapsed="false">
      <c r="C38" s="1" t="n">
        <v>2004</v>
      </c>
      <c r="D38" s="1" t="n">
        <f aca="false">IFERROR(E38/F38,"")</f>
        <v>11131.8680306876</v>
      </c>
      <c r="E38" s="15" t="n">
        <f aca="false">'CFC data'!D10</f>
        <v>245580.140625</v>
      </c>
      <c r="F38" s="1" t="n">
        <f aca="false">WEO_Data!C12</f>
        <v>22.061</v>
      </c>
      <c r="G38" s="1" t="n">
        <f aca="false">L8</f>
        <v>-1.25017117025479</v>
      </c>
      <c r="H38" s="1" t="n">
        <f aca="false">EXP(G38+$B$2*LN(E38))</f>
        <v>22.061</v>
      </c>
      <c r="I38" s="1" t="n">
        <v>0</v>
      </c>
      <c r="J38" s="1" t="n">
        <v>0</v>
      </c>
      <c r="K38" s="15" t="n">
        <f aca="false">E38+J38</f>
        <v>245580.140625</v>
      </c>
      <c r="L38" s="1" t="n">
        <f aca="false">EXP(G38+$B$2*LN(K38))</f>
        <v>22.061</v>
      </c>
      <c r="M38" s="1" t="n">
        <f aca="false">L38/H38-1</f>
        <v>0</v>
      </c>
      <c r="N38" s="1" t="n">
        <f aca="false">F38*(1+M38)</f>
        <v>22.061</v>
      </c>
      <c r="O38" s="1" t="n">
        <f aca="false">IFERROR(N38/N37-1,"")</f>
        <v>0.0579800498753118</v>
      </c>
      <c r="P38" s="1" t="n">
        <f aca="false">IFERROR(F38/F37-1,"")</f>
        <v>0.0579800498753118</v>
      </c>
    </row>
    <row r="39" customFormat="false" ht="12" hidden="false" customHeight="true" outlineLevel="0" collapsed="false">
      <c r="C39" s="1" t="n">
        <v>2005</v>
      </c>
      <c r="D39" s="1" t="n">
        <f aca="false">IFERROR(E39/F39,"")</f>
        <v>10309.7693735523</v>
      </c>
      <c r="E39" s="15" t="n">
        <f aca="false">'CFC data'!D11</f>
        <v>249248.984375</v>
      </c>
      <c r="F39" s="1" t="n">
        <f aca="false">WEO_Data!C13</f>
        <v>24.176</v>
      </c>
      <c r="G39" s="1" t="n">
        <f aca="false">L9</f>
        <v>-1.16381225905168</v>
      </c>
      <c r="H39" s="1" t="n">
        <f aca="false">EXP(G39+$B$2*LN(E39))</f>
        <v>24.176</v>
      </c>
      <c r="I39" s="1" t="n">
        <v>0</v>
      </c>
      <c r="J39" s="1" t="n">
        <v>0</v>
      </c>
      <c r="K39" s="15" t="n">
        <f aca="false">E39+J39</f>
        <v>249248.984375</v>
      </c>
      <c r="L39" s="1" t="n">
        <f aca="false">EXP(G39+$B$2*LN(K39))</f>
        <v>24.176</v>
      </c>
      <c r="M39" s="1" t="n">
        <f aca="false">L39/H39-1</f>
        <v>0</v>
      </c>
      <c r="N39" s="1" t="n">
        <f aca="false">F39*(1+M39)</f>
        <v>24.176</v>
      </c>
      <c r="O39" s="1" t="n">
        <f aca="false">IFERROR(N39/N38-1,"")</f>
        <v>0.0958705407733103</v>
      </c>
      <c r="P39" s="1" t="n">
        <f aca="false">IFERROR(F39/F38-1,"")</f>
        <v>0.0958705407733103</v>
      </c>
    </row>
    <row r="40" customFormat="false" ht="12" hidden="false" customHeight="true" outlineLevel="0" collapsed="false">
      <c r="C40" s="1" t="n">
        <v>2006</v>
      </c>
      <c r="D40" s="1" t="n">
        <f aca="false">IFERROR(E40/F40,"")</f>
        <v>9537.19959646934</v>
      </c>
      <c r="E40" s="15" t="n">
        <f aca="false">'CFC data'!D12</f>
        <v>252297.078125</v>
      </c>
      <c r="F40" s="1" t="n">
        <f aca="false">WEO_Data!C14</f>
        <v>26.454</v>
      </c>
      <c r="G40" s="1" t="n">
        <f aca="false">L10</f>
        <v>-1.07801951815855</v>
      </c>
      <c r="H40" s="1" t="n">
        <f aca="false">EXP(G40+$B$2*LN(E40))</f>
        <v>26.454</v>
      </c>
      <c r="I40" s="1" t="n">
        <v>0</v>
      </c>
      <c r="J40" s="1" t="n">
        <v>0</v>
      </c>
      <c r="K40" s="15" t="n">
        <f aca="false">E40+J40</f>
        <v>252297.078125</v>
      </c>
      <c r="L40" s="1" t="n">
        <f aca="false">EXP(G40+$B$2*LN(K40))</f>
        <v>26.454</v>
      </c>
      <c r="M40" s="1" t="n">
        <f aca="false">L40/H40-1</f>
        <v>0</v>
      </c>
      <c r="N40" s="1" t="n">
        <f aca="false">F40*(1+M40)</f>
        <v>26.454</v>
      </c>
      <c r="O40" s="1" t="n">
        <f aca="false">IFERROR(N40/N39-1,"")</f>
        <v>0.094225678358703</v>
      </c>
      <c r="P40" s="1" t="n">
        <f aca="false">IFERROR(F40/F39-1,"")</f>
        <v>0.094225678358703</v>
      </c>
    </row>
    <row r="41" customFormat="false" ht="12" hidden="false" customHeight="true" outlineLevel="0" collapsed="false">
      <c r="C41" s="1" t="n">
        <v>2007</v>
      </c>
      <c r="D41" s="1" t="n">
        <f aca="false">IFERROR(E41/F41,"")</f>
        <v>8603.94578338538</v>
      </c>
      <c r="E41" s="15" t="n">
        <f aca="false">'CFC data'!D13</f>
        <v>256234.109375</v>
      </c>
      <c r="F41" s="1" t="n">
        <f aca="false">WEO_Data!C15</f>
        <v>29.781</v>
      </c>
      <c r="G41" s="1" t="n">
        <f aca="false">L11</f>
        <v>-0.964975772085185</v>
      </c>
      <c r="H41" s="1" t="n">
        <f aca="false">EXP(G41+$B$2*LN(E41))</f>
        <v>29.781</v>
      </c>
      <c r="I41" s="1" t="n">
        <v>0</v>
      </c>
      <c r="J41" s="1" t="n">
        <v>0</v>
      </c>
      <c r="K41" s="15" t="n">
        <f aca="false">E41+J41</f>
        <v>256234.109375</v>
      </c>
      <c r="L41" s="1" t="n">
        <f aca="false">EXP(G41+$B$2*LN(K41))</f>
        <v>29.781</v>
      </c>
      <c r="M41" s="1" t="n">
        <f aca="false">L41/H41-1</f>
        <v>0</v>
      </c>
      <c r="N41" s="1" t="n">
        <f aca="false">F41*(1+M41)</f>
        <v>29.781</v>
      </c>
      <c r="O41" s="1" t="n">
        <f aca="false">IFERROR(N41/N40-1,"")</f>
        <v>0.125765479700612</v>
      </c>
      <c r="P41" s="1" t="n">
        <f aca="false">IFERROR(F41/F40-1,"")</f>
        <v>0.125765479700612</v>
      </c>
    </row>
    <row r="42" customFormat="false" ht="12" hidden="false" customHeight="true" outlineLevel="0" collapsed="false">
      <c r="C42" s="1" t="n">
        <v>2008</v>
      </c>
      <c r="D42" s="1" t="n">
        <f aca="false">IFERROR(E42/F42,"")</f>
        <v>8449.13243393876</v>
      </c>
      <c r="E42" s="15" t="n">
        <f aca="false">'CFC data'!D14</f>
        <v>257715.4375</v>
      </c>
      <c r="F42" s="1" t="n">
        <f aca="false">WEO_Data!C16</f>
        <v>30.502</v>
      </c>
      <c r="G42" s="1" t="n">
        <f aca="false">L12</f>
        <v>-0.943071699687061</v>
      </c>
      <c r="H42" s="1" t="n">
        <f aca="false">EXP(G42+$B$2*LN(E42))</f>
        <v>30.502</v>
      </c>
      <c r="I42" s="1" t="n">
        <v>0</v>
      </c>
      <c r="J42" s="1" t="n">
        <v>0</v>
      </c>
      <c r="K42" s="15" t="n">
        <f aca="false">E42+J42</f>
        <v>257715.4375</v>
      </c>
      <c r="L42" s="1" t="n">
        <f aca="false">EXP(G42+$B$2*LN(K42))</f>
        <v>30.502</v>
      </c>
      <c r="M42" s="1" t="n">
        <f aca="false">L42/H42-1</f>
        <v>0</v>
      </c>
      <c r="N42" s="1" t="n">
        <f aca="false">F42*(1+M42)</f>
        <v>30.502</v>
      </c>
      <c r="O42" s="1" t="n">
        <f aca="false">IFERROR(N42/N41-1,"")</f>
        <v>0.0242100668211276</v>
      </c>
      <c r="P42" s="1" t="n">
        <f aca="false">IFERROR(F42/F41-1,"")</f>
        <v>0.0242100668211276</v>
      </c>
    </row>
    <row r="43" customFormat="false" ht="12" hidden="false" customHeight="true" outlineLevel="0" collapsed="false">
      <c r="C43" s="1" t="n">
        <v>2009</v>
      </c>
      <c r="D43" s="1" t="n">
        <f aca="false">IFERROR(E43/F43,"")</f>
        <v>8697.29406985844</v>
      </c>
      <c r="E43" s="15" t="n">
        <f aca="false">'CFC data'!D15</f>
        <v>255596.078125</v>
      </c>
      <c r="F43" s="1" t="n">
        <f aca="false">WEO_Data!C17</f>
        <v>29.388</v>
      </c>
      <c r="G43" s="1" t="n">
        <f aca="false">L13</f>
        <v>-0.977387352391082</v>
      </c>
      <c r="H43" s="1" t="n">
        <f aca="false">EXP(G43+$B$2*LN(E43))</f>
        <v>29.388</v>
      </c>
      <c r="I43" s="1" t="n">
        <v>0</v>
      </c>
      <c r="J43" s="1" t="n">
        <v>0</v>
      </c>
      <c r="K43" s="15" t="n">
        <f aca="false">E43+J43</f>
        <v>255596.078125</v>
      </c>
      <c r="L43" s="1" t="n">
        <f aca="false">EXP(G43+$B$2*LN(K43))</f>
        <v>29.388</v>
      </c>
      <c r="M43" s="1" t="n">
        <f aca="false">L43/H43-1</f>
        <v>0</v>
      </c>
      <c r="N43" s="1" t="n">
        <f aca="false">F43*(1+M43)</f>
        <v>29.388</v>
      </c>
      <c r="O43" s="1" t="n">
        <f aca="false">IFERROR(N43/N42-1,"")</f>
        <v>-0.0365221952658841</v>
      </c>
      <c r="P43" s="1" t="n">
        <f aca="false">IFERROR(F43/F42-1,"")</f>
        <v>-0.0365221952658841</v>
      </c>
    </row>
    <row r="44" customFormat="false" ht="12" hidden="false" customHeight="true" outlineLevel="0" collapsed="false">
      <c r="C44" s="1" t="n">
        <v>2010</v>
      </c>
      <c r="D44" s="1" t="n">
        <f aca="false">IFERROR(E44/F44,"")</f>
        <v>8151.49359249714</v>
      </c>
      <c r="E44" s="15" t="n">
        <f aca="false">'CFC data'!D16</f>
        <v>256185.140625</v>
      </c>
      <c r="F44" s="1" t="n">
        <f aca="false">WEO_Data!C18</f>
        <v>31.428</v>
      </c>
      <c r="G44" s="1" t="n">
        <f aca="false">L14</f>
        <v>-0.911080268360767</v>
      </c>
      <c r="H44" s="1" t="n">
        <f aca="false">EXP(G44+$B$2*LN(E44))</f>
        <v>31.428</v>
      </c>
      <c r="I44" s="1" t="n">
        <v>0</v>
      </c>
      <c r="J44" s="1" t="n">
        <v>0</v>
      </c>
      <c r="K44" s="15" t="n">
        <f aca="false">E44+J44</f>
        <v>256185.140625</v>
      </c>
      <c r="L44" s="1" t="n">
        <f aca="false">EXP(G44+$B$2*LN(K44))</f>
        <v>31.428</v>
      </c>
      <c r="M44" s="1" t="n">
        <f aca="false">L44/H44-1</f>
        <v>0</v>
      </c>
      <c r="N44" s="1" t="n">
        <f aca="false">F44*(1+M44)</f>
        <v>31.428</v>
      </c>
      <c r="O44" s="1" t="n">
        <f aca="false">IFERROR(N44/N43-1,"")</f>
        <v>0.0694160881992649</v>
      </c>
      <c r="P44" s="1" t="n">
        <f aca="false">IFERROR(F44/F43-1,"")</f>
        <v>0.0694160881992649</v>
      </c>
    </row>
    <row r="45" customFormat="false" ht="12" hidden="false" customHeight="true" outlineLevel="0" collapsed="false">
      <c r="C45" s="1" t="n">
        <v>2011</v>
      </c>
      <c r="D45" s="1" t="n">
        <f aca="false">IFERROR(E45/F45,"")</f>
        <v>7610.38129660742</v>
      </c>
      <c r="E45" s="15" t="n">
        <f aca="false">'CFC data'!D17</f>
        <v>258197.40625</v>
      </c>
      <c r="F45" s="1" t="n">
        <f aca="false">WEO_Data!C19</f>
        <v>33.927</v>
      </c>
      <c r="G45" s="1" t="n">
        <f aca="false">L15</f>
        <v>-0.837306741585603</v>
      </c>
      <c r="H45" s="1" t="n">
        <f aca="false">EXP(G45+$B$2*LN(E45))</f>
        <v>33.927</v>
      </c>
      <c r="I45" s="1" t="n">
        <v>0</v>
      </c>
      <c r="J45" s="1" t="n">
        <v>0</v>
      </c>
      <c r="K45" s="15" t="n">
        <f aca="false">E45+J45</f>
        <v>258197.40625</v>
      </c>
      <c r="L45" s="1" t="n">
        <f aca="false">EXP(G45+$B$2*LN(K45))</f>
        <v>33.927</v>
      </c>
      <c r="M45" s="1" t="n">
        <f aca="false">L45/H45-1</f>
        <v>0</v>
      </c>
      <c r="N45" s="1" t="n">
        <f aca="false">F45*(1+M45)</f>
        <v>33.927</v>
      </c>
      <c r="O45" s="1" t="n">
        <f aca="false">IFERROR(N45/N44-1,"")</f>
        <v>0.0795150820924016</v>
      </c>
      <c r="P45" s="1" t="n">
        <f aca="false">IFERROR(F45/F44-1,"")</f>
        <v>0.0795150820924016</v>
      </c>
    </row>
    <row r="46" customFormat="false" ht="12" hidden="false" customHeight="true" outlineLevel="0" collapsed="false">
      <c r="C46" s="1" t="n">
        <v>2012</v>
      </c>
      <c r="D46" s="1" t="n">
        <f aca="false">IFERROR(E46/F46,"")</f>
        <v>7211.84127741365</v>
      </c>
      <c r="E46" s="15" t="n">
        <f aca="false">'CFC data'!D18</f>
        <v>260772.96875</v>
      </c>
      <c r="F46" s="1" t="n">
        <f aca="false">WEO_Data!C20</f>
        <v>36.159</v>
      </c>
      <c r="G46" s="1" t="n">
        <f aca="false">L16</f>
        <v>-0.777066029406844</v>
      </c>
      <c r="H46" s="1" t="n">
        <f aca="false">EXP(G46+$B$2*LN(E46))</f>
        <v>36.159</v>
      </c>
      <c r="I46" s="1" t="n">
        <v>0</v>
      </c>
      <c r="J46" s="1" t="n">
        <v>0</v>
      </c>
      <c r="K46" s="15" t="n">
        <f aca="false">E46+J46</f>
        <v>260772.96875</v>
      </c>
      <c r="L46" s="1" t="n">
        <f aca="false">EXP(G46+$B$2*LN(K46))</f>
        <v>36.159</v>
      </c>
      <c r="M46" s="1" t="n">
        <f aca="false">L46/H46-1</f>
        <v>0</v>
      </c>
      <c r="N46" s="1" t="n">
        <f aca="false">F46*(1+M46)</f>
        <v>36.159</v>
      </c>
      <c r="O46" s="1" t="n">
        <f aca="false">IFERROR(N46/N45-1,"")</f>
        <v>0.0657883101954195</v>
      </c>
      <c r="P46" s="1" t="n">
        <f aca="false">IFERROR(F46/F45-1,"")</f>
        <v>0.0657883101954195</v>
      </c>
    </row>
    <row r="47" customFormat="false" ht="12" hidden="false" customHeight="true" outlineLevel="0" collapsed="false">
      <c r="C47" s="1" t="n">
        <v>2013</v>
      </c>
      <c r="D47" s="1" t="n">
        <f aca="false">IFERROR(E47/F47,"")</f>
        <v>6890.51977837696</v>
      </c>
      <c r="E47" s="15" t="n">
        <f aca="false">'CFC data'!D19</f>
        <v>261943.109375</v>
      </c>
      <c r="F47" s="1" t="n">
        <f aca="false">WEO_Data!C21</f>
        <v>38.015</v>
      </c>
      <c r="G47" s="1" t="n">
        <f aca="false">L17</f>
        <v>-0.728578098100815</v>
      </c>
      <c r="H47" s="1" t="n">
        <f aca="false">EXP(G47+$B$2*LN(E47))</f>
        <v>38.015</v>
      </c>
      <c r="I47" s="1" t="n">
        <v>0</v>
      </c>
      <c r="J47" s="1" t="n">
        <v>0</v>
      </c>
      <c r="K47" s="15" t="n">
        <f aca="false">E47+J47</f>
        <v>261943.109375</v>
      </c>
      <c r="L47" s="1" t="n">
        <f aca="false">EXP(G47+$B$2*LN(K47))</f>
        <v>38.015</v>
      </c>
      <c r="M47" s="1" t="n">
        <f aca="false">L47/H47-1</f>
        <v>0</v>
      </c>
      <c r="N47" s="1" t="n">
        <f aca="false">F47*(1+M47)</f>
        <v>38.015</v>
      </c>
      <c r="O47" s="1" t="n">
        <f aca="false">IFERROR(N47/N46-1,"")</f>
        <v>0.0513288531209382</v>
      </c>
      <c r="P47" s="1" t="n">
        <f aca="false">IFERROR(F47/F46-1,"")</f>
        <v>0.0513288531209382</v>
      </c>
    </row>
    <row r="48" customFormat="false" ht="12" hidden="false" customHeight="true" outlineLevel="0" collapsed="false">
      <c r="C48" s="1" t="n">
        <v>2014</v>
      </c>
      <c r="D48" s="1" t="n">
        <f aca="false">IFERROR(E48/F48,"")</f>
        <v>6717.67516426586</v>
      </c>
      <c r="E48" s="15" t="n">
        <f aca="false">'CFC data'!D20</f>
        <v>265818.40625</v>
      </c>
      <c r="F48" s="1" t="n">
        <f aca="false">WEO_Data!C22</f>
        <v>39.57</v>
      </c>
      <c r="G48" s="1" t="n">
        <f aca="false">L18</f>
        <v>-0.693627779578255</v>
      </c>
      <c r="H48" s="1" t="n">
        <f aca="false">EXP(G48+$B$2*LN(E48))</f>
        <v>39.57</v>
      </c>
      <c r="I48" s="1" t="n">
        <v>0</v>
      </c>
      <c r="J48" s="1" t="n">
        <v>0</v>
      </c>
      <c r="K48" s="15" t="n">
        <f aca="false">E48+J48</f>
        <v>265818.40625</v>
      </c>
      <c r="L48" s="1" t="n">
        <f aca="false">EXP(G48+$B$2*LN(K48))</f>
        <v>39.57</v>
      </c>
      <c r="M48" s="1" t="n">
        <f aca="false">L48/H48-1</f>
        <v>0</v>
      </c>
      <c r="N48" s="1" t="n">
        <f aca="false">F48*(1+M48)</f>
        <v>39.57</v>
      </c>
      <c r="O48" s="1" t="n">
        <f aca="false">IFERROR(N48/N47-1,"")</f>
        <v>0.0409049059581743</v>
      </c>
      <c r="P48" s="1" t="n">
        <f aca="false">IFERROR(F48/F47-1,"")</f>
        <v>0.0409049059581743</v>
      </c>
    </row>
    <row r="49" customFormat="false" ht="12" hidden="false" customHeight="true" outlineLevel="0" collapsed="false">
      <c r="C49" s="1" t="n">
        <v>2015</v>
      </c>
      <c r="D49" s="1" t="n">
        <f aca="false">IFERROR(E49/F49,"")</f>
        <v>6636.96862162559</v>
      </c>
      <c r="E49" s="15" t="n">
        <f aca="false">'CFC data'!D21</f>
        <v>271425.46875</v>
      </c>
      <c r="F49" s="1" t="n">
        <f aca="false">WEO_Data!C23</f>
        <v>40.896</v>
      </c>
      <c r="G49" s="1" t="n">
        <f aca="false">L19</f>
        <v>-0.667972743678169</v>
      </c>
      <c r="H49" s="1" t="n">
        <f aca="false">EXP(G49+$B$2*LN(E49))</f>
        <v>40.896</v>
      </c>
      <c r="I49" s="1" t="n">
        <v>0</v>
      </c>
      <c r="J49" s="1" t="n">
        <v>0</v>
      </c>
      <c r="K49" s="15" t="n">
        <f aca="false">E49+J49</f>
        <v>271425.46875</v>
      </c>
      <c r="L49" s="1" t="n">
        <f aca="false">EXP(G49+$B$2*LN(K49))</f>
        <v>40.896</v>
      </c>
      <c r="M49" s="1" t="n">
        <f aca="false">L49/H49-1</f>
        <v>0</v>
      </c>
      <c r="N49" s="1" t="n">
        <f aca="false">F49*(1+M49)</f>
        <v>40.896</v>
      </c>
      <c r="O49" s="1" t="n">
        <f aca="false">IFERROR(N49/N48-1,"")</f>
        <v>0.0335102350265353</v>
      </c>
      <c r="P49" s="1" t="n">
        <f aca="false">IFERROR(F49/F48-1,"")</f>
        <v>0.0335102350265353</v>
      </c>
    </row>
    <row r="50" customFormat="false" ht="12" hidden="false" customHeight="true" outlineLevel="0" collapsed="false">
      <c r="C50" s="1" t="n">
        <v>2016</v>
      </c>
      <c r="D50" s="1" t="n">
        <f aca="false">IFERROR(E50/F50,"")</f>
        <v>6561.28196870494</v>
      </c>
      <c r="E50" s="15" t="n">
        <f aca="false">'CFC data'!D22</f>
        <v>277588.15625</v>
      </c>
      <c r="F50" s="1" t="n">
        <f aca="false">WEO_Data!C24</f>
        <v>42.307</v>
      </c>
      <c r="G50" s="1" t="n">
        <f aca="false">L20</f>
        <v>-0.641910287669969</v>
      </c>
      <c r="H50" s="1" t="n">
        <f aca="false">EXP(G50+$B$2*LN(E50))</f>
        <v>42.307</v>
      </c>
      <c r="I50" s="1" t="n">
        <v>0</v>
      </c>
      <c r="J50" s="1" t="n">
        <v>0</v>
      </c>
      <c r="K50" s="15" t="n">
        <f aca="false">E50+J50</f>
        <v>277588.15625</v>
      </c>
      <c r="L50" s="1" t="n">
        <f aca="false">EXP(G50+$B$2*LN(K50))</f>
        <v>42.307</v>
      </c>
      <c r="M50" s="1" t="n">
        <f aca="false">L50/H50-1</f>
        <v>0</v>
      </c>
      <c r="N50" s="1" t="n">
        <f aca="false">F50*(1+M50)</f>
        <v>42.307</v>
      </c>
      <c r="O50" s="1" t="n">
        <f aca="false">IFERROR(N50/N49-1,"")</f>
        <v>0.0345021517996871</v>
      </c>
      <c r="P50" s="1" t="n">
        <f aca="false">IFERROR(F50/F49-1,"")</f>
        <v>0.0345021517996871</v>
      </c>
    </row>
    <row r="51" customFormat="false" ht="12" hidden="false" customHeight="true" outlineLevel="0" collapsed="false">
      <c r="C51" s="1" t="n">
        <v>2017</v>
      </c>
      <c r="D51" s="1" t="n">
        <f aca="false">IFERROR(E51/F51,"")</f>
        <v>6376.31279501011</v>
      </c>
      <c r="E51" s="15" t="n">
        <f aca="false">'CFC data'!D23</f>
        <v>283682.15625</v>
      </c>
      <c r="F51" s="1" t="n">
        <f aca="false">WEO_Data!C25</f>
        <v>44.49</v>
      </c>
      <c r="G51" s="1" t="n">
        <f aca="false">L21</f>
        <v>-0.599198957977678</v>
      </c>
      <c r="H51" s="1" t="n">
        <f aca="false">EXP(G51+$B$2*LN(E51))</f>
        <v>44.49</v>
      </c>
      <c r="I51" s="1" t="n">
        <v>0</v>
      </c>
      <c r="J51" s="1" t="n">
        <v>0</v>
      </c>
      <c r="K51" s="15" t="n">
        <f aca="false">E51+J51</f>
        <v>283682.15625</v>
      </c>
      <c r="L51" s="1" t="n">
        <f aca="false">EXP(G51+$B$2*LN(K51))</f>
        <v>44.49</v>
      </c>
      <c r="M51" s="1" t="n">
        <f aca="false">L51/H51-1</f>
        <v>0</v>
      </c>
      <c r="N51" s="1" t="n">
        <f aca="false">F51*(1+M51)</f>
        <v>44.49</v>
      </c>
      <c r="O51" s="1" t="n">
        <f aca="false">IFERROR(N51/N50-1,"")</f>
        <v>0.0515990261658827</v>
      </c>
      <c r="P51" s="1" t="n">
        <f aca="false">IFERROR(F51/F50-1,"")</f>
        <v>0.0515990261658827</v>
      </c>
    </row>
    <row r="52" customFormat="false" ht="12" hidden="false" customHeight="true" outlineLevel="0" collapsed="false">
      <c r="C52" s="1" t="n">
        <v>2018</v>
      </c>
      <c r="D52" s="1" t="n">
        <f aca="false">IFERROR(E52/F52,"")</f>
        <v>6136.45508826584</v>
      </c>
      <c r="E52" s="15" t="n">
        <f aca="false">'CFC data'!D24</f>
        <v>289560.90625</v>
      </c>
      <c r="F52" s="1" t="n">
        <f aca="false">WEO_Data!C26</f>
        <v>47.187</v>
      </c>
      <c r="G52" s="1" t="n">
        <f aca="false">L22</f>
        <v>-0.547523897426152</v>
      </c>
      <c r="H52" s="1" t="n">
        <f aca="false">EXP(G52+$B$2*LN(E52))</f>
        <v>47.187</v>
      </c>
      <c r="I52" s="1" t="n">
        <v>0</v>
      </c>
      <c r="J52" s="1" t="n">
        <v>0</v>
      </c>
      <c r="K52" s="15" t="n">
        <f aca="false">E52+J52</f>
        <v>289560.90625</v>
      </c>
      <c r="L52" s="1" t="n">
        <f aca="false">EXP(G52+$B$2*LN(K52))</f>
        <v>47.187</v>
      </c>
      <c r="M52" s="1" t="n">
        <f aca="false">L52/H52-1</f>
        <v>0</v>
      </c>
      <c r="N52" s="1" t="n">
        <f aca="false">F52*(1+M52)</f>
        <v>47.187</v>
      </c>
      <c r="O52" s="1" t="n">
        <f aca="false">IFERROR(N52/N51-1,"")</f>
        <v>0.06062036412677</v>
      </c>
      <c r="P52" s="1" t="n">
        <f aca="false">IFERROR(F52/F51-1,"")</f>
        <v>0.06062036412677</v>
      </c>
    </row>
    <row r="53" customFormat="false" ht="12" hidden="false" customHeight="true" outlineLevel="0" collapsed="false">
      <c r="C53" s="1" t="n">
        <v>2019</v>
      </c>
      <c r="D53" s="1" t="n">
        <f aca="false">IFERROR(E53/F53,"")</f>
        <v>5997.16571813538</v>
      </c>
      <c r="E53" s="15" t="n">
        <f aca="false">'CFC data'!D25</f>
        <v>298215.0625</v>
      </c>
      <c r="F53" s="1" t="n">
        <f aca="false">WEO_Data!C27</f>
        <v>49.726</v>
      </c>
      <c r="G53" s="1" t="n">
        <f aca="false">L23</f>
        <v>-0.505421631857435</v>
      </c>
      <c r="H53" s="1" t="n">
        <f aca="false">EXP(G53+$B$2*LN(E53))</f>
        <v>49.726</v>
      </c>
      <c r="I53" s="1" t="n">
        <v>0</v>
      </c>
      <c r="J53" s="1" t="n">
        <v>0</v>
      </c>
      <c r="K53" s="15" t="n">
        <f aca="false">E53+J53</f>
        <v>298215.0625</v>
      </c>
      <c r="L53" s="1" t="n">
        <f aca="false">EXP(G53+$B$2*LN(K53))</f>
        <v>49.726</v>
      </c>
      <c r="M53" s="1" t="n">
        <f aca="false">L53/H53-1</f>
        <v>0</v>
      </c>
      <c r="N53" s="1" t="n">
        <f aca="false">F53*(1+M53)</f>
        <v>49.726</v>
      </c>
      <c r="O53" s="1" t="n">
        <f aca="false">IFERROR(N53/N52-1,"")</f>
        <v>0.0538071926589951</v>
      </c>
      <c r="P53" s="1" t="n">
        <f aca="false">IFERROR(F53/F52-1,"")</f>
        <v>0.0538071926589951</v>
      </c>
    </row>
    <row r="54" customFormat="false" ht="12" hidden="false" customHeight="true" outlineLevel="0" collapsed="false">
      <c r="C54" s="1" t="n">
        <v>2020</v>
      </c>
      <c r="D54" s="1" t="n">
        <f aca="false">IFERROR(E54/F54,"")</f>
        <v>6548.64131114626</v>
      </c>
      <c r="E54" s="15" t="n">
        <f aca="false">'CFC data'!D26</f>
        <v>305153.587816793</v>
      </c>
      <c r="F54" s="1" t="n">
        <f aca="false">WEO_Data!C28</f>
        <v>46.598</v>
      </c>
      <c r="G54" s="1" t="n">
        <f aca="false">L24</f>
        <v>-0.578442051653562</v>
      </c>
      <c r="H54" s="1" t="n">
        <f aca="false">EXP(G54+$B$2*LN(E54))</f>
        <v>46.598</v>
      </c>
      <c r="I54" s="1" t="n">
        <v>0</v>
      </c>
      <c r="J54" s="1" t="n">
        <v>0</v>
      </c>
      <c r="K54" s="15" t="n">
        <f aca="false">E54+J54</f>
        <v>305153.587816793</v>
      </c>
      <c r="L54" s="1" t="n">
        <f aca="false">EXP(G54+$B$2*LN(K54))</f>
        <v>46.598</v>
      </c>
      <c r="M54" s="1" t="n">
        <f aca="false">L54/H54-1</f>
        <v>0</v>
      </c>
      <c r="N54" s="1" t="n">
        <f aca="false">F54*(1+M54)</f>
        <v>46.598</v>
      </c>
      <c r="O54" s="1" t="n">
        <f aca="false">IFERROR(N54/N53-1,"")</f>
        <v>-0.062904717853839</v>
      </c>
      <c r="P54" s="1" t="n">
        <f aca="false">IFERROR(F54/F53-1,"")</f>
        <v>-0.062904717853839</v>
      </c>
    </row>
    <row r="55" customFormat="false" ht="12" hidden="false" customHeight="true" outlineLevel="0" collapsed="false">
      <c r="C55" s="1" t="n">
        <v>2021</v>
      </c>
      <c r="D55" s="1" t="n">
        <f aca="false">IFERROR(E55/F55,"")</f>
        <v>6056.35499371138</v>
      </c>
      <c r="E55" s="15" t="n">
        <f aca="false">'CFC data'!D27</f>
        <v>312253.550765772</v>
      </c>
      <c r="F55" s="1" t="n">
        <f aca="false">WEO_Data!C29</f>
        <v>51.558</v>
      </c>
      <c r="G55" s="1" t="n">
        <f aca="false">L25</f>
        <v>-0.485342392255665</v>
      </c>
      <c r="H55" s="1" t="n">
        <f aca="false">EXP(G55+$B$2*LN(E55))</f>
        <v>51.558</v>
      </c>
      <c r="I55" s="1" t="n">
        <v>0</v>
      </c>
      <c r="J55" s="1" t="n">
        <v>0</v>
      </c>
      <c r="K55" s="15" t="n">
        <f aca="false">E55+J55</f>
        <v>312253.550765772</v>
      </c>
      <c r="L55" s="1" t="n">
        <f aca="false">EXP(G55+$B$2*LN(K55))</f>
        <v>51.558</v>
      </c>
      <c r="M55" s="1" t="n">
        <f aca="false">L55/H55-1</f>
        <v>0</v>
      </c>
      <c r="N55" s="1" t="n">
        <f aca="false">F55*(1+M55)</f>
        <v>51.558</v>
      </c>
      <c r="O55" s="1" t="n">
        <f aca="false">IFERROR(N55/N54-1,"")</f>
        <v>0.106442336580969</v>
      </c>
      <c r="P55" s="1" t="n">
        <f aca="false">IFERROR(F55/F54-1,"")</f>
        <v>0.106442336580969</v>
      </c>
    </row>
    <row r="56" customFormat="false" ht="12" hidden="false" customHeight="true" outlineLevel="0" collapsed="false">
      <c r="C56" s="1" t="n">
        <v>2022</v>
      </c>
      <c r="D56" s="1" t="n">
        <f aca="false">IFERROR(E56/F56,"")</f>
        <v>5585.21024143842</v>
      </c>
      <c r="E56" s="15" t="n">
        <f aca="false">'CFC data'!D28</f>
        <v>319518.707492209</v>
      </c>
      <c r="F56" s="1" t="n">
        <f aca="false">WEO_Data!C30</f>
        <v>57.208</v>
      </c>
      <c r="G56" s="1" t="n">
        <f aca="false">L26</f>
        <v>-0.389406137474314</v>
      </c>
      <c r="H56" s="1" t="n">
        <f aca="false">EXP(G56+$B$2*LN(E56))</f>
        <v>57.208</v>
      </c>
      <c r="I56" s="1" t="n">
        <v>0</v>
      </c>
      <c r="J56" s="1" t="n">
        <v>0</v>
      </c>
      <c r="K56" s="15" t="n">
        <f aca="false">E56+J56</f>
        <v>319518.707492209</v>
      </c>
      <c r="L56" s="1" t="n">
        <f aca="false">EXP(G56+$B$2*LN(K56))</f>
        <v>57.208</v>
      </c>
      <c r="M56" s="1" t="n">
        <f aca="false">L56/H56-1</f>
        <v>0</v>
      </c>
      <c r="N56" s="1" t="n">
        <f aca="false">F56*(1+M56)</f>
        <v>57.208</v>
      </c>
      <c r="O56" s="1" t="n">
        <f aca="false">IFERROR(N56/N55-1,"")</f>
        <v>0.109585321385624</v>
      </c>
      <c r="P56" s="1" t="n">
        <f aca="false">IFERROR(F56/F55-1,"")</f>
        <v>0.109585321385624</v>
      </c>
    </row>
    <row r="57" customFormat="false" ht="12" hidden="false" customHeight="true" outlineLevel="0" collapsed="false">
      <c r="C57" s="1" t="n">
        <v>2023</v>
      </c>
      <c r="D57" s="1" t="n">
        <f aca="false">IFERROR(E57/F57,"")</f>
        <v>5300.01947729827</v>
      </c>
      <c r="E57" s="15" t="n">
        <f aca="false">'CFC data'!D29</f>
        <v>326952.901535053</v>
      </c>
      <c r="F57" s="1" t="n">
        <f aca="false">WEO_Data!C31</f>
        <v>61.689</v>
      </c>
      <c r="G57" s="1" t="n">
        <f aca="false">L27</f>
        <v>-0.32204435961852</v>
      </c>
      <c r="H57" s="1" t="n">
        <f aca="false">EXP(G57+$B$2*LN(E57))</f>
        <v>61.689</v>
      </c>
      <c r="I57" s="1" t="n">
        <v>0</v>
      </c>
      <c r="J57" s="1" t="n">
        <v>0</v>
      </c>
      <c r="K57" s="15" t="n">
        <f aca="false">E57+J57</f>
        <v>326952.901535053</v>
      </c>
      <c r="L57" s="1" t="n">
        <f aca="false">EXP(G57+$B$2*LN(K57))</f>
        <v>61.689</v>
      </c>
      <c r="M57" s="1" t="n">
        <f aca="false">L57/H57-1</f>
        <v>0</v>
      </c>
      <c r="N57" s="1" t="n">
        <f aca="false">F57*(1+M57)</f>
        <v>61.689</v>
      </c>
      <c r="O57" s="1" t="n">
        <f aca="false">IFERROR(N57/N56-1,"")</f>
        <v>0.0783282058453363</v>
      </c>
      <c r="P57" s="1" t="n">
        <f aca="false">IFERROR(F57/F56-1,"")</f>
        <v>0.0783282058453363</v>
      </c>
    </row>
    <row r="58" customFormat="false" ht="12" hidden="false" customHeight="true" outlineLevel="0" collapsed="false">
      <c r="C58" s="1" t="n">
        <v>2024</v>
      </c>
      <c r="D58" s="1" t="n">
        <f aca="false">IFERROR(E58/F58,"")</f>
        <v>6133.15669059291</v>
      </c>
      <c r="E58" s="16" t="n">
        <f aca="false">(AVERAGE(D49:D57))*F58</f>
        <v>414018.742398474</v>
      </c>
      <c r="F58" s="1" t="n">
        <f aca="false">WEO_Data!C32</f>
        <v>67.505</v>
      </c>
      <c r="G58" s="17" t="n">
        <f aca="false">TREND($G$36:$G$57,$C$36:$C$57,C58)</f>
        <v>-0.281383675658105</v>
      </c>
      <c r="H58" s="1" t="n">
        <f aca="false">EXP(G58+$B$2*LN(E58))</f>
        <v>69.7836406382938</v>
      </c>
      <c r="I58" s="1" t="n">
        <v>0</v>
      </c>
      <c r="J58" s="1" t="n">
        <v>0</v>
      </c>
      <c r="K58" s="15" t="n">
        <f aca="false">E58+J58</f>
        <v>414018.742398474</v>
      </c>
      <c r="L58" s="1" t="n">
        <f aca="false">EXP(G58+$B$2*LN(K58))</f>
        <v>69.7836406382938</v>
      </c>
      <c r="M58" s="1" t="n">
        <f aca="false">L58/H58-1</f>
        <v>0</v>
      </c>
      <c r="N58" s="1" t="n">
        <f aca="false">F58*(1+M58)</f>
        <v>67.505</v>
      </c>
      <c r="O58" s="1" t="n">
        <f aca="false">IFERROR(N58/N57-1,"")</f>
        <v>0.0942793690933552</v>
      </c>
      <c r="P58" s="1" t="n">
        <f aca="false">IFERROR(F58/F57-1,"")</f>
        <v>0.0942793690933552</v>
      </c>
    </row>
    <row r="59" customFormat="false" ht="12" hidden="false" customHeight="true" outlineLevel="0" collapsed="false">
      <c r="C59" s="1" t="n">
        <v>2025</v>
      </c>
      <c r="D59" s="1" t="n">
        <f aca="false">IFERROR(E59/F59,"")</f>
        <v>6133.15669059291</v>
      </c>
      <c r="E59" s="16" t="n">
        <f aca="false">(AVERAGE(D49:D57))*F59</f>
        <v>438766.029645017</v>
      </c>
      <c r="F59" s="1" t="n">
        <f aca="false">WEO_Data!C33</f>
        <v>71.54</v>
      </c>
      <c r="G59" s="17" t="n">
        <f aca="false">TREND($G$36:$G$57,$C$36:$C$57,C59)</f>
        <v>-0.23561288476516</v>
      </c>
      <c r="H59" s="1" t="n">
        <f aca="false">EXP(G59+$B$2*LN(E59))</f>
        <v>74.5514634150954</v>
      </c>
      <c r="I59" s="1" t="n">
        <v>0</v>
      </c>
      <c r="J59" s="1" t="n">
        <v>0</v>
      </c>
      <c r="K59" s="15" t="n">
        <f aca="false">E59+J59</f>
        <v>438766.029645017</v>
      </c>
      <c r="L59" s="1" t="n">
        <f aca="false">EXP(G59+$B$2*LN(K59))</f>
        <v>74.5514634150954</v>
      </c>
      <c r="M59" s="1" t="n">
        <f aca="false">L59/H59-1</f>
        <v>0</v>
      </c>
      <c r="N59" s="1" t="n">
        <f aca="false">F59*(1+M59)</f>
        <v>71.54</v>
      </c>
      <c r="O59" s="1" t="n">
        <f aca="false">IFERROR(N59/N58-1,"")</f>
        <v>0.0597733501222133</v>
      </c>
      <c r="P59" s="1" t="n">
        <f aca="false">IFERROR(F59/F58-1,"")</f>
        <v>0.0597733501222133</v>
      </c>
    </row>
    <row r="60" customFormat="false" ht="12" hidden="false" customHeight="true" outlineLevel="0" collapsed="false">
      <c r="C60" s="1" t="n">
        <v>2026</v>
      </c>
      <c r="D60" s="1" t="n">
        <f aca="false">IFERROR(E60/F60,"")</f>
        <v>6133.15669059291</v>
      </c>
      <c r="E60" s="16" t="n">
        <f aca="false">(AVERAGE(D49:D57))*F60</f>
        <v>460704.331127268</v>
      </c>
      <c r="F60" s="17" t="n">
        <f aca="false">WEO_Data!C34</f>
        <v>75.117</v>
      </c>
      <c r="G60" s="17" t="n">
        <f aca="false">TREND($G$36:$G$57,$C$36:$C$57,C60)</f>
        <v>-0.189842093872215</v>
      </c>
      <c r="H60" s="1" t="n">
        <f aca="false">EXP(G60+$B$2*LN(E60))</f>
        <v>79.3871899306858</v>
      </c>
      <c r="I60" s="18" t="n">
        <f aca="false">Investment!C2</f>
        <v>648.589313756442</v>
      </c>
      <c r="J60" s="1" t="n">
        <f aca="false">(1-$B$3)*J59+I60</f>
        <v>648.589313756442</v>
      </c>
      <c r="K60" s="15" t="n">
        <f aca="false">E60+J60</f>
        <v>461352.920441024</v>
      </c>
      <c r="L60" s="1" t="n">
        <f aca="false">EXP(G60+$B$2*LN(K60))</f>
        <v>79.4262890853597</v>
      </c>
      <c r="M60" s="1" t="n">
        <f aca="false">L60/H60-1</f>
        <v>0.000492512138394075</v>
      </c>
      <c r="N60" s="1" t="n">
        <f aca="false">F60*(1+M60)</f>
        <v>75.1539960342998</v>
      </c>
      <c r="O60" s="1" t="n">
        <f aca="false">IFERROR(N60/N59-1,"")</f>
        <v>0.0505171377453137</v>
      </c>
      <c r="P60" s="1" t="n">
        <f aca="false">IFERROR(F60/F59-1,"")</f>
        <v>0.05</v>
      </c>
    </row>
    <row r="61" customFormat="false" ht="12" hidden="false" customHeight="true" outlineLevel="0" collapsed="false">
      <c r="C61" s="1" t="n">
        <v>2027</v>
      </c>
      <c r="D61" s="1" t="n">
        <f aca="false">IFERROR(E61/F61,"")</f>
        <v>6133.15669059291</v>
      </c>
      <c r="E61" s="16" t="n">
        <f aca="false">(AVERAGE(D49:D57))*F61</f>
        <v>483740.467657135</v>
      </c>
      <c r="F61" s="17" t="n">
        <f aca="false">WEO_Data!C35</f>
        <v>78.873</v>
      </c>
      <c r="G61" s="17" t="n">
        <f aca="false">TREND($G$36:$G$57,$C$36:$C$57,C61)</f>
        <v>-0.144071302979285</v>
      </c>
      <c r="H61" s="1" t="n">
        <f aca="false">EXP(G61+$B$2*LN(E61))</f>
        <v>84.5366386036413</v>
      </c>
      <c r="I61" s="18" t="n">
        <f aca="false">Investment!C3</f>
        <v>1220.08019689654</v>
      </c>
      <c r="J61" s="1" t="n">
        <f aca="false">(1-$B$3)*J60+I61</f>
        <v>-13038992.7757653</v>
      </c>
      <c r="K61" s="15" t="n">
        <f aca="false">E61+J61</f>
        <v>-12555252.3081082</v>
      </c>
      <c r="L61" s="1" t="e">
        <f aca="false">EXP(G61+$B$2*LN(K61))</f>
        <v>#VALUE!</v>
      </c>
      <c r="M61" s="1" t="e">
        <f aca="false">L61/H61-1</f>
        <v>#VALUE!</v>
      </c>
      <c r="N61" s="1" t="e">
        <f aca="false">F61*(1+M61)</f>
        <v>#VALUE!</v>
      </c>
      <c r="O61" s="1" t="str">
        <f aca="false">IFERROR(N61/N60-1,"")</f>
        <v/>
      </c>
      <c r="P61" s="1" t="n">
        <f aca="false">IFERROR(F61/F60-1,"")</f>
        <v>0.0500019968848595</v>
      </c>
    </row>
    <row r="62" customFormat="false" ht="12" hidden="false" customHeight="true" outlineLevel="0" collapsed="false">
      <c r="C62" s="1" t="n">
        <v>2028</v>
      </c>
      <c r="D62" s="1" t="n">
        <f aca="false">IFERROR(E62/F62,"")</f>
        <v>6133.15669059291</v>
      </c>
      <c r="E62" s="16" t="n">
        <f aca="false">(AVERAGE(D49:D57))*F62</f>
        <v>507927.491039992</v>
      </c>
      <c r="F62" s="17" t="n">
        <f aca="false">WEO_Data!C36</f>
        <v>82.81665</v>
      </c>
      <c r="G62" s="17" t="n">
        <f aca="false">TREND($G$36:$G$57,$C$36:$C$57,C62)</f>
        <v>-0.0983005120863396</v>
      </c>
      <c r="H62" s="1" t="n">
        <f aca="false">EXP(G62+$B$2*LN(E62))</f>
        <v>90.0200462539832</v>
      </c>
      <c r="I62" s="18" t="n">
        <f aca="false">Investment!C4</f>
        <v>1756.17368014315</v>
      </c>
      <c r="J62" s="1" t="n">
        <f aca="false">(1-$B$3)*J61+I62</f>
        <v>262155479216.266</v>
      </c>
      <c r="K62" s="15" t="n">
        <f aca="false">E62+J62</f>
        <v>262155987143.757</v>
      </c>
      <c r="L62" s="1" t="n">
        <f aca="false">EXP(G62+$B$2*LN(K62))</f>
        <v>8990.92869213766</v>
      </c>
      <c r="M62" s="1" t="n">
        <f aca="false">L62/H62-1</f>
        <v>98.8769614800085</v>
      </c>
      <c r="N62" s="1" t="n">
        <f aca="false">F62*(1+M62)</f>
        <v>8271.47536195334</v>
      </c>
      <c r="O62" s="1" t="str">
        <f aca="false">IFERROR(N62/N61-1,"")</f>
        <v/>
      </c>
      <c r="P62" s="1" t="n">
        <f aca="false">IFERROR(F62/F61-1,"")</f>
        <v>0.05</v>
      </c>
    </row>
    <row r="63" customFormat="false" ht="12" hidden="false" customHeight="true" outlineLevel="0" collapsed="false">
      <c r="C63" s="1" t="n">
        <v>2029</v>
      </c>
      <c r="D63" s="1" t="n">
        <f aca="false">IFERROR(E63/F63,"")</f>
        <v>6133.15669059291</v>
      </c>
      <c r="E63" s="16" t="n">
        <f aca="false">(AVERAGE(D49:D57))*F63</f>
        <v>533323.865591991</v>
      </c>
      <c r="F63" s="17" t="n">
        <f aca="false">WEO_Data!C37</f>
        <v>86.9574825</v>
      </c>
      <c r="G63" s="17" t="n">
        <f aca="false">TREND($G$36:$G$57,$C$36:$C$57,C63)</f>
        <v>-0.0525297211933946</v>
      </c>
      <c r="H63" s="1" t="n">
        <f aca="false">EXP(G63+$B$2*LN(E63))</f>
        <v>95.8591311580753</v>
      </c>
      <c r="I63" s="18" t="n">
        <f aca="false">Investment!C5</f>
        <v>2221.19470098522</v>
      </c>
      <c r="J63" s="1" t="n">
        <f aca="false">(1-$B$3)*J62+I63</f>
        <v>-5270767152385114</v>
      </c>
      <c r="K63" s="15" t="n">
        <f aca="false">E63+J63</f>
        <v>-5270767151851790</v>
      </c>
      <c r="L63" s="1" t="e">
        <f aca="false">EXP(G63+$B$2*LN(K63))</f>
        <v>#VALUE!</v>
      </c>
      <c r="M63" s="1" t="e">
        <f aca="false">L63/H63-1</f>
        <v>#VALUE!</v>
      </c>
      <c r="N63" s="1" t="e">
        <f aca="false">F63*(1+M63)</f>
        <v>#VALUE!</v>
      </c>
      <c r="O63" s="1" t="str">
        <f aca="false">IFERROR(N63/N62-1,"")</f>
        <v/>
      </c>
      <c r="P63" s="1" t="n">
        <f aca="false">IFERROR(F63/F62-1,"")</f>
        <v>0.05</v>
      </c>
    </row>
    <row r="64" customFormat="false" ht="12" hidden="false" customHeight="true" outlineLevel="0" collapsed="false">
      <c r="C64" s="1" t="n">
        <v>2030</v>
      </c>
      <c r="D64" s="1" t="n">
        <f aca="false">IFERROR(E64/F64,"")</f>
        <v>6133.15669059291</v>
      </c>
      <c r="E64" s="16" t="n">
        <f aca="false">(AVERAGE(D49:D57))*F64</f>
        <v>559990.058871591</v>
      </c>
      <c r="F64" s="17" t="n">
        <f aca="false">WEO_Data!C38</f>
        <v>91.305356625</v>
      </c>
      <c r="G64" s="17" t="n">
        <f aca="false">TREND($G$36:$G$57,$C$36:$C$57,C64)</f>
        <v>-0.00675893030046382</v>
      </c>
      <c r="H64" s="1" t="n">
        <f aca="false">EXP(G64+$B$2*LN(E64))</f>
        <v>102.076964062595</v>
      </c>
      <c r="I64" s="18" t="n">
        <f aca="false">Investment!C6</f>
        <v>2122.46787645573</v>
      </c>
      <c r="J64" s="1" t="n">
        <f aca="false">(1-$B$3)*J63+I64</f>
        <v>1.05971412299781E+020</v>
      </c>
      <c r="K64" s="15" t="n">
        <f aca="false">E64+J64</f>
        <v>1.05971412299781E+020</v>
      </c>
      <c r="L64" s="1" t="n">
        <f aca="false">EXP(G64+$B$2*LN(K64))</f>
        <v>10136328.7303795</v>
      </c>
      <c r="M64" s="1" t="n">
        <f aca="false">L64/H64-1</f>
        <v>99299.8444507008</v>
      </c>
      <c r="N64" s="1" t="n">
        <f aca="false">F64*(1+M64)</f>
        <v>9066699.01573489</v>
      </c>
      <c r="O64" s="1" t="str">
        <f aca="false">IFERROR(N64/N63-1,"")</f>
        <v/>
      </c>
      <c r="P64" s="1" t="n">
        <f aca="false">IFERROR(F64/F63-1,"")</f>
        <v>0.05</v>
      </c>
    </row>
    <row r="65" customFormat="false" ht="12" hidden="false" customHeight="true" outlineLevel="0" collapsed="false">
      <c r="C65" s="1" t="n">
        <v>2031</v>
      </c>
      <c r="D65" s="1" t="n">
        <f aca="false">IFERROR(E65/F65,"")</f>
        <v>6133.15669059291</v>
      </c>
      <c r="E65" s="16" t="n">
        <f aca="false">(AVERAGE(D49:D57))*F65</f>
        <v>587989.56181517</v>
      </c>
      <c r="F65" s="17" t="n">
        <f aca="false">WEO_Data!C39</f>
        <v>95.87062445625</v>
      </c>
      <c r="G65" s="17" t="n">
        <f aca="false">TREND($G$36:$G$57,$C$36:$C$57,C65)</f>
        <v>0.0390118605924812</v>
      </c>
      <c r="H65" s="1" t="n">
        <f aca="false">EXP(G65+$B$2*LN(E65))</f>
        <v>108.698112181446</v>
      </c>
      <c r="I65" s="18" t="n">
        <f aca="false">Investment!C7</f>
        <v>1524.52458527675</v>
      </c>
      <c r="J65" s="1" t="n">
        <f aca="false">(1-$B$3)*J64+I65</f>
        <v>-2.13060829669328E+024</v>
      </c>
      <c r="K65" s="15" t="n">
        <f aca="false">E65+J65</f>
        <v>-2.13060829669328E+024</v>
      </c>
      <c r="L65" s="1" t="e">
        <f aca="false">EXP(G65+$B$2*LN(K65))</f>
        <v>#VALUE!</v>
      </c>
      <c r="M65" s="1" t="e">
        <f aca="false">L65/H65-1</f>
        <v>#VALUE!</v>
      </c>
      <c r="N65" s="1" t="e">
        <f aca="false">F65*(1+M65)</f>
        <v>#VALUE!</v>
      </c>
      <c r="O65" s="1" t="str">
        <f aca="false">IFERROR(N65/N64-1,"")</f>
        <v/>
      </c>
      <c r="P65" s="1" t="n">
        <f aca="false">IFERROR(F65/F64-1,"")</f>
        <v>0.05</v>
      </c>
    </row>
    <row r="66" customFormat="false" ht="12" hidden="false" customHeight="true" outlineLevel="0" collapsed="false">
      <c r="C66" s="1" t="n">
        <v>2032</v>
      </c>
      <c r="D66" s="1" t="n">
        <f aca="false">IFERROR(E66/F66,"")</f>
        <v>6133.15669059291</v>
      </c>
      <c r="E66" s="16" t="n">
        <f aca="false">(AVERAGE(D49:D57))*F66</f>
        <v>617389.039905929</v>
      </c>
      <c r="F66" s="17" t="n">
        <f aca="false">WEO_Data!C40</f>
        <v>100.664155679063</v>
      </c>
      <c r="G66" s="17" t="n">
        <f aca="false">TREND($G$36:$G$57,$C$36:$C$57,C66)</f>
        <v>0.0847826514854262</v>
      </c>
      <c r="H66" s="1" t="n">
        <f aca="false">EXP(G66+$B$2*LN(E66))</f>
        <v>115.748736263012</v>
      </c>
      <c r="I66" s="18" t="n">
        <f aca="false">Investment!C8</f>
        <v>738.176310559893</v>
      </c>
      <c r="J66" s="1" t="n">
        <f aca="false">(1-$B$3)*J65+I66</f>
        <v>4.28369464502044E+028</v>
      </c>
      <c r="K66" s="15" t="n">
        <f aca="false">E66+J66</f>
        <v>4.28369464502044E+028</v>
      </c>
      <c r="L66" s="1" t="n">
        <f aca="false">EXP(G66+$B$2*LN(K66))</f>
        <v>11427654842.1934</v>
      </c>
      <c r="M66" s="1" t="n">
        <f aca="false">L66/H66-1</f>
        <v>98728116.5686167</v>
      </c>
      <c r="N66" s="1" t="n">
        <f aca="false">F66*(1+M66)</f>
        <v>9938382596.82802</v>
      </c>
      <c r="O66" s="1" t="str">
        <f aca="false">IFERROR(N66/N65-1,"")</f>
        <v/>
      </c>
      <c r="P66" s="1" t="n">
        <f aca="false">IFERROR(F66/F65-1,"")</f>
        <v>0.05</v>
      </c>
    </row>
    <row r="67" customFormat="false" ht="12" hidden="false" customHeight="true" outlineLevel="0" collapsed="false">
      <c r="C67" s="1" t="n">
        <v>2033</v>
      </c>
      <c r="D67" s="1" t="n">
        <f aca="false">IFERROR(E67/F67,"")</f>
        <v>6133.15669059291</v>
      </c>
      <c r="E67" s="16" t="n">
        <f aca="false">(AVERAGE(D49:D57))*F67</f>
        <v>648258.491901225</v>
      </c>
      <c r="F67" s="17" t="n">
        <f aca="false">WEO_Data!C41</f>
        <v>105.697363463016</v>
      </c>
      <c r="G67" s="17" t="n">
        <f aca="false">TREND($G$36:$G$57,$C$36:$C$57,C67)</f>
        <v>0.130553442378357</v>
      </c>
      <c r="H67" s="1" t="n">
        <f aca="false">EXP(G67+$B$2*LN(E67))</f>
        <v>123.256693953614</v>
      </c>
      <c r="I67" s="18" t="n">
        <f aca="false">Investment!C9</f>
        <v>352.605976897002</v>
      </c>
      <c r="J67" s="1" t="n">
        <f aca="false">(1-$B$3)*J66+I67</f>
        <v>-8.61258253816818E+032</v>
      </c>
      <c r="K67" s="15" t="n">
        <f aca="false">E67+J67</f>
        <v>-8.61258253816818E+032</v>
      </c>
      <c r="L67" s="1" t="e">
        <f aca="false">EXP(G67+$B$2*LN(K67))</f>
        <v>#VALUE!</v>
      </c>
      <c r="M67" s="1" t="e">
        <f aca="false">L67/H67-1</f>
        <v>#VALUE!</v>
      </c>
      <c r="N67" s="1" t="e">
        <f aca="false">F67*(1+M67)</f>
        <v>#VALUE!</v>
      </c>
      <c r="O67" s="1" t="str">
        <f aca="false">IFERROR(N67/N66-1,"")</f>
        <v/>
      </c>
      <c r="P67" s="1" t="n">
        <f aca="false">IFERROR(F67/F66-1,"")</f>
        <v>0.05</v>
      </c>
    </row>
    <row r="68" customFormat="false" ht="12" hidden="false" customHeight="true" outlineLevel="0" collapsed="false">
      <c r="C68" s="1" t="n">
        <v>2034</v>
      </c>
      <c r="D68" s="1" t="n">
        <f aca="false">IFERROR(E68/F68,"")</f>
        <v>6133.15669059291</v>
      </c>
      <c r="E68" s="16" t="n">
        <f aca="false">(AVERAGE(D49:D57))*F68</f>
        <v>680671.416496287</v>
      </c>
      <c r="F68" s="17" t="n">
        <f aca="false">WEO_Data!C42</f>
        <v>110.982231636166</v>
      </c>
      <c r="G68" s="17" t="n">
        <f aca="false">TREND($G$36:$G$57,$C$36:$C$57,C68)</f>
        <v>0.176324233271302</v>
      </c>
      <c r="H68" s="1" t="n">
        <f aca="false">EXP(G68+$B$2*LN(E68))</f>
        <v>131.25164986557</v>
      </c>
      <c r="I68" s="1" t="n">
        <v>0</v>
      </c>
      <c r="J68" s="1" t="n">
        <f aca="false">(1-$B$3)*J67+I68</f>
        <v>1.73160283642032E+037</v>
      </c>
      <c r="K68" s="15" t="n">
        <f aca="false">E68+J68</f>
        <v>1.73160283642032E+037</v>
      </c>
      <c r="L68" s="1" t="n">
        <f aca="false">EXP(G68+$B$2*LN(K68))</f>
        <v>12883490528568.9</v>
      </c>
      <c r="M68" s="1" t="n">
        <f aca="false">L68/H68-1</f>
        <v>98158693941.2427</v>
      </c>
      <c r="N68" s="1" t="n">
        <f aca="false">F68*(1+M68)</f>
        <v>10893870908201.6</v>
      </c>
      <c r="O68" s="1" t="str">
        <f aca="false">IFERROR(N68/N67-1,"")</f>
        <v/>
      </c>
      <c r="P68" s="1" t="n">
        <f aca="false">IFERROR(F68/F67-1,"")</f>
        <v>0.05</v>
      </c>
    </row>
    <row r="69" customFormat="false" ht="12" hidden="false" customHeight="true" outlineLevel="0" collapsed="false">
      <c r="C69" s="1" t="n">
        <v>2035</v>
      </c>
      <c r="D69" s="1" t="n">
        <f aca="false">IFERROR(E69/F69,"")</f>
        <v>6133.15669059291</v>
      </c>
      <c r="E69" s="16" t="n">
        <f aca="false">(AVERAGE(D49:D57))*F69</f>
        <v>714704.987321101</v>
      </c>
      <c r="F69" s="17" t="n">
        <f aca="false">WEO_Data!C43</f>
        <v>116.531343217975</v>
      </c>
      <c r="G69" s="17" t="n">
        <f aca="false">TREND($G$36:$G$57,$C$36:$C$57,C69)</f>
        <v>0.222095024164247</v>
      </c>
      <c r="H69" s="1" t="n">
        <f aca="false">EXP(G69+$B$2*LN(E69))</f>
        <v>139.765192784721</v>
      </c>
      <c r="I69" s="1" t="n">
        <v>0</v>
      </c>
      <c r="J69" s="1" t="n">
        <f aca="false">(1-$B$3)*J68+I69</f>
        <v>-3.48147419175462E+041</v>
      </c>
      <c r="K69" s="15" t="n">
        <f aca="false">E69+J69</f>
        <v>-3.48147419175462E+041</v>
      </c>
      <c r="L69" s="1" t="e">
        <f aca="false">EXP(G69+$B$2*LN(K69))</f>
        <v>#VALUE!</v>
      </c>
      <c r="M69" s="1" t="e">
        <f aca="false">L69/H69-1</f>
        <v>#VALUE!</v>
      </c>
      <c r="N69" s="1" t="e">
        <f aca="false">F69*(1+M69)</f>
        <v>#VALUE!</v>
      </c>
      <c r="O69" s="1" t="str">
        <f aca="false">IFERROR(N69/N68-1,"")</f>
        <v/>
      </c>
      <c r="P69" s="1" t="n">
        <f aca="false">IFERROR(F69/F68-1,"")</f>
        <v>0.05</v>
      </c>
    </row>
    <row r="70" customFormat="false" ht="12" hidden="false" customHeight="true" outlineLevel="0" collapsed="false">
      <c r="C70" s="1" t="n">
        <v>2036</v>
      </c>
      <c r="D70" s="1" t="n">
        <f aca="false">IFERROR(E70/F70,"")</f>
        <v>6133.15669059291</v>
      </c>
      <c r="E70" s="16" t="n">
        <f aca="false">(AVERAGE(D49:D57))*F70</f>
        <v>750440.236687156</v>
      </c>
      <c r="F70" s="17" t="n">
        <f aca="false">WEO_Data!C44</f>
        <v>122.357910378874</v>
      </c>
      <c r="G70" s="17" t="n">
        <f aca="false">TREND($G$36:$G$57,$C$36:$C$57,C70)</f>
        <v>0.267865815057178</v>
      </c>
      <c r="H70" s="1" t="n">
        <f aca="false">EXP(G70+$B$2*LN(E70))</f>
        <v>148.830960480552</v>
      </c>
      <c r="I70" s="1" t="n">
        <v>0</v>
      </c>
      <c r="J70" s="1" t="n">
        <f aca="false">(1-$B$3)*J69+I70</f>
        <v>6.9996781553616E+045</v>
      </c>
      <c r="K70" s="15" t="n">
        <f aca="false">E70+J70</f>
        <v>6.9996781553616E+045</v>
      </c>
      <c r="L70" s="1" t="n">
        <f aca="false">EXP(G70+$B$2*LN(K70))</f>
        <v>14524793624924100</v>
      </c>
      <c r="M70" s="1" t="n">
        <f aca="false">L70/H70-1</f>
        <v>97592554519742.6</v>
      </c>
      <c r="N70" s="1" t="n">
        <f aca="false">F70*(1+M70)</f>
        <v>11941221039572100</v>
      </c>
      <c r="O70" s="1" t="str">
        <f aca="false">IFERROR(N70/N69-1,"")</f>
        <v/>
      </c>
      <c r="P70" s="1" t="n">
        <f aca="false">IFERROR(F70/F69-1,"")</f>
        <v>0.05</v>
      </c>
    </row>
    <row r="71" customFormat="false" ht="12" hidden="false" customHeight="true" outlineLevel="0" collapsed="false">
      <c r="C71" s="1" t="n">
        <v>2037</v>
      </c>
      <c r="D71" s="1" t="n">
        <f aca="false">IFERROR(E71/F71,"")</f>
        <v>6133.15669059291</v>
      </c>
      <c r="E71" s="16" t="n">
        <f aca="false">(AVERAGE(D49:D57))*F71</f>
        <v>787962.248521514</v>
      </c>
      <c r="F71" s="17" t="n">
        <f aca="false">WEO_Data!C45</f>
        <v>128.475805897817</v>
      </c>
      <c r="G71" s="17" t="n">
        <f aca="false">TREND($G$36:$G$57,$C$36:$C$57,C71)</f>
        <v>0.313636605950123</v>
      </c>
      <c r="H71" s="1" t="n">
        <f aca="false">EXP(G71+$B$2*LN(E71))</f>
        <v>158.484772612037</v>
      </c>
      <c r="I71" s="1" t="n">
        <v>0</v>
      </c>
      <c r="J71" s="1" t="n">
        <f aca="false">(1-$B$3)*J70+I71</f>
        <v>-1.40732033558328E+050</v>
      </c>
      <c r="K71" s="15" t="n">
        <f aca="false">E71+J71</f>
        <v>-1.40732033558328E+050</v>
      </c>
      <c r="L71" s="1" t="e">
        <f aca="false">EXP(G71+$B$2*LN(K71))</f>
        <v>#VALUE!</v>
      </c>
      <c r="M71" s="1" t="e">
        <f aca="false">L71/H71-1</f>
        <v>#VALUE!</v>
      </c>
      <c r="N71" s="1" t="e">
        <f aca="false">F71*(1+M71)</f>
        <v>#VALUE!</v>
      </c>
      <c r="O71" s="1" t="str">
        <f aca="false">IFERROR(N71/N70-1,"")</f>
        <v/>
      </c>
      <c r="P71" s="1" t="n">
        <f aca="false">IFERROR(F71/F70-1,"")</f>
        <v>0.05</v>
      </c>
    </row>
    <row r="72" customFormat="false" ht="12" hidden="false" customHeight="true" outlineLevel="0" collapsed="false">
      <c r="C72" s="1" t="n">
        <v>2038</v>
      </c>
      <c r="D72" s="1" t="n">
        <f aca="false">IFERROR(E72/F72,"")</f>
        <v>6133.15669059291</v>
      </c>
      <c r="E72" s="16" t="n">
        <f aca="false">(AVERAGE(D49:D57))*F72</f>
        <v>827360.36094759</v>
      </c>
      <c r="F72" s="17" t="n">
        <f aca="false">WEO_Data!C46</f>
        <v>134.899596192708</v>
      </c>
      <c r="G72" s="17" t="n">
        <f aca="false">TREND($G$36:$G$57,$C$36:$C$57,C72)</f>
        <v>0.359407396843054</v>
      </c>
      <c r="H72" s="1" t="n">
        <f aca="false">EXP(G72+$B$2*LN(E72))</f>
        <v>168.764772254297</v>
      </c>
      <c r="I72" s="1" t="n">
        <v>0</v>
      </c>
      <c r="J72" s="1" t="n">
        <f aca="false">(1-$B$3)*J71+I72</f>
        <v>2.82948798928587E+054</v>
      </c>
      <c r="K72" s="15" t="n">
        <f aca="false">E72+J72</f>
        <v>2.82948798928587E+054</v>
      </c>
      <c r="L72" s="1" t="n">
        <f aca="false">EXP(G72+$B$2*LN(K72))</f>
        <v>1.63751919077222E+019</v>
      </c>
      <c r="M72" s="1" t="n">
        <f aca="false">L72/H72-1</f>
        <v>97029680359167900</v>
      </c>
      <c r="N72" s="1" t="n">
        <f aca="false">F72*(1+M72)</f>
        <v>1.30892646991593E+019</v>
      </c>
      <c r="O72" s="1" t="str">
        <f aca="false">IFERROR(N72/N71-1,"")</f>
        <v/>
      </c>
      <c r="P72" s="1" t="n">
        <f aca="false">IFERROR(F72/F71-1,"")</f>
        <v>0.05</v>
      </c>
    </row>
    <row r="73" customFormat="false" ht="12" hidden="false" customHeight="true" outlineLevel="0" collapsed="false">
      <c r="C73" s="1" t="n">
        <v>2039</v>
      </c>
      <c r="D73" s="1" t="n">
        <f aca="false">IFERROR(E73/F73,"")</f>
        <v>6133.15669059291</v>
      </c>
      <c r="E73" s="16" t="n">
        <f aca="false">(AVERAGE(D49:D57))*F73</f>
        <v>868728.378994969</v>
      </c>
      <c r="F73" s="17" t="n">
        <f aca="false">WEO_Data!C47</f>
        <v>141.644576002343</v>
      </c>
      <c r="G73" s="17" t="n">
        <f aca="false">TREND($G$36:$G$57,$C$36:$C$57,C73)</f>
        <v>0.405178187735999</v>
      </c>
      <c r="H73" s="1" t="n">
        <f aca="false">EXP(G73+$B$2*LN(E73))</f>
        <v>179.711576605323</v>
      </c>
      <c r="I73" s="1" t="n">
        <v>0</v>
      </c>
      <c r="J73" s="1" t="n">
        <f aca="false">(1-$B$3)*J72+I73</f>
        <v>-5.68882725495103E+058</v>
      </c>
      <c r="K73" s="15" t="n">
        <f aca="false">E73+J73</f>
        <v>-5.68882725495103E+058</v>
      </c>
      <c r="L73" s="1" t="e">
        <f aca="false">EXP(G73+$B$2*LN(K73))</f>
        <v>#VALUE!</v>
      </c>
      <c r="M73" s="1" t="e">
        <f aca="false">L73/H73-1</f>
        <v>#VALUE!</v>
      </c>
      <c r="N73" s="1" t="e">
        <f aca="false">F73*(1+M73)</f>
        <v>#VALUE!</v>
      </c>
      <c r="O73" s="1" t="str">
        <f aca="false">IFERROR(N73/N72-1,"")</f>
        <v/>
      </c>
      <c r="P73" s="1" t="n">
        <f aca="false">IFERROR(F73/F72-1,"")</f>
        <v>0.05</v>
      </c>
    </row>
    <row r="74" customFormat="false" ht="12" hidden="false" customHeight="true" outlineLevel="0" collapsed="false">
      <c r="C74" s="1" t="n">
        <v>2040</v>
      </c>
      <c r="D74" s="1" t="n">
        <f aca="false">IFERROR(E74/F74,"")</f>
        <v>6133.15669059291</v>
      </c>
      <c r="E74" s="16" t="n">
        <f aca="false">(AVERAGE(D49:D57))*F74</f>
        <v>912164.797944717</v>
      </c>
      <c r="F74" s="17" t="n">
        <f aca="false">WEO_Data!C48</f>
        <v>148.726804802461</v>
      </c>
      <c r="G74" s="17" t="n">
        <f aca="false">TREND($G$36:$G$57,$C$36:$C$57,C74)</f>
        <v>0.450948978628944</v>
      </c>
      <c r="H74" s="1" t="n">
        <f aca="false">EXP(G74+$B$2*LN(E74))</f>
        <v>191.368437468136</v>
      </c>
      <c r="I74" s="1" t="n">
        <v>0</v>
      </c>
      <c r="J74" s="1" t="n">
        <f aca="false">(1-$B$3)*J73+I74</f>
        <v>1.14376719955053E+063</v>
      </c>
      <c r="K74" s="15" t="n">
        <f aca="false">E74+J74</f>
        <v>1.14376719955053E+063</v>
      </c>
      <c r="L74" s="1" t="n">
        <f aca="false">EXP(G74+$B$2*LN(K74))</f>
        <v>1.8461323233853E+022</v>
      </c>
      <c r="M74" s="1" t="n">
        <f aca="false">L74/H74-1</f>
        <v>9.64700526278108E+019</v>
      </c>
      <c r="N74" s="1" t="n">
        <f aca="false">F74*(1+M74)</f>
        <v>1.43476826864595E+022</v>
      </c>
      <c r="O74" s="1" t="str">
        <f aca="false">IFERROR(N74/N73-1,"")</f>
        <v/>
      </c>
      <c r="P74" s="1" t="n">
        <f aca="false">IFERROR(F74/F73-1,"")</f>
        <v>0.05</v>
      </c>
    </row>
    <row r="75" customFormat="false" ht="12" hidden="false" customHeight="true" outlineLevel="0" collapsed="false">
      <c r="C75" s="1" t="n">
        <v>2041</v>
      </c>
      <c r="D75" s="1" t="n">
        <f aca="false">IFERROR(E75/F75,"")</f>
        <v>6133.15669059291</v>
      </c>
      <c r="E75" s="16" t="n">
        <f aca="false">(AVERAGE(D49:D57))*F75</f>
        <v>957773.037841953</v>
      </c>
      <c r="F75" s="17" t="n">
        <f aca="false">WEO_Data!C49</f>
        <v>156.163145042584</v>
      </c>
      <c r="G75" s="17" t="n">
        <f aca="false">TREND($G$36:$G$57,$C$36:$C$57,C75)</f>
        <v>0.496719769521874</v>
      </c>
      <c r="H75" s="1" t="n">
        <f aca="false">EXP(G75+$B$2*LN(E75))</f>
        <v>203.781412142543</v>
      </c>
      <c r="I75" s="1" t="n">
        <v>0</v>
      </c>
      <c r="J75" s="1" t="n">
        <f aca="false">(1-$B$3)*J74+I75</f>
        <v>-2.29960121504679E+067</v>
      </c>
      <c r="K75" s="15" t="n">
        <f aca="false">E75+J75</f>
        <v>-2.29960121504679E+067</v>
      </c>
      <c r="L75" s="1" t="e">
        <f aca="false">EXP(G75+$B$2*LN(K75))</f>
        <v>#VALUE!</v>
      </c>
      <c r="M75" s="1" t="e">
        <f aca="false">L75/H75-1</f>
        <v>#VALUE!</v>
      </c>
      <c r="N75" s="1" t="e">
        <f aca="false">F75*(1+M75)</f>
        <v>#VALUE!</v>
      </c>
      <c r="O75" s="1" t="str">
        <f aca="false">IFERROR(N75/N74-1,"")</f>
        <v/>
      </c>
      <c r="P75" s="1" t="n">
        <f aca="false">IFERROR(F75/F74-1,"")</f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19" customFormat="true" ht="36.75" hidden="false" customHeight="true" outlineLevel="0" collapsed="false">
      <c r="B1" s="20" t="s">
        <v>27</v>
      </c>
      <c r="C1" s="20" t="s">
        <v>28</v>
      </c>
    </row>
    <row r="2" customFormat="false" ht="12" hidden="false" customHeight="true" outlineLevel="0" collapsed="false">
      <c r="B2" s="21" t="n">
        <v>2026</v>
      </c>
      <c r="C2" s="1" t="n">
        <v>648.589313756442</v>
      </c>
    </row>
    <row r="3" customFormat="false" ht="12" hidden="false" customHeight="true" outlineLevel="0" collapsed="false">
      <c r="B3" s="21" t="n">
        <v>2027</v>
      </c>
      <c r="C3" s="1" t="n">
        <v>1220.08019689654</v>
      </c>
    </row>
    <row r="4" customFormat="false" ht="12" hidden="false" customHeight="true" outlineLevel="0" collapsed="false">
      <c r="B4" s="21" t="n">
        <v>2028</v>
      </c>
      <c r="C4" s="1" t="n">
        <v>1756.17368014315</v>
      </c>
    </row>
    <row r="5" customFormat="false" ht="12" hidden="false" customHeight="true" outlineLevel="0" collapsed="false">
      <c r="B5" s="21" t="n">
        <v>2029</v>
      </c>
      <c r="C5" s="1" t="n">
        <v>2221.19470098522</v>
      </c>
    </row>
    <row r="6" customFormat="false" ht="12" hidden="false" customHeight="true" outlineLevel="0" collapsed="false">
      <c r="B6" s="21" t="n">
        <v>2030</v>
      </c>
      <c r="C6" s="1" t="n">
        <v>2122.46787645573</v>
      </c>
    </row>
    <row r="7" customFormat="false" ht="12" hidden="false" customHeight="true" outlineLevel="0" collapsed="false">
      <c r="B7" s="21" t="n">
        <v>2031</v>
      </c>
      <c r="C7" s="1" t="n">
        <v>1524.52458527675</v>
      </c>
    </row>
    <row r="8" customFormat="false" ht="12" hidden="false" customHeight="true" outlineLevel="0" collapsed="false">
      <c r="B8" s="21" t="n">
        <v>2032</v>
      </c>
      <c r="C8" s="1" t="n">
        <v>738.176310559893</v>
      </c>
    </row>
    <row r="9" customFormat="false" ht="12" hidden="false" customHeight="true" outlineLevel="0" collapsed="false">
      <c r="B9" s="21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customFormat="false" ht="12" hidden="false" customHeight="true" outlineLevel="0" collapsed="false">
      <c r="A2" s="22" t="n">
        <v>35430</v>
      </c>
      <c r="B2" s="1" t="n">
        <v>1996</v>
      </c>
      <c r="C2" s="1" t="n">
        <v>304515091.7602</v>
      </c>
      <c r="D2" s="15" t="n">
        <f aca="false">PWT!B8</f>
        <v>242089.6875</v>
      </c>
      <c r="E2" s="1" t="n">
        <f aca="false">IFERROR(C2/D2,"")</f>
        <v>1257.86065034348</v>
      </c>
    </row>
    <row r="3" customFormat="false" ht="12" hidden="false" customHeight="true" outlineLevel="0" collapsed="false">
      <c r="A3" s="22" t="n">
        <v>35795</v>
      </c>
      <c r="B3" s="1" t="n">
        <v>1997</v>
      </c>
      <c r="C3" s="1" t="n">
        <v>383641663.608596</v>
      </c>
      <c r="D3" s="15" t="n">
        <f aca="false">PWT!B9</f>
        <v>239425.359375</v>
      </c>
      <c r="E3" s="1" t="n">
        <f aca="false">IFERROR(C3/D3,"")</f>
        <v>1602.34348028154</v>
      </c>
    </row>
    <row r="4" customFormat="false" ht="12" hidden="false" customHeight="true" outlineLevel="0" collapsed="false">
      <c r="A4" s="22" t="n">
        <v>36160</v>
      </c>
      <c r="B4" s="1" t="n">
        <v>1998</v>
      </c>
      <c r="C4" s="1" t="n">
        <v>516397121.222809</v>
      </c>
      <c r="D4" s="15" t="n">
        <f aca="false">PWT!B10</f>
        <v>239121.890625</v>
      </c>
      <c r="E4" s="1" t="n">
        <f aca="false">IFERROR(C4/D4,"")</f>
        <v>2159.55603175053</v>
      </c>
    </row>
    <row r="5" customFormat="false" ht="12" hidden="false" customHeight="true" outlineLevel="0" collapsed="false">
      <c r="A5" s="22" t="n">
        <v>36525</v>
      </c>
      <c r="B5" s="1" t="n">
        <v>1999</v>
      </c>
      <c r="C5" s="1" t="n">
        <v>661603834.429231</v>
      </c>
      <c r="D5" s="15" t="n">
        <f aca="false">PWT!B11</f>
        <v>239199.265625</v>
      </c>
      <c r="E5" s="1" t="n">
        <f aca="false">IFERROR(C5/D5,"")</f>
        <v>2765.9108095526</v>
      </c>
    </row>
    <row r="6" customFormat="false" ht="12" hidden="false" customHeight="true" outlineLevel="0" collapsed="false">
      <c r="A6" s="22" t="n">
        <v>36891</v>
      </c>
      <c r="B6" s="1" t="n">
        <v>2000</v>
      </c>
      <c r="C6" s="1" t="n">
        <v>631701000.88782</v>
      </c>
      <c r="D6" s="15" t="n">
        <f aca="false">PWT!B12</f>
        <v>239171.609375</v>
      </c>
      <c r="E6" s="1" t="n">
        <f aca="false">IFERROR(C6/D6,"")</f>
        <v>2641.20395618264</v>
      </c>
    </row>
    <row r="7" customFormat="false" ht="12" hidden="false" customHeight="true" outlineLevel="0" collapsed="false">
      <c r="A7" s="22" t="n">
        <v>37256</v>
      </c>
      <c r="B7" s="1" t="n">
        <v>2001</v>
      </c>
      <c r="C7" s="1" t="n">
        <v>706983726.789065</v>
      </c>
      <c r="D7" s="15" t="n">
        <f aca="false">PWT!B13</f>
        <v>240066.265625</v>
      </c>
      <c r="E7" s="1" t="n">
        <f aca="false">IFERROR(C7/D7,"")</f>
        <v>2944.95240698842</v>
      </c>
    </row>
    <row r="8" customFormat="false" ht="12" hidden="false" customHeight="true" outlineLevel="0" collapsed="false">
      <c r="A8" s="22" t="n">
        <v>37621</v>
      </c>
      <c r="B8" s="1" t="n">
        <v>2002</v>
      </c>
      <c r="C8" s="1" t="n">
        <v>790112565.198609</v>
      </c>
      <c r="D8" s="15" t="n">
        <f aca="false">PWT!B14</f>
        <v>240523.046875</v>
      </c>
      <c r="E8" s="1" t="n">
        <f aca="false">IFERROR(C8/D8,"")</f>
        <v>3284.97653536391</v>
      </c>
    </row>
    <row r="9" customFormat="false" ht="12" hidden="false" customHeight="true" outlineLevel="0" collapsed="false">
      <c r="A9" s="22" t="n">
        <v>37986</v>
      </c>
      <c r="B9" s="1" t="n">
        <v>2003</v>
      </c>
      <c r="C9" s="1" t="n">
        <v>932916219.671159</v>
      </c>
      <c r="D9" s="15" t="n">
        <f aca="false">PWT!B15</f>
        <v>242715.265625</v>
      </c>
      <c r="E9" s="1" t="n">
        <f aca="false">IFERROR(C9/D9,"")</f>
        <v>3843.66519867989</v>
      </c>
    </row>
    <row r="10" customFormat="false" ht="12" hidden="false" customHeight="true" outlineLevel="0" collapsed="false">
      <c r="A10" s="22" t="n">
        <v>38352</v>
      </c>
      <c r="B10" s="1" t="n">
        <v>2004</v>
      </c>
      <c r="C10" s="1" t="n">
        <v>976818537.799271</v>
      </c>
      <c r="D10" s="15" t="n">
        <f aca="false">PWT!B16</f>
        <v>245580.140625</v>
      </c>
      <c r="E10" s="1" t="n">
        <f aca="false">IFERROR(C10/D10,"")</f>
        <v>3977.59580767921</v>
      </c>
    </row>
    <row r="11" customFormat="false" ht="12" hidden="false" customHeight="true" outlineLevel="0" collapsed="false">
      <c r="A11" s="22" t="n">
        <v>38717</v>
      </c>
      <c r="B11" s="1" t="n">
        <v>2005</v>
      </c>
      <c r="C11" s="1" t="n">
        <v>1113450058.59263</v>
      </c>
      <c r="D11" s="15" t="n">
        <f aca="false">PWT!B17</f>
        <v>249248.984375</v>
      </c>
      <c r="E11" s="1" t="n">
        <f aca="false">IFERROR(C11/D11,"")</f>
        <v>4467.22004257968</v>
      </c>
    </row>
    <row r="12" customFormat="false" ht="12" hidden="false" customHeight="true" outlineLevel="0" collapsed="false">
      <c r="A12" s="22" t="n">
        <v>39082</v>
      </c>
      <c r="B12" s="1" t="n">
        <v>2006</v>
      </c>
      <c r="C12" s="1" t="n">
        <v>1306373084.13224</v>
      </c>
      <c r="D12" s="15" t="n">
        <f aca="false">PWT!B18</f>
        <v>252297.078125</v>
      </c>
      <c r="E12" s="1" t="n">
        <f aca="false">IFERROR(C12/D12,"")</f>
        <v>5177.91602598347</v>
      </c>
    </row>
    <row r="13" customFormat="false" ht="12" hidden="false" customHeight="true" outlineLevel="0" collapsed="false">
      <c r="A13" s="22" t="n">
        <v>39447</v>
      </c>
      <c r="B13" s="1" t="n">
        <v>2007</v>
      </c>
      <c r="C13" s="1" t="n">
        <v>1617029966.25711</v>
      </c>
      <c r="D13" s="15" t="n">
        <f aca="false">PWT!B19</f>
        <v>256234.109375</v>
      </c>
      <c r="E13" s="1" t="n">
        <f aca="false">IFERROR(C13/D13,"")</f>
        <v>6310.75218752621</v>
      </c>
    </row>
    <row r="14" customFormat="false" ht="12" hidden="false" customHeight="true" outlineLevel="0" collapsed="false">
      <c r="A14" s="22" t="n">
        <v>39813</v>
      </c>
      <c r="B14" s="1" t="n">
        <v>2008</v>
      </c>
      <c r="C14" s="1" t="n">
        <v>1758049267.6717</v>
      </c>
      <c r="D14" s="15" t="n">
        <f aca="false">PWT!B20</f>
        <v>257715.4375</v>
      </c>
      <c r="E14" s="1" t="n">
        <f aca="false">IFERROR(C14/D14,"")</f>
        <v>6821.66844456766</v>
      </c>
    </row>
    <row r="15" customFormat="false" ht="12" hidden="false" customHeight="true" outlineLevel="0" collapsed="false">
      <c r="A15" s="22" t="n">
        <v>40178</v>
      </c>
      <c r="B15" s="1" t="n">
        <v>2009</v>
      </c>
      <c r="C15" s="1" t="n">
        <v>1751366684.88131</v>
      </c>
      <c r="D15" s="15" t="n">
        <f aca="false">PWT!B21</f>
        <v>255596.078125</v>
      </c>
      <c r="E15" s="1" t="n">
        <f aca="false">IFERROR(C15/D15,"")</f>
        <v>6852.08747226864</v>
      </c>
    </row>
    <row r="16" customFormat="false" ht="12" hidden="false" customHeight="true" outlineLevel="0" collapsed="false">
      <c r="A16" s="22" t="n">
        <v>40543</v>
      </c>
      <c r="B16" s="1" t="n">
        <v>2010</v>
      </c>
      <c r="C16" s="1" t="n">
        <v>2046413234.66733</v>
      </c>
      <c r="D16" s="15" t="n">
        <f aca="false">PWT!B22</f>
        <v>256185.140625</v>
      </c>
      <c r="E16" s="1" t="n">
        <f aca="false">IFERROR(C16/D16,"")</f>
        <v>7988.02471398152</v>
      </c>
    </row>
    <row r="17" customFormat="false" ht="12" hidden="false" customHeight="true" outlineLevel="0" collapsed="false">
      <c r="A17" s="22" t="n">
        <v>40908</v>
      </c>
      <c r="B17" s="1" t="n">
        <v>2011</v>
      </c>
      <c r="C17" s="1" t="n">
        <v>2350512405.90543</v>
      </c>
      <c r="D17" s="15" t="n">
        <f aca="false">PWT!B23</f>
        <v>258197.40625</v>
      </c>
      <c r="E17" s="1" t="n">
        <f aca="false">IFERROR(C17/D17,"")</f>
        <v>9103.5477081034</v>
      </c>
    </row>
    <row r="18" customFormat="false" ht="12" hidden="false" customHeight="true" outlineLevel="0" collapsed="false">
      <c r="A18" s="22" t="n">
        <v>41274</v>
      </c>
      <c r="B18" s="1" t="n">
        <v>2012</v>
      </c>
      <c r="C18" s="1" t="n">
        <v>2643602887.96874</v>
      </c>
      <c r="D18" s="15" t="n">
        <f aca="false">PWT!B24</f>
        <v>260772.96875</v>
      </c>
      <c r="E18" s="1" t="n">
        <f aca="false">IFERROR(C18/D18,"")</f>
        <v>10137.56487354</v>
      </c>
    </row>
    <row r="19" customFormat="false" ht="12" hidden="false" customHeight="true" outlineLevel="0" collapsed="false">
      <c r="A19" s="22" t="n">
        <v>41639</v>
      </c>
      <c r="B19" s="1" t="n">
        <v>2013</v>
      </c>
      <c r="C19" s="1" t="n">
        <v>1555932152.31816</v>
      </c>
      <c r="D19" s="15" t="n">
        <f aca="false">PWT!B25</f>
        <v>261943.109375</v>
      </c>
      <c r="E19" s="1" t="n">
        <f aca="false">IFERROR(C19/D19,"")</f>
        <v>5939.96213922419</v>
      </c>
    </row>
    <row r="20" customFormat="false" ht="12" hidden="false" customHeight="true" outlineLevel="0" collapsed="false">
      <c r="A20" s="22" t="n">
        <v>42004</v>
      </c>
      <c r="B20" s="1" t="n">
        <v>2014</v>
      </c>
      <c r="C20" s="1" t="n">
        <v>2984890468.6878</v>
      </c>
      <c r="D20" s="15" t="n">
        <f aca="false">PWT!B26</f>
        <v>265818.40625</v>
      </c>
      <c r="E20" s="1" t="n">
        <f aca="false">IFERROR(C20/D20,"")</f>
        <v>11229.0586298999</v>
      </c>
    </row>
    <row r="21" customFormat="false" ht="12" hidden="false" customHeight="true" outlineLevel="0" collapsed="false">
      <c r="A21" s="22" t="n">
        <v>42369</v>
      </c>
      <c r="B21" s="1" t="n">
        <v>2015</v>
      </c>
      <c r="C21" s="1" t="n">
        <v>3657280672.54249</v>
      </c>
      <c r="D21" s="15" t="n">
        <f aca="false">PWT!B27</f>
        <v>271425.46875</v>
      </c>
      <c r="E21" s="1" t="n">
        <f aca="false">IFERROR(C21/D21,"")</f>
        <v>13474.3459756574</v>
      </c>
    </row>
    <row r="22" customFormat="false" ht="12" hidden="false" customHeight="true" outlineLevel="0" collapsed="false">
      <c r="A22" s="22" t="n">
        <v>42735</v>
      </c>
      <c r="B22" s="1" t="n">
        <v>2016</v>
      </c>
      <c r="C22" s="1" t="n">
        <v>4004828719.85304</v>
      </c>
      <c r="D22" s="15" t="n">
        <f aca="false">PWT!B28</f>
        <v>277588.15625</v>
      </c>
      <c r="E22" s="1" t="n">
        <f aca="false">IFERROR(C22/D22,"")</f>
        <v>14427.2319610287</v>
      </c>
    </row>
    <row r="23" customFormat="false" ht="12" hidden="false" customHeight="true" outlineLevel="0" collapsed="false">
      <c r="A23" s="22" t="n">
        <v>43100</v>
      </c>
      <c r="B23" s="1" t="n">
        <v>2017</v>
      </c>
      <c r="C23" s="1" t="n">
        <v>4492921334.90825</v>
      </c>
      <c r="D23" s="15" t="n">
        <f aca="false">PWT!B29</f>
        <v>283682.15625</v>
      </c>
      <c r="E23" s="1" t="n">
        <f aca="false">IFERROR(C23/D23,"")</f>
        <v>15837.8707857423</v>
      </c>
    </row>
    <row r="24" customFormat="false" ht="12" hidden="false" customHeight="true" outlineLevel="0" collapsed="false">
      <c r="A24" s="22" t="n">
        <v>43465</v>
      </c>
      <c r="B24" s="1" t="n">
        <v>2018</v>
      </c>
      <c r="C24" s="1" t="n">
        <v>4843616440.28627</v>
      </c>
      <c r="D24" s="15" t="n">
        <f aca="false">PWT!B30</f>
        <v>289560.90625</v>
      </c>
      <c r="E24" s="1" t="n">
        <f aca="false">IFERROR(C24/D24,"")</f>
        <v>16727.4529666805</v>
      </c>
    </row>
    <row r="25" customFormat="false" ht="12" hidden="false" customHeight="true" outlineLevel="0" collapsed="false">
      <c r="A25" s="22" t="n">
        <v>43830</v>
      </c>
      <c r="B25" s="1" t="n">
        <v>2019</v>
      </c>
      <c r="C25" s="1" t="n">
        <v>5452957379.35004</v>
      </c>
      <c r="D25" s="15" t="n">
        <f aca="false">PWT!B31</f>
        <v>298215.0625</v>
      </c>
      <c r="E25" s="1" t="n">
        <f aca="false">IFERROR(C25/D25,"")</f>
        <v>18285.3184330689</v>
      </c>
    </row>
    <row r="26" customFormat="false" ht="12" hidden="false" customHeight="true" outlineLevel="0" collapsed="false">
      <c r="A26" s="22" t="n">
        <v>44196</v>
      </c>
      <c r="B26" s="1" t="n">
        <v>2020</v>
      </c>
      <c r="C26" s="1" t="n">
        <v>6152769261.61805</v>
      </c>
      <c r="D26" s="15" t="n">
        <f aca="false">PWT!B32</f>
        <v>305153.587816793</v>
      </c>
      <c r="E26" s="1" t="n">
        <f aca="false">IFERROR(C26/D26,"")</f>
        <v>20162.8606290942</v>
      </c>
    </row>
    <row r="27" customFormat="false" ht="12" hidden="false" customHeight="true" outlineLevel="0" collapsed="false">
      <c r="A27" s="22" t="n">
        <v>44561</v>
      </c>
      <c r="B27" s="1" t="n">
        <v>2021</v>
      </c>
      <c r="C27" s="1" t="n">
        <v>7072625348.89823</v>
      </c>
      <c r="D27" s="15" t="n">
        <f aca="false">PWT!B33</f>
        <v>312253.550765772</v>
      </c>
      <c r="E27" s="1" t="n">
        <f aca="false">IFERROR(C27/D27,"")</f>
        <v>22650.263965144</v>
      </c>
    </row>
    <row r="28" customFormat="false" ht="12" hidden="false" customHeight="true" outlineLevel="0" collapsed="false">
      <c r="A28" s="22" t="n">
        <v>44926</v>
      </c>
      <c r="B28" s="1" t="n">
        <v>2022</v>
      </c>
      <c r="C28" s="1" t="n">
        <v>7661448474.88107</v>
      </c>
      <c r="D28" s="15" t="n">
        <f aca="false">PWT!B34</f>
        <v>319518.707492209</v>
      </c>
      <c r="E28" s="1" t="n">
        <f aca="false">IFERROR(C28/D28,"")</f>
        <v>23978.0904692971</v>
      </c>
    </row>
    <row r="29" customFormat="false" ht="12" hidden="false" customHeight="true" outlineLevel="0" collapsed="false">
      <c r="A29" s="22" t="n">
        <v>45291</v>
      </c>
      <c r="B29" s="1" t="n">
        <v>2023</v>
      </c>
      <c r="C29" s="1" t="n">
        <v>9410657843.71035</v>
      </c>
      <c r="D29" s="15" t="n">
        <f aca="false">PWT!B35</f>
        <v>326952.901535053</v>
      </c>
      <c r="E29" s="1" t="n">
        <f aca="false">IFERROR(C29/D29,"")</f>
        <v>28782.9158252673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34</v>
      </c>
      <c r="B1" s="1" t="s">
        <v>35</v>
      </c>
      <c r="C1" s="1" t="s">
        <v>36</v>
      </c>
    </row>
    <row r="2" customFormat="false" ht="12" hidden="false" customHeight="true" outlineLevel="0" collapsed="false">
      <c r="A2" s="15" t="n">
        <v>1990</v>
      </c>
      <c r="B2" s="15" t="n">
        <v>269494.40625</v>
      </c>
      <c r="C2" s="1" t="n">
        <v>60484.3359375</v>
      </c>
    </row>
    <row r="3" customFormat="false" ht="12" hidden="false" customHeight="true" outlineLevel="0" collapsed="false">
      <c r="A3" s="15" t="n">
        <v>1991</v>
      </c>
      <c r="B3" s="15" t="n">
        <v>271117.4375</v>
      </c>
      <c r="C3" s="1" t="n">
        <v>47581.01171875</v>
      </c>
    </row>
    <row r="4" customFormat="false" ht="12" hidden="false" customHeight="true" outlineLevel="0" collapsed="false">
      <c r="A4" s="15" t="n">
        <v>1992</v>
      </c>
      <c r="B4" s="15" t="n">
        <v>266614.8125</v>
      </c>
      <c r="C4" s="1" t="n">
        <v>26406.21484375</v>
      </c>
    </row>
    <row r="5" customFormat="false" ht="12" hidden="false" customHeight="true" outlineLevel="0" collapsed="false">
      <c r="A5" s="15" t="n">
        <v>1993</v>
      </c>
      <c r="B5" s="15" t="n">
        <v>256535.46875</v>
      </c>
      <c r="C5" s="1" t="n">
        <v>18671.65625</v>
      </c>
    </row>
    <row r="6" customFormat="false" ht="12" hidden="false" customHeight="true" outlineLevel="0" collapsed="false">
      <c r="A6" s="15" t="n">
        <v>1994</v>
      </c>
      <c r="B6" s="15" t="n">
        <v>249672.46875</v>
      </c>
      <c r="C6" s="1" t="n">
        <v>16733.326171875</v>
      </c>
    </row>
    <row r="7" customFormat="false" ht="12" hidden="false" customHeight="true" outlineLevel="0" collapsed="false">
      <c r="A7" s="15" t="n">
        <v>1995</v>
      </c>
      <c r="B7" s="15" t="n">
        <v>245497.8125</v>
      </c>
      <c r="C7" s="1" t="n">
        <v>17164.638671875</v>
      </c>
    </row>
    <row r="8" customFormat="false" ht="12" hidden="false" customHeight="true" outlineLevel="0" collapsed="false">
      <c r="A8" s="15" t="n">
        <v>1996</v>
      </c>
      <c r="B8" s="15" t="n">
        <v>242089.6875</v>
      </c>
      <c r="C8" s="1" t="n">
        <v>19101.853515625</v>
      </c>
    </row>
    <row r="9" customFormat="false" ht="12" hidden="false" customHeight="true" outlineLevel="0" collapsed="false">
      <c r="A9" s="15" t="n">
        <v>1997</v>
      </c>
      <c r="B9" s="15" t="n">
        <v>239425.359375</v>
      </c>
      <c r="C9" s="1" t="n">
        <v>21111.173828125</v>
      </c>
    </row>
    <row r="10" customFormat="false" ht="12" hidden="false" customHeight="true" outlineLevel="0" collapsed="false">
      <c r="A10" s="15" t="n">
        <v>1998</v>
      </c>
      <c r="B10" s="15" t="n">
        <v>239121.890625</v>
      </c>
      <c r="C10" s="1" t="n">
        <v>21766.669921875</v>
      </c>
    </row>
    <row r="11" customFormat="false" ht="12" hidden="false" customHeight="true" outlineLevel="0" collapsed="false">
      <c r="A11" s="15" t="n">
        <v>1999</v>
      </c>
      <c r="B11" s="15" t="n">
        <v>239199.265625</v>
      </c>
      <c r="C11" s="1" t="n">
        <v>22391.20703125</v>
      </c>
    </row>
    <row r="12" customFormat="false" ht="12" hidden="false" customHeight="true" outlineLevel="0" collapsed="false">
      <c r="A12" s="15" t="n">
        <v>2000</v>
      </c>
      <c r="B12" s="15" t="n">
        <v>239171.609375</v>
      </c>
      <c r="C12" s="1" t="n">
        <v>22802.8359375</v>
      </c>
    </row>
    <row r="13" customFormat="false" ht="12" hidden="false" customHeight="true" outlineLevel="0" collapsed="false">
      <c r="A13" s="15" t="n">
        <v>2001</v>
      </c>
      <c r="B13" s="15" t="n">
        <v>240066.265625</v>
      </c>
      <c r="C13" s="1" t="n">
        <v>23898.615234375</v>
      </c>
    </row>
    <row r="14" customFormat="false" ht="12" hidden="false" customHeight="true" outlineLevel="0" collapsed="false">
      <c r="A14" s="15" t="n">
        <v>2002</v>
      </c>
      <c r="B14" s="15" t="n">
        <v>240523.046875</v>
      </c>
      <c r="C14" s="1" t="n">
        <v>25206.78515625</v>
      </c>
    </row>
    <row r="15" customFormat="false" ht="12" hidden="false" customHeight="true" outlineLevel="0" collapsed="false">
      <c r="A15" s="15" t="n">
        <v>2003</v>
      </c>
      <c r="B15" s="15" t="n">
        <v>242715.265625</v>
      </c>
      <c r="C15" s="1" t="n">
        <v>27994.177734375</v>
      </c>
    </row>
    <row r="16" customFormat="false" ht="12" hidden="false" customHeight="true" outlineLevel="0" collapsed="false">
      <c r="A16" s="15" t="n">
        <v>2004</v>
      </c>
      <c r="B16" s="15" t="n">
        <v>245580.140625</v>
      </c>
      <c r="C16" s="1" t="n">
        <v>29616.71484375</v>
      </c>
    </row>
    <row r="17" customFormat="false" ht="12" hidden="false" customHeight="true" outlineLevel="0" collapsed="false">
      <c r="A17" s="15" t="n">
        <v>2005</v>
      </c>
      <c r="B17" s="15" t="n">
        <v>249248.984375</v>
      </c>
      <c r="C17" s="1" t="n">
        <v>32456.451171875</v>
      </c>
    </row>
    <row r="18" customFormat="false" ht="12" hidden="false" customHeight="true" outlineLevel="0" collapsed="false">
      <c r="A18" s="15" t="n">
        <v>2006</v>
      </c>
      <c r="B18" s="15" t="n">
        <v>252297.078125</v>
      </c>
      <c r="C18" s="1" t="n">
        <v>35514.08984375</v>
      </c>
    </row>
    <row r="19" customFormat="false" ht="12" hidden="false" customHeight="true" outlineLevel="0" collapsed="false">
      <c r="A19" s="15" t="n">
        <v>2007</v>
      </c>
      <c r="B19" s="15" t="n">
        <v>256234.109375</v>
      </c>
      <c r="C19" s="1" t="n">
        <v>39981.328125</v>
      </c>
    </row>
    <row r="20" customFormat="false" ht="12" hidden="false" customHeight="true" outlineLevel="0" collapsed="false">
      <c r="A20" s="15" t="n">
        <v>2008</v>
      </c>
      <c r="B20" s="15" t="n">
        <v>257715.4375</v>
      </c>
      <c r="C20" s="1" t="n">
        <v>40948.1171875</v>
      </c>
    </row>
    <row r="21" customFormat="false" ht="12" hidden="false" customHeight="true" outlineLevel="0" collapsed="false">
      <c r="A21" s="15" t="n">
        <v>2009</v>
      </c>
      <c r="B21" s="15" t="n">
        <v>255596.078125</v>
      </c>
      <c r="C21" s="1" t="n">
        <v>39453.47265625</v>
      </c>
    </row>
    <row r="22" customFormat="false" ht="12" hidden="false" customHeight="true" outlineLevel="0" collapsed="false">
      <c r="A22" s="15" t="n">
        <v>2010</v>
      </c>
      <c r="B22" s="15" t="n">
        <v>256185.140625</v>
      </c>
      <c r="C22" s="1" t="n">
        <v>41919.0859375</v>
      </c>
    </row>
    <row r="23" customFormat="false" ht="12" hidden="false" customHeight="true" outlineLevel="0" collapsed="false">
      <c r="A23" s="15" t="n">
        <v>2011</v>
      </c>
      <c r="B23" s="15" t="n">
        <v>258197.40625</v>
      </c>
      <c r="C23" s="1" t="n">
        <v>45004.60546875</v>
      </c>
    </row>
    <row r="24" customFormat="false" ht="12" hidden="false" customHeight="true" outlineLevel="0" collapsed="false">
      <c r="A24" s="15" t="n">
        <v>2012</v>
      </c>
      <c r="B24" s="15" t="n">
        <v>260772.96875</v>
      </c>
      <c r="C24" s="1" t="n">
        <v>47892.44921875</v>
      </c>
    </row>
    <row r="25" customFormat="false" ht="12" hidden="false" customHeight="true" outlineLevel="0" collapsed="false">
      <c r="A25" s="15" t="n">
        <v>2013</v>
      </c>
      <c r="B25" s="15" t="n">
        <v>261943.109375</v>
      </c>
      <c r="C25" s="1" t="n">
        <v>49624.02734375</v>
      </c>
    </row>
    <row r="26" customFormat="false" ht="12" hidden="false" customHeight="true" outlineLevel="0" collapsed="false">
      <c r="A26" s="15" t="n">
        <v>2014</v>
      </c>
      <c r="B26" s="15" t="n">
        <v>265818.40625</v>
      </c>
      <c r="C26" s="1" t="n">
        <v>51828.1015625</v>
      </c>
    </row>
    <row r="27" customFormat="false" ht="12" hidden="false" customHeight="true" outlineLevel="0" collapsed="false">
      <c r="A27" s="15" t="n">
        <v>2015</v>
      </c>
      <c r="B27" s="15" t="n">
        <v>271425.46875</v>
      </c>
      <c r="C27" s="1" t="n">
        <v>53396.7421875</v>
      </c>
    </row>
    <row r="28" customFormat="false" ht="12" hidden="false" customHeight="true" outlineLevel="0" collapsed="false">
      <c r="A28" s="15" t="n">
        <v>2016</v>
      </c>
      <c r="B28" s="15" t="n">
        <v>277588.15625</v>
      </c>
      <c r="C28" s="1" t="n">
        <v>54948.359375</v>
      </c>
    </row>
    <row r="29" customFormat="false" ht="12" hidden="false" customHeight="true" outlineLevel="0" collapsed="false">
      <c r="A29" s="15" t="n">
        <v>2017</v>
      </c>
      <c r="B29" s="15" t="n">
        <v>283682.15625</v>
      </c>
      <c r="C29" s="1" t="n">
        <v>57609.7109375</v>
      </c>
    </row>
    <row r="30" customFormat="false" ht="12" hidden="false" customHeight="true" outlineLevel="0" collapsed="false">
      <c r="A30" s="15" t="n">
        <v>2018</v>
      </c>
      <c r="B30" s="15" t="n">
        <v>289560.90625</v>
      </c>
      <c r="C30" s="1" t="n">
        <v>60399.59375</v>
      </c>
    </row>
    <row r="31" customFormat="false" ht="12" hidden="false" customHeight="true" outlineLevel="0" collapsed="false">
      <c r="A31" s="15" t="n">
        <v>2019</v>
      </c>
      <c r="B31" s="15" t="n">
        <v>298215.0625</v>
      </c>
      <c r="C31" s="1" t="n">
        <v>63508.82421875</v>
      </c>
    </row>
    <row r="32" customFormat="false" ht="12" hidden="false" customHeight="true" outlineLevel="0" collapsed="false">
      <c r="A32" s="15" t="n">
        <v>2020</v>
      </c>
      <c r="B32" s="15" t="n">
        <f aca="false">B31*(B$31/B$26)^(1/5)</f>
        <v>305153.587816793</v>
      </c>
      <c r="C32" s="23" t="n">
        <f aca="false">C31*(C$31/C$26)^(1/5)</f>
        <v>66143.5997115448</v>
      </c>
    </row>
    <row r="33" customFormat="false" ht="12" hidden="false" customHeight="true" outlineLevel="0" collapsed="false">
      <c r="A33" s="15" t="n">
        <v>2021</v>
      </c>
      <c r="B33" s="15" t="n">
        <f aca="false">B32*(B$31/B$26)^(1/5)</f>
        <v>312253.550765772</v>
      </c>
      <c r="C33" s="23" t="n">
        <f aca="false">C32*(C$31/C$26)^(1/5)</f>
        <v>68887.68350886</v>
      </c>
    </row>
    <row r="34" customFormat="false" ht="12" hidden="false" customHeight="true" outlineLevel="0" collapsed="false">
      <c r="A34" s="15" t="n">
        <v>2022</v>
      </c>
      <c r="B34" s="15" t="n">
        <f aca="false">B33*(B$31/B$26)^(1/5)</f>
        <v>319518.707492209</v>
      </c>
      <c r="C34" s="23" t="n">
        <f aca="false">C33*(C$31/C$26)^(1/5)</f>
        <v>71745.6104583399</v>
      </c>
    </row>
    <row r="35" customFormat="false" ht="12" hidden="false" customHeight="true" outlineLevel="0" collapsed="false">
      <c r="A35" s="15" t="n">
        <v>2023</v>
      </c>
      <c r="B35" s="15" t="n">
        <f aca="false">B34*(B$31/B$26)^(1/5)</f>
        <v>326952.901535053</v>
      </c>
      <c r="C35" s="23" t="n">
        <f aca="false">C34*(C$31/C$26)^(1/5)</f>
        <v>74722.1035437752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37</v>
      </c>
      <c r="C1" s="1" t="n">
        <v>915</v>
      </c>
      <c r="D1" s="1" t="n">
        <v>915</v>
      </c>
    </row>
    <row r="2" customFormat="false" ht="12" hidden="false" customHeight="true" outlineLevel="0" collapsed="false">
      <c r="B2" s="1" t="s">
        <v>38</v>
      </c>
      <c r="C2" s="1" t="s">
        <v>39</v>
      </c>
      <c r="D2" s="1" t="s">
        <v>40</v>
      </c>
    </row>
    <row r="3" customFormat="false" ht="12" hidden="false" customHeight="true" outlineLevel="0" collapsed="false">
      <c r="B3" s="1" t="s">
        <v>41</v>
      </c>
      <c r="C3" s="1" t="s">
        <v>42</v>
      </c>
      <c r="D3" s="1" t="s">
        <v>42</v>
      </c>
    </row>
    <row r="4" customFormat="false" ht="12" hidden="false" customHeight="true" outlineLevel="0" collapsed="false">
      <c r="B4" s="1" t="s">
        <v>43</v>
      </c>
      <c r="C4" s="1" t="s">
        <v>44</v>
      </c>
      <c r="D4" s="1" t="s">
        <v>44</v>
      </c>
    </row>
    <row r="5" customFormat="false" ht="12" hidden="false" customHeight="true" outlineLevel="0" collapsed="false">
      <c r="B5" s="1" t="s">
        <v>45</v>
      </c>
      <c r="C5" s="1" t="s">
        <v>46</v>
      </c>
      <c r="D5" s="1" t="s">
        <v>47</v>
      </c>
    </row>
    <row r="6" customFormat="false" ht="12" hidden="false" customHeight="true" outlineLevel="0" collapsed="false">
      <c r="B6" s="1" t="s">
        <v>48</v>
      </c>
      <c r="C6" s="1" t="s">
        <v>49</v>
      </c>
      <c r="D6" s="1" t="s">
        <v>45</v>
      </c>
    </row>
    <row r="7" customFormat="false" ht="12" hidden="false" customHeight="true" outlineLevel="0" collapsed="false">
      <c r="B7" s="1" t="s">
        <v>50</v>
      </c>
      <c r="C7" s="1" t="s">
        <v>51</v>
      </c>
      <c r="D7" s="1" t="s">
        <v>52</v>
      </c>
    </row>
    <row r="8" customFormat="false" ht="12" hidden="false" customHeight="true" outlineLevel="0" collapsed="false">
      <c r="B8" s="1" t="n">
        <v>2000</v>
      </c>
      <c r="C8" s="1" t="n">
        <v>16.963</v>
      </c>
      <c r="D8" s="1" t="n">
        <v>1.865</v>
      </c>
    </row>
    <row r="9" customFormat="false" ht="12" hidden="false" customHeight="true" outlineLevel="0" collapsed="false">
      <c r="B9" s="1" t="n">
        <v>2001</v>
      </c>
      <c r="C9" s="1" t="n">
        <v>17.772</v>
      </c>
      <c r="D9" s="1" t="n">
        <v>4.769</v>
      </c>
    </row>
    <row r="10" customFormat="false" ht="12" hidden="false" customHeight="true" outlineLevel="0" collapsed="false">
      <c r="B10" s="1" t="n">
        <v>2002</v>
      </c>
      <c r="C10" s="1" t="n">
        <v>18.747</v>
      </c>
      <c r="D10" s="1" t="n">
        <v>5.487</v>
      </c>
    </row>
    <row r="11" customFormat="false" ht="12" hidden="false" customHeight="true" outlineLevel="0" collapsed="false">
      <c r="B11" s="1" t="n">
        <v>2003</v>
      </c>
      <c r="C11" s="1" t="n">
        <v>20.852</v>
      </c>
      <c r="D11" s="1" t="n">
        <v>11.228</v>
      </c>
    </row>
    <row r="12" customFormat="false" ht="12" hidden="false" customHeight="true" outlineLevel="0" collapsed="false">
      <c r="B12" s="1" t="n">
        <v>2004</v>
      </c>
      <c r="C12" s="1" t="n">
        <v>22.061</v>
      </c>
      <c r="D12" s="1" t="n">
        <v>5.796</v>
      </c>
    </row>
    <row r="13" customFormat="false" ht="12" hidden="false" customHeight="true" outlineLevel="0" collapsed="false">
      <c r="B13" s="1" t="n">
        <v>2005</v>
      </c>
      <c r="C13" s="1" t="n">
        <v>24.176</v>
      </c>
      <c r="D13" s="1" t="n">
        <v>9.588</v>
      </c>
    </row>
    <row r="14" customFormat="false" ht="12" hidden="false" customHeight="true" outlineLevel="0" collapsed="false">
      <c r="B14" s="1" t="n">
        <v>2006</v>
      </c>
      <c r="C14" s="1" t="n">
        <v>26.454</v>
      </c>
      <c r="D14" s="1" t="n">
        <v>9.42</v>
      </c>
    </row>
    <row r="15" customFormat="false" ht="12" hidden="false" customHeight="true" outlineLevel="0" collapsed="false">
      <c r="B15" s="1" t="n">
        <v>2007</v>
      </c>
      <c r="C15" s="1" t="n">
        <v>29.781</v>
      </c>
      <c r="D15" s="1" t="n">
        <v>12.579</v>
      </c>
    </row>
    <row r="16" customFormat="false" ht="12" hidden="false" customHeight="true" outlineLevel="0" collapsed="false">
      <c r="B16" s="1" t="n">
        <v>2008</v>
      </c>
      <c r="C16" s="1" t="n">
        <v>30.502</v>
      </c>
      <c r="D16" s="1" t="n">
        <v>2.419</v>
      </c>
    </row>
    <row r="17" customFormat="false" ht="12" hidden="false" customHeight="true" outlineLevel="0" collapsed="false">
      <c r="B17" s="1" t="n">
        <v>2009</v>
      </c>
      <c r="C17" s="1" t="n">
        <v>29.388</v>
      </c>
      <c r="D17" s="1" t="n">
        <v>-3.651</v>
      </c>
    </row>
    <row r="18" customFormat="false" ht="12" hidden="false" customHeight="true" outlineLevel="0" collapsed="false">
      <c r="B18" s="1" t="n">
        <v>2010</v>
      </c>
      <c r="C18" s="1" t="n">
        <v>31.428</v>
      </c>
      <c r="D18" s="1" t="n">
        <v>6.942</v>
      </c>
    </row>
    <row r="19" customFormat="false" ht="12" hidden="false" customHeight="true" outlineLevel="0" collapsed="false">
      <c r="B19" s="1" t="n">
        <v>2011</v>
      </c>
      <c r="C19" s="1" t="n">
        <v>33.927</v>
      </c>
      <c r="D19" s="1" t="n">
        <v>7.949</v>
      </c>
    </row>
    <row r="20" customFormat="false" ht="12" hidden="false" customHeight="true" outlineLevel="0" collapsed="false">
      <c r="B20" s="1" t="n">
        <v>2012</v>
      </c>
      <c r="C20" s="1" t="n">
        <v>36.159</v>
      </c>
      <c r="D20" s="1" t="n">
        <v>6.579</v>
      </c>
    </row>
    <row r="21" customFormat="false" ht="12" hidden="false" customHeight="true" outlineLevel="0" collapsed="false">
      <c r="B21" s="1" t="n">
        <v>2013</v>
      </c>
      <c r="C21" s="1" t="n">
        <v>38.015</v>
      </c>
      <c r="D21" s="1" t="n">
        <v>5.134</v>
      </c>
    </row>
    <row r="22" customFormat="false" ht="12" hidden="false" customHeight="true" outlineLevel="0" collapsed="false">
      <c r="B22" s="1" t="n">
        <v>2014</v>
      </c>
      <c r="C22" s="1" t="n">
        <v>39.57</v>
      </c>
      <c r="D22" s="1" t="n">
        <v>4.091</v>
      </c>
    </row>
    <row r="23" customFormat="false" ht="12" hidden="false" customHeight="true" outlineLevel="0" collapsed="false">
      <c r="B23" s="1" t="n">
        <v>2015</v>
      </c>
      <c r="C23" s="1" t="n">
        <v>40.896</v>
      </c>
      <c r="D23" s="1" t="n">
        <v>3.351</v>
      </c>
    </row>
    <row r="24" customFormat="false" ht="12" hidden="false" customHeight="true" outlineLevel="0" collapsed="false">
      <c r="B24" s="1" t="n">
        <v>2016</v>
      </c>
      <c r="C24" s="1" t="n">
        <v>42.307</v>
      </c>
      <c r="D24" s="1" t="n">
        <v>3.45</v>
      </c>
    </row>
    <row r="25" customFormat="false" ht="12" hidden="false" customHeight="true" outlineLevel="0" collapsed="false">
      <c r="B25" s="1" t="n">
        <v>2017</v>
      </c>
      <c r="C25" s="1" t="n">
        <v>44.49</v>
      </c>
      <c r="D25" s="1" t="n">
        <v>5.161</v>
      </c>
    </row>
    <row r="26" customFormat="false" ht="12" hidden="false" customHeight="true" outlineLevel="0" collapsed="false">
      <c r="B26" s="1" t="n">
        <v>2018</v>
      </c>
      <c r="C26" s="1" t="n">
        <v>47.187</v>
      </c>
      <c r="D26" s="1" t="n">
        <v>6.062</v>
      </c>
    </row>
    <row r="27" customFormat="false" ht="12" hidden="false" customHeight="true" outlineLevel="0" collapsed="false">
      <c r="B27" s="1" t="n">
        <v>2019</v>
      </c>
      <c r="C27" s="1" t="n">
        <v>49.726</v>
      </c>
      <c r="D27" s="1" t="n">
        <v>5.38</v>
      </c>
    </row>
    <row r="28" customFormat="false" ht="12" hidden="false" customHeight="true" outlineLevel="0" collapsed="false">
      <c r="B28" s="1" t="n">
        <v>2020</v>
      </c>
      <c r="C28" s="1" t="n">
        <v>46.598</v>
      </c>
      <c r="D28" s="1" t="n">
        <v>-6.291</v>
      </c>
    </row>
    <row r="29" customFormat="false" ht="12" hidden="false" customHeight="true" outlineLevel="0" collapsed="false">
      <c r="B29" s="1" t="n">
        <v>2021</v>
      </c>
      <c r="C29" s="1" t="n">
        <v>51.558</v>
      </c>
      <c r="D29" s="1" t="n">
        <v>10.644</v>
      </c>
    </row>
    <row r="30" customFormat="false" ht="12" hidden="false" customHeight="true" outlineLevel="0" collapsed="false">
      <c r="B30" s="1" t="n">
        <v>2022</v>
      </c>
      <c r="C30" s="1" t="n">
        <v>57.208</v>
      </c>
      <c r="D30" s="1" t="n">
        <v>10.96</v>
      </c>
    </row>
    <row r="31" customFormat="false" ht="12" hidden="false" customHeight="true" outlineLevel="0" collapsed="false">
      <c r="B31" s="1" t="n">
        <v>2023</v>
      </c>
      <c r="C31" s="1" t="n">
        <v>61.689</v>
      </c>
      <c r="D31" s="1" t="n">
        <v>7.832</v>
      </c>
    </row>
    <row r="32" customFormat="false" ht="12" hidden="false" customHeight="true" outlineLevel="0" collapsed="false">
      <c r="B32" s="1" t="n">
        <v>2024</v>
      </c>
      <c r="C32" s="1" t="n">
        <v>67.505</v>
      </c>
      <c r="D32" s="1" t="n">
        <v>9.429</v>
      </c>
    </row>
    <row r="33" customFormat="false" ht="12" hidden="false" customHeight="true" outlineLevel="0" collapsed="false">
      <c r="B33" s="1" t="n">
        <v>2025</v>
      </c>
      <c r="C33" s="1" t="n">
        <v>71.54</v>
      </c>
      <c r="D33" s="1" t="n">
        <v>5.977</v>
      </c>
    </row>
    <row r="34" customFormat="false" ht="12" hidden="false" customHeight="true" outlineLevel="0" collapsed="false">
      <c r="B34" s="1" t="n">
        <v>2026</v>
      </c>
      <c r="C34" s="1" t="n">
        <v>75.117</v>
      </c>
      <c r="D34" s="1" t="n">
        <v>5</v>
      </c>
    </row>
    <row r="35" customFormat="false" ht="12" hidden="false" customHeight="true" outlineLevel="0" collapsed="false">
      <c r="B35" s="1" t="n">
        <v>2027</v>
      </c>
      <c r="C35" s="1" t="n">
        <v>78.873</v>
      </c>
      <c r="D35" s="1" t="n">
        <v>5</v>
      </c>
    </row>
    <row r="36" customFormat="false" ht="12" hidden="false" customHeight="true" outlineLevel="0" collapsed="false">
      <c r="B36" s="1" t="n">
        <v>2028</v>
      </c>
      <c r="C36" s="1" t="n">
        <f aca="false">C35*(1+D36/100)</f>
        <v>82.81665</v>
      </c>
      <c r="D36" s="1" t="n">
        <f aca="false">$D$35</f>
        <v>5</v>
      </c>
    </row>
    <row r="37" customFormat="false" ht="12" hidden="false" customHeight="true" outlineLevel="0" collapsed="false">
      <c r="B37" s="1" t="n">
        <v>2029</v>
      </c>
      <c r="C37" s="1" t="n">
        <f aca="false">C36*(1+D37/100)</f>
        <v>86.9574825</v>
      </c>
      <c r="D37" s="1" t="n">
        <f aca="false">$D$35</f>
        <v>5</v>
      </c>
    </row>
    <row r="38" customFormat="false" ht="12" hidden="false" customHeight="true" outlineLevel="0" collapsed="false">
      <c r="B38" s="1" t="n">
        <v>2030</v>
      </c>
      <c r="C38" s="1" t="n">
        <f aca="false">C37*(1+D38/100)</f>
        <v>91.305356625</v>
      </c>
      <c r="D38" s="1" t="n">
        <f aca="false">$D$35</f>
        <v>5</v>
      </c>
    </row>
    <row r="39" customFormat="false" ht="12" hidden="false" customHeight="true" outlineLevel="0" collapsed="false">
      <c r="B39" s="1" t="n">
        <v>2031</v>
      </c>
      <c r="C39" s="1" t="n">
        <f aca="false">C38*(1+D39/100)</f>
        <v>95.87062445625</v>
      </c>
      <c r="D39" s="1" t="n">
        <f aca="false">$D$35</f>
        <v>5</v>
      </c>
    </row>
    <row r="40" customFormat="false" ht="12" hidden="false" customHeight="true" outlineLevel="0" collapsed="false">
      <c r="B40" s="1" t="n">
        <v>2032</v>
      </c>
      <c r="C40" s="1" t="n">
        <f aca="false">C39*(1+D40/100)</f>
        <v>100.664155679063</v>
      </c>
      <c r="D40" s="1" t="n">
        <f aca="false">$D$35</f>
        <v>5</v>
      </c>
    </row>
    <row r="41" customFormat="false" ht="12" hidden="false" customHeight="true" outlineLevel="0" collapsed="false">
      <c r="B41" s="1" t="n">
        <v>2033</v>
      </c>
      <c r="C41" s="1" t="n">
        <f aca="false">C40*(1+D41/100)</f>
        <v>105.697363463016</v>
      </c>
      <c r="D41" s="1" t="n">
        <f aca="false">$D$35</f>
        <v>5</v>
      </c>
    </row>
    <row r="42" customFormat="false" ht="12" hidden="false" customHeight="true" outlineLevel="0" collapsed="false">
      <c r="B42" s="1" t="n">
        <v>2034</v>
      </c>
      <c r="C42" s="1" t="n">
        <f aca="false">C41*(1+D42/100)</f>
        <v>110.982231636166</v>
      </c>
      <c r="D42" s="1" t="n">
        <f aca="false">$D$35</f>
        <v>5</v>
      </c>
    </row>
    <row r="43" customFormat="false" ht="12" hidden="false" customHeight="true" outlineLevel="0" collapsed="false">
      <c r="B43" s="1" t="n">
        <v>2035</v>
      </c>
      <c r="C43" s="1" t="n">
        <f aca="false">C42*(1+D43/100)</f>
        <v>116.531343217975</v>
      </c>
      <c r="D43" s="1" t="n">
        <f aca="false">$D$35</f>
        <v>5</v>
      </c>
    </row>
    <row r="44" customFormat="false" ht="12" hidden="false" customHeight="true" outlineLevel="0" collapsed="false">
      <c r="B44" s="1" t="n">
        <v>2036</v>
      </c>
      <c r="C44" s="1" t="n">
        <f aca="false">C43*(1+D44/100)</f>
        <v>122.357910378874</v>
      </c>
      <c r="D44" s="1" t="n">
        <f aca="false">$D$35</f>
        <v>5</v>
      </c>
    </row>
    <row r="45" customFormat="false" ht="12" hidden="false" customHeight="true" outlineLevel="0" collapsed="false">
      <c r="B45" s="1" t="n">
        <v>2037</v>
      </c>
      <c r="C45" s="1" t="n">
        <f aca="false">C44*(1+D45/100)</f>
        <v>128.475805897817</v>
      </c>
      <c r="D45" s="1" t="n">
        <f aca="false">$D$35</f>
        <v>5</v>
      </c>
    </row>
    <row r="46" customFormat="false" ht="12" hidden="false" customHeight="true" outlineLevel="0" collapsed="false">
      <c r="B46" s="1" t="n">
        <v>2038</v>
      </c>
      <c r="C46" s="1" t="n">
        <f aca="false">C45*(1+D46/100)</f>
        <v>134.899596192708</v>
      </c>
      <c r="D46" s="1" t="n">
        <f aca="false">$D$35</f>
        <v>5</v>
      </c>
    </row>
    <row r="47" customFormat="false" ht="12" hidden="false" customHeight="true" outlineLevel="0" collapsed="false">
      <c r="B47" s="1" t="n">
        <v>2039</v>
      </c>
      <c r="C47" s="1" t="n">
        <f aca="false">C46*(1+D47/100)</f>
        <v>141.644576002343</v>
      </c>
      <c r="D47" s="1" t="n">
        <f aca="false">$D$35</f>
        <v>5</v>
      </c>
    </row>
    <row r="48" customFormat="false" ht="12" hidden="false" customHeight="true" outlineLevel="0" collapsed="false">
      <c r="B48" s="1" t="n">
        <v>2040</v>
      </c>
      <c r="C48" s="1" t="n">
        <f aca="false">C47*(1+D48/100)</f>
        <v>148.726804802461</v>
      </c>
      <c r="D48" s="1" t="n">
        <f aca="false">$D$35</f>
        <v>5</v>
      </c>
    </row>
    <row r="49" customFormat="false" ht="12" hidden="false" customHeight="true" outlineLevel="0" collapsed="false">
      <c r="B49" s="1" t="n">
        <v>2041</v>
      </c>
      <c r="C49" s="1" t="n">
        <f aca="false">C48*(1+D49/100)</f>
        <v>156.163145042584</v>
      </c>
      <c r="D49" s="1" t="n">
        <f aca="false">$D$35</f>
        <v>5</v>
      </c>
    </row>
    <row r="50" customFormat="false" ht="12" hidden="false" customHeight="true" outlineLevel="0" collapsed="false">
      <c r="B50" s="1" t="n">
        <v>2042</v>
      </c>
      <c r="C50" s="1" t="n">
        <f aca="false">C49*(1+D50/100)</f>
        <v>163.971302294713</v>
      </c>
      <c r="D50" s="1" t="n">
        <f aca="false">$D$35</f>
        <v>5</v>
      </c>
    </row>
    <row r="51" customFormat="false" ht="12" hidden="false" customHeight="true" outlineLevel="0" collapsed="false">
      <c r="B51" s="1" t="n">
        <v>2043</v>
      </c>
      <c r="C51" s="1" t="n">
        <f aca="false">C50*(1+D51/100)</f>
        <v>172.169867409449</v>
      </c>
      <c r="D51" s="1" t="n">
        <f aca="false">$D$35</f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2026-09-23T05:31:13Z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