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<sst xmlns="http://schemas.openxmlformats.org/spreadsheetml/2006/main" count="879" uniqueCount="628">
  <si>
    <t xml:space="preserve">STEP 1</t>
  </si>
  <si>
    <t xml:space="preserve">Z-score (95% one-sided)</t>
  </si>
  <si>
    <t xml:space="preserve">Source: Standard normal inverse CDF at 0.95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</si>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</sst>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0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1.64485362695147</v>
      </c>
      <c r="D3" s="2" t="s">
        <v>2</v>
      </c>
    </row>
    <row r="4" customFormat="false" ht="12.75" hidden="false" customHeight="true" outlineLevel="0" collapsed="false">
      <c r="B4" s="1" t="s">
        <v>3</v>
      </c>
      <c r="C4" s="1" t="n">
        <f aca="false">'Gold price'!D430</f>
        <v>4.81332296229341</v>
      </c>
    </row>
    <row r="5" customFormat="false" ht="12.75" hidden="false" customHeight="true" outlineLevel="0" collapsed="false">
      <c r="B5" s="1" t="s">
        <v>4</v>
      </c>
      <c r="C5" s="1" t="n">
        <f aca="false">C4*SQRT(12)</f>
        <v>16.6738398478602</v>
      </c>
    </row>
    <row r="6" customFormat="false" ht="12.75" hidden="false" customHeight="true" outlineLevel="0" collapsed="false">
      <c r="B6" s="1" t="s">
        <v>5</v>
      </c>
      <c r="C6" s="1" t="n">
        <f aca="false">'Gold price'!E430</f>
        <v>3.25907254969863</v>
      </c>
    </row>
    <row r="9" customFormat="false" ht="12.75" hidden="false" customHeight="true" outlineLevel="0" collapsed="false">
      <c r="B9" s="1" t="s">
        <v>6</v>
      </c>
    </row>
    <row r="11" customFormat="false" ht="12.75" hidden="false" customHeight="true" outlineLevel="0" collapsed="false">
      <c r="B11" s="1" t="s">
        <v>7</v>
      </c>
      <c r="C11" s="1" t="s">
        <v>8</v>
      </c>
      <c r="D11" s="1" t="s">
        <v>9</v>
      </c>
      <c r="E11" s="1" t="s">
        <v>10</v>
      </c>
      <c r="F11" s="1" t="s">
        <v>11</v>
      </c>
      <c r="G11" s="1" t="s">
        <v>12</v>
      </c>
      <c r="H11" s="1" t="s">
        <v>13</v>
      </c>
      <c r="I11" s="1" t="s">
        <v>14</v>
      </c>
      <c r="J11" s="1" t="s">
        <v>15</v>
      </c>
      <c r="K11" s="1" t="s">
        <v>16</v>
      </c>
    </row>
    <row r="12" customFormat="false" ht="23.25" hidden="false" customHeight="true" outlineLevel="0" collapsed="false">
      <c r="B12" s="3" t="s">
        <v>17</v>
      </c>
      <c r="C12" s="4" t="n">
        <f aca="false">Value!D18</f>
        <v>7471</v>
      </c>
      <c r="D12" s="5" t="n">
        <f aca="false">Value!F18</f>
        <v>1002</v>
      </c>
      <c r="E12" s="6" t="n">
        <f aca="false">Value!J18</f>
        <v>10.71</v>
      </c>
      <c r="F12" s="6" t="n">
        <f aca="false">Value!L18</f>
        <v>3877.64</v>
      </c>
      <c r="G12" s="6" t="n">
        <f aca="false">Value!M18</f>
        <v>55092.42</v>
      </c>
      <c r="H12" s="6" t="n">
        <f aca="false">Value!N18</f>
        <v>10121.89</v>
      </c>
      <c r="I12" s="6" t="n">
        <f aca="false">Value!O18</f>
        <v>921.28</v>
      </c>
      <c r="J12" s="4" t="n">
        <f aca="false">Value!Q18</f>
        <v>807.1</v>
      </c>
      <c r="K12" s="6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18</v>
      </c>
      <c r="C13" s="1" t="n">
        <f aca="false">C12*$C$3*$C$4/100</f>
        <v>591.49488851394</v>
      </c>
      <c r="D13" s="1" t="n">
        <f aca="false">D12*$C$3*$C$4/100</f>
        <v>79.3304615568155</v>
      </c>
      <c r="E13" s="1" t="n">
        <f aca="false">E12*$C$3*$C$4/100</f>
        <v>0.847933376520453</v>
      </c>
      <c r="F13" s="1" t="n">
        <f aca="false">F12*$C$3*$C$4/100</f>
        <v>307.000969013144</v>
      </c>
      <c r="G13" s="1" t="n">
        <f aca="false">G12*$C$3*$C$4/100</f>
        <v>4361.78353980233</v>
      </c>
      <c r="H13" s="1" t="n">
        <f aca="false">H12*$C$3*$C$4/100</f>
        <v>801.371462602111</v>
      </c>
      <c r="I13" s="1" t="n">
        <f aca="false">I12*$C$3*$C$4/100</f>
        <v>72.9396882465698</v>
      </c>
      <c r="J13" s="1" t="n">
        <f aca="false">J12*$C$3*$C$4/100</f>
        <v>63.8998158907243</v>
      </c>
      <c r="K13" s="1" t="n">
        <f aca="false">K12*$C$3*$C$4/100</f>
        <v>258.392238676441</v>
      </c>
    </row>
    <row r="16" customFormat="false" ht="12.75" hidden="false" customHeight="true" outlineLevel="0" collapsed="false">
      <c r="B16" s="1" t="s">
        <v>19</v>
      </c>
    </row>
    <row r="20" customFormat="false" ht="12.75" hidden="false" customHeight="true" outlineLevel="0" collapsed="false">
      <c r="B20" s="1" t="s">
        <v>7</v>
      </c>
      <c r="C20" s="1" t="s">
        <v>8</v>
      </c>
      <c r="D20" s="1" t="s">
        <v>9</v>
      </c>
      <c r="E20" s="1" t="s">
        <v>10</v>
      </c>
      <c r="F20" s="1" t="s">
        <v>12</v>
      </c>
      <c r="G20" s="1" t="s">
        <v>13</v>
      </c>
      <c r="H20" s="1" t="s">
        <v>14</v>
      </c>
      <c r="I20" s="1" t="s">
        <v>15</v>
      </c>
    </row>
    <row r="21" customFormat="false" ht="23.25" hidden="false" customHeight="true" outlineLevel="0" collapsed="false">
      <c r="B21" s="3" t="s">
        <v>17</v>
      </c>
      <c r="C21" s="4" t="n">
        <f aca="false">Value!D18</f>
        <v>7471</v>
      </c>
      <c r="D21" s="5" t="n">
        <f aca="false">Value!F18</f>
        <v>1002</v>
      </c>
      <c r="E21" s="6" t="n">
        <f aca="false">Value!J18</f>
        <v>10.71</v>
      </c>
      <c r="F21" s="6" t="n">
        <f aca="false">Value!M18</f>
        <v>55092.42</v>
      </c>
      <c r="G21" s="6" t="n">
        <f aca="false">Value!N18</f>
        <v>10121.89</v>
      </c>
      <c r="H21" s="4" t="n">
        <f aca="false">Value!O18</f>
        <v>921.28</v>
      </c>
      <c r="I21" s="4" t="n">
        <f aca="false">Value!Q18</f>
        <v>807.1</v>
      </c>
    </row>
    <row r="22" customFormat="false" ht="12.75" hidden="false" customHeight="true" outlineLevel="0" collapsed="false">
      <c r="B22" s="1" t="s">
        <v>18</v>
      </c>
      <c r="C22" s="1" t="n">
        <f aca="false">C21*$C$3*$C$4/100</f>
        <v>591.49488851394</v>
      </c>
      <c r="D22" s="1" t="n">
        <f aca="false">D21*$C$3*$C$4/100</f>
        <v>79.3304615568155</v>
      </c>
      <c r="E22" s="1" t="n">
        <f aca="false">E21*$C$3*$C$4/100</f>
        <v>0.847933376520453</v>
      </c>
      <c r="F22" s="1" t="n">
        <f aca="false">F21*$C$3*$C$4/100</f>
        <v>4361.78353980233</v>
      </c>
      <c r="G22" s="1" t="n">
        <f aca="false">G21*$C$3*$C$4/100</f>
        <v>801.371462602111</v>
      </c>
      <c r="H22" s="1" t="n">
        <f aca="false">H21*$C$3*$C$4/100</f>
        <v>72.9396882465698</v>
      </c>
      <c r="I22" s="1" t="n">
        <f aca="false">I21*$C$3*$C$4/100</f>
        <v>63.8998158907243</v>
      </c>
    </row>
    <row r="23" customFormat="false" ht="12.75" hidden="false" customHeight="true" outlineLevel="0" collapsed="false">
      <c r="B23" s="1" t="s">
        <v>20</v>
      </c>
      <c r="C23" s="4" t="n">
        <f aca="false">INDEX('Total Reserves'!$C$18:$P$18,MATCH("*"&amp;C20&amp;"*",'Total Reserves'!$C$1:$P$1,0))</f>
        <v>14425.9</v>
      </c>
      <c r="D23" s="6" t="n">
        <f aca="false">INDEX('Total Reserves'!$C$18:$P$18,MATCH("*"&amp;D20&amp;"*",'Total Reserves'!$C$1:$P$1,0))</f>
        <v>6158.7</v>
      </c>
      <c r="E23" s="6" t="n">
        <f aca="false">INDEX('Total Reserves'!$C$18:$P$18,MATCH("*"&amp;E20&amp;"*",'Total Reserves'!$C$1:$P$1,0))</f>
        <v>5999.34</v>
      </c>
      <c r="F23" s="6" t="n">
        <f aca="false">INDEX('Total Reserves'!$C$18:$P$18,MATCH("*"&amp;F20&amp;"*",'Total Reserves'!$C$1:$P$1,0))</f>
        <v>66311.75</v>
      </c>
      <c r="G23" s="6" t="n">
        <f aca="false">INDEX('Total Reserves'!$C$18:$P$18,MATCH("*"&amp;G20&amp;"*",'Total Reserves'!$C$1:$P$1,0))</f>
        <v>175830.49</v>
      </c>
      <c r="H23" s="6" t="n">
        <f aca="false">INDEX('Total Reserves'!$C$18:$P$18,MATCH("*"&amp;H20&amp;"*",'Total Reserves'!$C$1:$P$1,0))</f>
        <v>6076.9</v>
      </c>
      <c r="I23" s="4" t="n">
        <f aca="false">INDEX('Total Reserves'!$C$18:$P$18,MATCH("*"&amp;I20&amp;"*",'Total Reserves'!$C$1:$P$1,0))</f>
        <v>7082.7</v>
      </c>
    </row>
    <row r="24" customFormat="false" ht="12.75" hidden="false" customHeight="true" outlineLevel="0" collapsed="false">
      <c r="B24" s="1" t="s">
        <v>21</v>
      </c>
      <c r="C24" s="1" t="n">
        <f aca="false">C22/C23*100</f>
        <v>4.10022867560388</v>
      </c>
      <c r="D24" s="1" t="n">
        <f aca="false">D22/D23*100</f>
        <v>1.28810400826173</v>
      </c>
      <c r="E24" s="1" t="n">
        <f aca="false">E22/E23*100</f>
        <v>0.0141337776575499</v>
      </c>
      <c r="F24" s="1" t="n">
        <f aca="false">F22/F23*100</f>
        <v>6.57769330443296</v>
      </c>
      <c r="G24" s="1" t="n">
        <f aca="false">G22/G23*100</f>
        <v>0.455763652027649</v>
      </c>
      <c r="H24" s="1" t="n">
        <f aca="false">H22/H23*100</f>
        <v>1.2002779089103</v>
      </c>
      <c r="I24" s="1" t="n">
        <f aca="false">I22/I23*100</f>
        <v>0.902195714780018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7" width="9.16"/>
  </cols>
  <sheetData>
    <row r="1" customFormat="false" ht="15" hidden="false" customHeight="true" outlineLevel="0" collapsed="false">
      <c r="B1" s="7" t="s">
        <v>22</v>
      </c>
      <c r="C1" s="7" t="s">
        <v>23</v>
      </c>
      <c r="D1" s="7" t="s">
        <v>3</v>
      </c>
      <c r="E1" s="7" t="s">
        <v>5</v>
      </c>
    </row>
    <row r="2" customFormat="false" ht="15" hidden="false" customHeight="true" outlineLevel="0" collapsed="false">
      <c r="A2" s="7" t="s">
        <v>24</v>
      </c>
      <c r="B2" s="7" t="n">
        <v>409.819061279297</v>
      </c>
    </row>
    <row r="3" customFormat="false" ht="15" hidden="false" customHeight="true" outlineLevel="0" collapsed="false">
      <c r="A3" s="7" t="s">
        <v>25</v>
      </c>
      <c r="B3" s="7" t="n">
        <v>417.181060791016</v>
      </c>
      <c r="C3" s="7" t="n">
        <f aca="false">LN(B3/B2)*100</f>
        <v>1.78045777637422</v>
      </c>
    </row>
    <row r="4" customFormat="false" ht="15" hidden="false" customHeight="true" outlineLevel="0" collapsed="false">
      <c r="A4" s="7" t="s">
        <v>26</v>
      </c>
      <c r="B4" s="7" t="n">
        <v>392.703338623047</v>
      </c>
      <c r="C4" s="7" t="n">
        <f aca="false">LN(B4/B3)*100</f>
        <v>-6.04658628397791</v>
      </c>
    </row>
    <row r="5" customFormat="false" ht="15" hidden="false" customHeight="true" outlineLevel="0" collapsed="false">
      <c r="A5" s="7" t="s">
        <v>27</v>
      </c>
      <c r="B5" s="7" t="n">
        <v>374.292114257813</v>
      </c>
      <c r="C5" s="7" t="n">
        <f aca="false">LN(B5/B4)*100</f>
        <v>-4.80179165459846</v>
      </c>
      <c r="D5" s="7" t="n">
        <f aca="false">STDEV(C3:C5)</f>
        <v>4.20591131550911</v>
      </c>
    </row>
    <row r="6" customFormat="false" ht="15" hidden="false" customHeight="true" outlineLevel="0" collapsed="false">
      <c r="A6" s="7" t="s">
        <v>28</v>
      </c>
      <c r="B6" s="7" t="n">
        <v>369.197631835938</v>
      </c>
      <c r="C6" s="7" t="n">
        <f aca="false">LN(B6/B5)*100</f>
        <v>-1.37044584198046</v>
      </c>
      <c r="D6" s="7" t="n">
        <f aca="false">STDEV(C4:C6)</f>
        <v>2.42177404631354</v>
      </c>
    </row>
    <row r="7" customFormat="false" ht="15" hidden="false" customHeight="true" outlineLevel="0" collapsed="false">
      <c r="A7" s="7" t="s">
        <v>29</v>
      </c>
      <c r="B7" s="7" t="n">
        <v>352.527618408203</v>
      </c>
      <c r="C7" s="7" t="n">
        <f aca="false">LN(B7/B6)*100</f>
        <v>-4.62031190186234</v>
      </c>
      <c r="D7" s="7" t="n">
        <f aca="false">STDEV(C5:C7)</f>
        <v>1.93083308417189</v>
      </c>
    </row>
    <row r="8" customFormat="false" ht="15" hidden="false" customHeight="true" outlineLevel="0" collapsed="false">
      <c r="A8" s="7" t="s">
        <v>30</v>
      </c>
      <c r="B8" s="7" t="n">
        <v>362.498565673828</v>
      </c>
      <c r="C8" s="7" t="n">
        <f aca="false">LN(B8/B7)*100</f>
        <v>2.78915482477398</v>
      </c>
      <c r="D8" s="7" t="n">
        <f aca="false">STDEV(C6:C8)</f>
        <v>3.71402980348765</v>
      </c>
    </row>
    <row r="9" customFormat="false" ht="15" hidden="false" customHeight="true" outlineLevel="0" collapsed="false">
      <c r="A9" s="7" t="s">
        <v>31</v>
      </c>
      <c r="B9" s="7" t="n">
        <v>394.631805419922</v>
      </c>
      <c r="C9" s="7" t="n">
        <f aca="false">LN(B9/B8)*100</f>
        <v>8.49326744877091</v>
      </c>
      <c r="D9" s="7" t="n">
        <f aca="false">STDEV(C7:C9)</f>
        <v>6.57524475318507</v>
      </c>
    </row>
    <row r="10" customFormat="false" ht="15" hidden="false" customHeight="true" outlineLevel="0" collapsed="false">
      <c r="A10" s="7" t="s">
        <v>32</v>
      </c>
      <c r="B10" s="7" t="n">
        <v>389.755004882813</v>
      </c>
      <c r="C10" s="7" t="n">
        <f aca="false">LN(B10/B9)*100</f>
        <v>-1.24348428928857</v>
      </c>
      <c r="D10" s="7" t="n">
        <f aca="false">STDEV(C8:C10)</f>
        <v>4.8922287603251</v>
      </c>
    </row>
    <row r="11" customFormat="false" ht="15" hidden="false" customHeight="true" outlineLevel="0" collapsed="false">
      <c r="A11" s="7" t="s">
        <v>33</v>
      </c>
      <c r="B11" s="7" t="n">
        <v>380.995208740234</v>
      </c>
      <c r="C11" s="7" t="n">
        <f aca="false">LN(B11/B10)*100</f>
        <v>-2.27315495571925</v>
      </c>
      <c r="D11" s="7" t="n">
        <f aca="false">STDEV(C9:C11)</f>
        <v>5.94110550152943</v>
      </c>
    </row>
    <row r="12" customFormat="false" ht="15" hidden="false" customHeight="true" outlineLevel="0" collapsed="false">
      <c r="A12" s="7" t="s">
        <v>34</v>
      </c>
      <c r="B12" s="7" t="n">
        <v>381.794097900391</v>
      </c>
      <c r="C12" s="7" t="n">
        <f aca="false">LN(B12/B11)*100</f>
        <v>0.209465299343003</v>
      </c>
      <c r="D12" s="7" t="n">
        <f aca="false">STDEV(C10:C12)</f>
        <v>1.2473096059959</v>
      </c>
    </row>
    <row r="13" customFormat="false" ht="15" hidden="false" customHeight="true" outlineLevel="0" collapsed="false">
      <c r="A13" s="7" t="s">
        <v>35</v>
      </c>
      <c r="B13" s="7" t="n">
        <v>376.682342529297</v>
      </c>
      <c r="C13" s="7" t="n">
        <f aca="false">LN(B13/B12)*100</f>
        <v>-1.34792130493926</v>
      </c>
      <c r="D13" s="7" t="n">
        <f aca="false">STDEV(C11:C13)</f>
        <v>1.25465225425075</v>
      </c>
    </row>
    <row r="14" customFormat="false" ht="15" hidden="false" customHeight="true" outlineLevel="0" collapsed="false">
      <c r="A14" s="7" t="s">
        <v>36</v>
      </c>
      <c r="B14" s="7" t="n">
        <v>383.702270507813</v>
      </c>
      <c r="C14" s="7" t="n">
        <f aca="false">LN(B14/B13)*100</f>
        <v>1.84646751324177</v>
      </c>
      <c r="D14" s="7" t="n">
        <f aca="false">STDEV(C12:C14)</f>
        <v>1.59735975937521</v>
      </c>
      <c r="E14" s="7" t="n">
        <f aca="false">STDEV(C3:C14)</f>
        <v>3.98062494934324</v>
      </c>
    </row>
    <row r="15" customFormat="false" ht="15" hidden="false" customHeight="true" outlineLevel="0" collapsed="false">
      <c r="A15" s="7" t="s">
        <v>37</v>
      </c>
      <c r="B15" s="7" t="n">
        <v>364.391662597656</v>
      </c>
      <c r="C15" s="7" t="n">
        <f aca="false">LN(B15/B14)*100</f>
        <v>-5.16376293239246</v>
      </c>
      <c r="D15" s="7" t="n">
        <f aca="false">STDEV(C13:C15)</f>
        <v>3.50970317235949</v>
      </c>
      <c r="E15" s="7" t="n">
        <f aca="false">STDEV(C4:C15)</f>
        <v>4.11376711426545</v>
      </c>
    </row>
    <row r="16" customFormat="false" ht="15" hidden="false" customHeight="true" outlineLevel="0" collapsed="false">
      <c r="A16" s="7" t="s">
        <v>38</v>
      </c>
      <c r="B16" s="7" t="n">
        <v>362.760803222656</v>
      </c>
      <c r="C16" s="7" t="n">
        <f aca="false">LN(B16/B15)*100</f>
        <v>-0.448561253977092</v>
      </c>
      <c r="D16" s="7" t="n">
        <f aca="false">STDEV(C14:C16)</f>
        <v>3.57406432537222</v>
      </c>
      <c r="E16" s="7" t="n">
        <f aca="false">STDEV(C5:C16)</f>
        <v>3.81152677920712</v>
      </c>
    </row>
    <row r="17" customFormat="false" ht="15" hidden="false" customHeight="true" outlineLevel="0" collapsed="false">
      <c r="A17" s="7" t="s">
        <v>39</v>
      </c>
      <c r="B17" s="7" t="n">
        <v>358.323333740234</v>
      </c>
      <c r="C17" s="7" t="n">
        <f aca="false">LN(B17/B16)*100</f>
        <v>-1.23079271123674</v>
      </c>
      <c r="D17" s="7" t="n">
        <f aca="false">STDEV(C15:C17)</f>
        <v>2.52696351646778</v>
      </c>
      <c r="E17" s="7" t="n">
        <f aca="false">STDEV(C6:C17)</f>
        <v>3.59191504895339</v>
      </c>
    </row>
    <row r="18" customFormat="false" ht="15" hidden="false" customHeight="true" outlineLevel="0" collapsed="false">
      <c r="A18" s="7" t="s">
        <v>40</v>
      </c>
      <c r="B18" s="7" t="n">
        <v>356.964294433594</v>
      </c>
      <c r="C18" s="7" t="n">
        <f aca="false">LN(B18/B17)*100</f>
        <v>-0.379998447749823</v>
      </c>
      <c r="D18" s="7" t="n">
        <f aca="false">STDEV(C16:C18)</f>
        <v>0.472658754618764</v>
      </c>
      <c r="E18" s="7" t="n">
        <f aca="false">STDEV(C7:C18)</f>
        <v>3.57802202106459</v>
      </c>
    </row>
    <row r="19" customFormat="false" ht="15" hidden="false" customHeight="true" outlineLevel="0" collapsed="false">
      <c r="A19" s="7" t="s">
        <v>41</v>
      </c>
      <c r="B19" s="7" t="n">
        <v>366.910003662109</v>
      </c>
      <c r="C19" s="7" t="n">
        <f aca="false">LN(B19/B18)*100</f>
        <v>2.7480835168127</v>
      </c>
      <c r="D19" s="7" t="n">
        <f aca="false">STDEV(C17:C19)</f>
        <v>2.0952407854445</v>
      </c>
      <c r="E19" s="7" t="n">
        <f aca="false">STDEV(C8:C19)</f>
        <v>3.39308162176582</v>
      </c>
    </row>
    <row r="20" customFormat="false" ht="15" hidden="false" customHeight="true" outlineLevel="0" collapsed="false">
      <c r="A20" s="7" t="s">
        <v>42</v>
      </c>
      <c r="B20" s="7" t="n">
        <v>367.792266845703</v>
      </c>
      <c r="C20" s="7" t="n">
        <f aca="false">LN(B20/B19)*100</f>
        <v>0.240169016237603</v>
      </c>
      <c r="D20" s="7" t="n">
        <f aca="false">STDEV(C18:C20)</f>
        <v>1.65625781017554</v>
      </c>
      <c r="E20" s="7" t="n">
        <f aca="false">STDEV(C9:C20)</f>
        <v>3.30397395033367</v>
      </c>
    </row>
    <row r="21" customFormat="false" ht="15" hidden="false" customHeight="true" outlineLevel="0" collapsed="false">
      <c r="A21" s="7" t="s">
        <v>43</v>
      </c>
      <c r="B21" s="7" t="n">
        <v>356.669525146484</v>
      </c>
      <c r="C21" s="7" t="n">
        <f aca="false">LN(B21/B20)*100</f>
        <v>-3.07086333309545</v>
      </c>
      <c r="D21" s="7" t="n">
        <f aca="false">STDEV(C19:C21)</f>
        <v>2.91869585039223</v>
      </c>
      <c r="E21" s="7" t="n">
        <f aca="false">STDEV(C10:C21)</f>
        <v>2.11108403245174</v>
      </c>
    </row>
    <row r="22" customFormat="false" ht="15" hidden="false" customHeight="true" outlineLevel="0" collapsed="false">
      <c r="A22" s="7" t="s">
        <v>44</v>
      </c>
      <c r="B22" s="7" t="n">
        <v>348.742858886719</v>
      </c>
      <c r="C22" s="7" t="n">
        <f aca="false">LN(B22/B21)*100</f>
        <v>-2.24747965696714</v>
      </c>
      <c r="D22" s="7" t="n">
        <f aca="false">STDEV(C20:C22)</f>
        <v>1.72381804036572</v>
      </c>
      <c r="E22" s="7" t="n">
        <f aca="false">STDEV(C11:C22)</f>
        <v>2.14797756981025</v>
      </c>
    </row>
    <row r="23" customFormat="false" ht="15" hidden="false" customHeight="true" outlineLevel="0" collapsed="false">
      <c r="A23" s="7" t="s">
        <v>45</v>
      </c>
      <c r="B23" s="7" t="n">
        <v>358.814361572266</v>
      </c>
      <c r="C23" s="7" t="n">
        <f aca="false">LN(B23/B22)*100</f>
        <v>2.84702994467017</v>
      </c>
      <c r="D23" s="7" t="n">
        <f aca="false">STDEV(C21:C23)</f>
        <v>3.20555376407657</v>
      </c>
      <c r="E23" s="7" t="n">
        <f aca="false">STDEV(C12:C23)</f>
        <v>2.3547541782145</v>
      </c>
    </row>
    <row r="24" customFormat="false" ht="15" hidden="false" customHeight="true" outlineLevel="0" collapsed="false">
      <c r="A24" s="7" t="s">
        <v>46</v>
      </c>
      <c r="B24" s="7" t="n">
        <v>359.589996337891</v>
      </c>
      <c r="C24" s="7" t="n">
        <f aca="false">LN(B24/B23)*100</f>
        <v>0.215932728821503</v>
      </c>
      <c r="D24" s="7" t="n">
        <f aca="false">STDEV(C22:C24)</f>
        <v>2.54771470220137</v>
      </c>
      <c r="E24" s="7" t="n">
        <f aca="false">STDEV(C13:C24)</f>
        <v>2.35493201667823</v>
      </c>
    </row>
    <row r="25" customFormat="false" ht="15" hidden="false" customHeight="true" outlineLevel="0" collapsed="false">
      <c r="A25" s="7" t="s">
        <v>47</v>
      </c>
      <c r="B25" s="7" t="n">
        <v>361.532012939453</v>
      </c>
      <c r="C25" s="7" t="n">
        <f aca="false">LN(B25/B24)*100</f>
        <v>0.538611017672481</v>
      </c>
      <c r="D25" s="7" t="n">
        <f aca="false">STDEV(C23:C25)</f>
        <v>1.43501404057379</v>
      </c>
      <c r="E25" s="7" t="n">
        <f aca="false">STDEV(C14:C25)</f>
        <v>2.35610041433307</v>
      </c>
    </row>
    <row r="26" customFormat="false" ht="15" hidden="false" customHeight="true" outlineLevel="0" collapsed="false">
      <c r="A26" s="7" t="s">
        <v>48</v>
      </c>
      <c r="B26" s="7" t="n">
        <v>354.700958251953</v>
      </c>
      <c r="C26" s="7" t="n">
        <f aca="false">LN(B26/B25)*100</f>
        <v>-1.9075530166859</v>
      </c>
      <c r="D26" s="7" t="n">
        <f aca="false">STDEV(C24:C26)</f>
        <v>1.32897400729895</v>
      </c>
      <c r="E26" s="7" t="n">
        <f aca="false">STDEV(C15:C26)</f>
        <v>2.28731182327431</v>
      </c>
    </row>
    <row r="27" customFormat="false" ht="15" hidden="false" customHeight="true" outlineLevel="0" collapsed="false">
      <c r="A27" s="7" t="s">
        <v>49</v>
      </c>
      <c r="B27" s="7" t="n">
        <v>353.779998779297</v>
      </c>
      <c r="C27" s="7" t="n">
        <f aca="false">LN(B27/B26)*100</f>
        <v>-0.259981579532838</v>
      </c>
      <c r="D27" s="7" t="n">
        <f aca="false">STDEV(C25:C27)</f>
        <v>1.24739463548511</v>
      </c>
      <c r="E27" s="7" t="n">
        <f aca="false">STDEV(C16:C27)</f>
        <v>1.79322606432761</v>
      </c>
    </row>
    <row r="28" customFormat="false" ht="15" hidden="false" customHeight="true" outlineLevel="0" collapsed="false">
      <c r="A28" s="7" t="s">
        <v>50</v>
      </c>
      <c r="B28" s="7" t="n">
        <v>344.183319091797</v>
      </c>
      <c r="C28" s="7" t="n">
        <f aca="false">LN(B28/B27)*100</f>
        <v>-2.75008277979762</v>
      </c>
      <c r="D28" s="7" t="n">
        <f aca="false">STDEV(C26:C28)</f>
        <v>1.26655385658696</v>
      </c>
      <c r="E28" s="7" t="n">
        <f aca="false">STDEV(C17:C28)</f>
        <v>1.93435293340476</v>
      </c>
    </row>
    <row r="29" customFormat="false" ht="15" hidden="false" customHeight="true" outlineLevel="0" collapsed="false">
      <c r="A29" s="7" t="s">
        <v>51</v>
      </c>
      <c r="B29" s="7" t="n">
        <v>338.691589355469</v>
      </c>
      <c r="C29" s="7" t="n">
        <f aca="false">LN(B29/B28)*100</f>
        <v>-1.60844923877242</v>
      </c>
      <c r="D29" s="7" t="n">
        <f aca="false">STDEV(C27:C29)</f>
        <v>1.24648145845074</v>
      </c>
      <c r="E29" s="7" t="n">
        <f aca="false">STDEV(C18:C29)</f>
        <v>1.95141956502044</v>
      </c>
    </row>
    <row r="30" customFormat="false" ht="15" hidden="false" customHeight="true" outlineLevel="0" collapsed="false">
      <c r="A30" s="7" t="s">
        <v>52</v>
      </c>
      <c r="B30" s="7" t="n">
        <v>337.098937988281</v>
      </c>
      <c r="C30" s="7" t="n">
        <f aca="false">LN(B30/B29)*100</f>
        <v>-0.471345557938947</v>
      </c>
      <c r="D30" s="7" t="n">
        <f aca="false">STDEV(C28:C30)</f>
        <v>1.1393693613313</v>
      </c>
      <c r="E30" s="7" t="n">
        <f aca="false">STDEV(C19:C30)</f>
        <v>1.95121664070217</v>
      </c>
    </row>
    <row r="31" customFormat="false" ht="15" hidden="false" customHeight="true" outlineLevel="0" collapsed="false">
      <c r="A31" s="7" t="s">
        <v>53</v>
      </c>
      <c r="B31" s="7" t="n">
        <v>341.021911621094</v>
      </c>
      <c r="C31" s="7" t="n">
        <f aca="false">LN(B31/B30)*100</f>
        <v>1.15702603726684</v>
      </c>
      <c r="D31" s="7" t="n">
        <f aca="false">STDEV(C29:C31)</f>
        <v>1.38999114717939</v>
      </c>
      <c r="E31" s="7" t="n">
        <f aca="false">STDEV(C20:C31)</f>
        <v>1.75647168894124</v>
      </c>
    </row>
    <row r="32" customFormat="false" ht="15" hidden="false" customHeight="true" outlineLevel="0" collapsed="false">
      <c r="A32" s="7" t="s">
        <v>54</v>
      </c>
      <c r="B32" s="7" t="n">
        <v>352.254486083984</v>
      </c>
      <c r="C32" s="7" t="n">
        <f aca="false">LN(B32/B31)*100</f>
        <v>3.24071540368765</v>
      </c>
      <c r="D32" s="7" t="n">
        <f aca="false">STDEV(C30:C32)</f>
        <v>1.86067872968622</v>
      </c>
      <c r="E32" s="7" t="n">
        <f aca="false">STDEV(C21:C32)</f>
        <v>2.0734372475461</v>
      </c>
    </row>
    <row r="33" customFormat="false" ht="15" hidden="false" customHeight="true" outlineLevel="0" collapsed="false">
      <c r="A33" s="7" t="s">
        <v>55</v>
      </c>
      <c r="B33" s="7" t="n">
        <v>342.892852783203</v>
      </c>
      <c r="C33" s="7" t="n">
        <f aca="false">LN(B33/B32)*100</f>
        <v>-2.69358704012723</v>
      </c>
      <c r="D33" s="7" t="n">
        <f aca="false">STDEV(C31:C33)</f>
        <v>3.01067345572937</v>
      </c>
      <c r="E33" s="7" t="n">
        <f aca="false">STDEV(C22:C33)</f>
        <v>2.03101688321573</v>
      </c>
    </row>
    <row r="34" customFormat="false" ht="15" hidden="false" customHeight="true" outlineLevel="0" collapsed="false">
      <c r="A34" s="7" t="s">
        <v>56</v>
      </c>
      <c r="B34" s="7" t="n">
        <v>345.006500244141</v>
      </c>
      <c r="C34" s="7" t="n">
        <f aca="false">LN(B34/B33)*100</f>
        <v>0.614524233314385</v>
      </c>
      <c r="D34" s="7" t="n">
        <f aca="false">STDEV(C32:C34)</f>
        <v>2.97367409544392</v>
      </c>
      <c r="E34" s="7" t="n">
        <f aca="false">STDEV(C23:C34)</f>
        <v>1.95164721581831</v>
      </c>
    </row>
    <row r="35" customFormat="false" ht="15" hidden="false" customHeight="true" outlineLevel="0" collapsed="false">
      <c r="A35" s="7" t="s">
        <v>57</v>
      </c>
      <c r="B35" s="7" t="n">
        <v>344.892395019531</v>
      </c>
      <c r="C35" s="7" t="n">
        <f aca="false">LN(B35/B34)*100</f>
        <v>-0.0330788254435048</v>
      </c>
      <c r="D35" s="7" t="n">
        <f aca="false">STDEV(C33:C35)</f>
        <v>1.75315400918761</v>
      </c>
      <c r="E35" s="7" t="n">
        <f aca="false">STDEV(C24:C35)</f>
        <v>1.72113603190221</v>
      </c>
    </row>
    <row r="36" customFormat="false" ht="15" hidden="false" customHeight="true" outlineLevel="0" collapsed="false">
      <c r="A36" s="7" t="s">
        <v>58</v>
      </c>
      <c r="B36" s="7" t="n">
        <v>335.050537109375</v>
      </c>
      <c r="C36" s="7" t="n">
        <f aca="false">LN(B36/B35)*100</f>
        <v>-2.89510923965977</v>
      </c>
      <c r="D36" s="7" t="n">
        <f aca="false">STDEV(C34:C36)</f>
        <v>1.86762482528978</v>
      </c>
      <c r="E36" s="7" t="n">
        <f aca="false">STDEV(C25:C36)</f>
        <v>1.86015669526989</v>
      </c>
    </row>
    <row r="37" customFormat="false" ht="15" hidden="false" customHeight="true" outlineLevel="0" collapsed="false">
      <c r="A37" s="7" t="s">
        <v>59</v>
      </c>
      <c r="B37" s="7" t="n">
        <v>334.80712890625</v>
      </c>
      <c r="C37" s="7" t="n">
        <f aca="false">LN(B37/B36)*100</f>
        <v>-0.0726746072149938</v>
      </c>
      <c r="D37" s="7" t="n">
        <f aca="false">STDEV(C35:C37)</f>
        <v>1.64108313684676</v>
      </c>
      <c r="E37" s="7" t="n">
        <f aca="false">STDEV(C26:C37)</f>
        <v>1.83466436676696</v>
      </c>
    </row>
    <row r="38" customFormat="false" ht="15" hidden="false" customHeight="true" outlineLevel="0" collapsed="false">
      <c r="A38" s="7" t="s">
        <v>60</v>
      </c>
      <c r="B38" s="7" t="n">
        <v>329.030548095703</v>
      </c>
      <c r="C38" s="7" t="n">
        <f aca="false">LN(B38/B37)*100</f>
        <v>-1.74040336083754</v>
      </c>
      <c r="D38" s="7" t="n">
        <f aca="false">STDEV(C36:C38)</f>
        <v>1.41896688454839</v>
      </c>
      <c r="E38" s="7" t="n">
        <f aca="false">STDEV(C27:C38)</f>
        <v>1.82477356334903</v>
      </c>
    </row>
    <row r="39" customFormat="false" ht="15" hidden="false" customHeight="true" outlineLevel="0" collapsed="false">
      <c r="A39" s="7" t="s">
        <v>61</v>
      </c>
      <c r="B39" s="7" t="n">
        <v>329.299987792969</v>
      </c>
      <c r="C39" s="7" t="n">
        <f aca="false">LN(B39/B38)*100</f>
        <v>0.0818554503010278</v>
      </c>
      <c r="D39" s="7" t="n">
        <f aca="false">STDEV(C37:C39)</f>
        <v>1.01043108862072</v>
      </c>
      <c r="E39" s="7" t="n">
        <f aca="false">STDEV(C28:C39)</f>
        <v>1.83365411915085</v>
      </c>
    </row>
    <row r="40" customFormat="false" ht="15" hidden="false" customHeight="true" outlineLevel="0" collapsed="false">
      <c r="A40" s="7" t="s">
        <v>62</v>
      </c>
      <c r="B40" s="7" t="n">
        <v>330.096954345703</v>
      </c>
      <c r="C40" s="7" t="n">
        <f aca="false">LN(B40/B39)*100</f>
        <v>0.241726004435254</v>
      </c>
      <c r="D40" s="7" t="n">
        <f aca="false">STDEV(C38:C40)</f>
        <v>1.10113748683865</v>
      </c>
      <c r="E40" s="7" t="n">
        <f aca="false">STDEV(C29:C40)</f>
        <v>1.71385379998999</v>
      </c>
    </row>
    <row r="41" customFormat="false" ht="15" hidden="false" customHeight="true" outlineLevel="0" collapsed="false">
      <c r="A41" s="7" t="s">
        <v>63</v>
      </c>
      <c r="B41" s="7" t="n">
        <v>342.05712890625</v>
      </c>
      <c r="C41" s="7" t="n">
        <f aca="false">LN(B41/B40)*100</f>
        <v>3.55913543408704</v>
      </c>
      <c r="D41" s="7" t="n">
        <f aca="false">STDEV(C39:C41)</f>
        <v>1.96308600608246</v>
      </c>
      <c r="E41" s="7" t="n">
        <f aca="false">STDEV(C30:C41)</f>
        <v>1.99463605491012</v>
      </c>
    </row>
    <row r="42" customFormat="false" ht="15" hidden="false" customHeight="true" outlineLevel="0" collapsed="false">
      <c r="A42" s="7" t="s">
        <v>64</v>
      </c>
      <c r="B42" s="7" t="n">
        <v>366.667999267578</v>
      </c>
      <c r="C42" s="7" t="n">
        <f aca="false">LN(B42/B41)*100</f>
        <v>6.94790377799645</v>
      </c>
      <c r="D42" s="7" t="n">
        <f aca="false">STDEV(C40:C42)</f>
        <v>3.35315216234991</v>
      </c>
      <c r="E42" s="7" t="n">
        <f aca="false">STDEV(C31:C42)</f>
        <v>2.79619425940482</v>
      </c>
    </row>
    <row r="43" customFormat="false" ht="15" hidden="false" customHeight="true" outlineLevel="0" collapsed="false">
      <c r="A43" s="7" t="s">
        <v>65</v>
      </c>
      <c r="B43" s="7" t="n">
        <v>371.809997558594</v>
      </c>
      <c r="C43" s="7" t="n">
        <f aca="false">LN(B43/B42)*100</f>
        <v>1.39261600622473</v>
      </c>
      <c r="D43" s="7" t="n">
        <f aca="false">STDEV(C41:C43)</f>
        <v>2.79996367676392</v>
      </c>
      <c r="E43" s="7" t="n">
        <f aca="false">STDEV(C32:C43)</f>
        <v>2.80051341376212</v>
      </c>
    </row>
    <row r="44" customFormat="false" ht="15" hidden="false" customHeight="true" outlineLevel="0" collapsed="false">
      <c r="A44" s="7" t="s">
        <v>66</v>
      </c>
      <c r="B44" s="7" t="n">
        <v>392.399993896484</v>
      </c>
      <c r="C44" s="7" t="n">
        <f aca="false">LN(B44/B43)*100</f>
        <v>5.38987475967688</v>
      </c>
      <c r="D44" s="7" t="n">
        <f aca="false">STDEV(C42:C44)</f>
        <v>2.86550618539355</v>
      </c>
      <c r="E44" s="7" t="n">
        <f aca="false">STDEV(C33:C44)</f>
        <v>3.03523472705667</v>
      </c>
    </row>
    <row r="45" customFormat="false" ht="15" hidden="false" customHeight="true" outlineLevel="0" collapsed="false">
      <c r="A45" s="7" t="s">
        <v>67</v>
      </c>
      <c r="B45" s="7" t="n">
        <v>378.700012207031</v>
      </c>
      <c r="C45" s="7" t="n">
        <f aca="false">LN(B45/B44)*100</f>
        <v>-3.55373449950969</v>
      </c>
      <c r="D45" s="7" t="n">
        <f aca="false">STDEV(C43:C45)</f>
        <v>4.480189866673</v>
      </c>
      <c r="E45" s="7" t="n">
        <f aca="false">STDEV(C34:C45)</f>
        <v>3.13627373523223</v>
      </c>
    </row>
    <row r="46" customFormat="false" ht="15" hidden="false" customHeight="true" outlineLevel="0" collapsed="false">
      <c r="A46" s="7" t="s">
        <v>68</v>
      </c>
      <c r="B46" s="7" t="n">
        <v>354.399993896484</v>
      </c>
      <c r="C46" s="7" t="n">
        <f aca="false">LN(B46/B45)*100</f>
        <v>-6.63181656329737</v>
      </c>
      <c r="D46" s="7" t="n">
        <f aca="false">STDEV(C44:C46)</f>
        <v>6.24478179545789</v>
      </c>
      <c r="E46" s="7" t="n">
        <f aca="false">STDEV(C35:C46)</f>
        <v>3.80695275277363</v>
      </c>
    </row>
    <row r="47" customFormat="false" ht="15" hidden="false" customHeight="true" outlineLevel="0" collapsed="false">
      <c r="A47" s="7" t="s">
        <v>69</v>
      </c>
      <c r="B47" s="7" t="n">
        <v>362.380004882813</v>
      </c>
      <c r="C47" s="7" t="n">
        <f aca="false">LN(B47/B46)*100</f>
        <v>2.22671969734358</v>
      </c>
      <c r="D47" s="7" t="n">
        <f aca="false">STDEV(C45:C47)</f>
        <v>4.49744195060594</v>
      </c>
      <c r="E47" s="7" t="n">
        <f aca="false">STDEV(C36:C47)</f>
        <v>3.84875025177879</v>
      </c>
    </row>
    <row r="48" customFormat="false" ht="15" hidden="false" customHeight="true" outlineLevel="0" collapsed="false">
      <c r="A48" s="7" t="s">
        <v>70</v>
      </c>
      <c r="B48" s="7" t="n">
        <v>374.167510986328</v>
      </c>
      <c r="C48" s="7" t="n">
        <f aca="false">LN(B48/B47)*100</f>
        <v>3.2010188997119</v>
      </c>
      <c r="D48" s="7" t="n">
        <f aca="false">STDEV(C46:C48)</f>
        <v>5.4176805747392</v>
      </c>
      <c r="E48" s="7" t="n">
        <f aca="false">STDEV(C37:C48)</f>
        <v>3.77412595330101</v>
      </c>
    </row>
    <row r="49" customFormat="false" ht="15" hidden="false" customHeight="true" outlineLevel="0" collapsed="false">
      <c r="A49" s="7" t="s">
        <v>71</v>
      </c>
      <c r="B49" s="7" t="n">
        <v>383.302001953125</v>
      </c>
      <c r="C49" s="7" t="n">
        <f aca="false">LN(B49/B48)*100</f>
        <v>2.41196078340818</v>
      </c>
      <c r="D49" s="7" t="n">
        <f aca="false">STDEV(C47:C49)</f>
        <v>0.51739506288823</v>
      </c>
      <c r="E49" s="7" t="n">
        <f aca="false">STDEV(C38:C49)</f>
        <v>3.78284966075346</v>
      </c>
    </row>
    <row r="50" customFormat="false" ht="15" hidden="false" customHeight="true" outlineLevel="0" collapsed="false">
      <c r="A50" s="7" t="s">
        <v>72</v>
      </c>
      <c r="B50" s="7" t="n">
        <v>387.077514648438</v>
      </c>
      <c r="C50" s="7" t="n">
        <f aca="false">LN(B50/B49)*100</f>
        <v>0.980177390890843</v>
      </c>
      <c r="D50" s="7" t="n">
        <f aca="false">STDEV(C48:C50)</f>
        <v>1.1258147717169</v>
      </c>
      <c r="E50" s="7" t="n">
        <f aca="false">STDEV(C39:C50)</f>
        <v>3.6753593534964</v>
      </c>
    </row>
    <row r="51" customFormat="false" ht="15" hidden="false" customHeight="true" outlineLevel="0" collapsed="false">
      <c r="A51" s="7" t="s">
        <v>73</v>
      </c>
      <c r="B51" s="7" t="n">
        <v>382.304992675781</v>
      </c>
      <c r="C51" s="7" t="n">
        <f aca="false">LN(B51/B50)*100</f>
        <v>-1.24062690295922</v>
      </c>
      <c r="D51" s="7" t="n">
        <f aca="false">STDEV(C49:C51)</f>
        <v>1.84044252836441</v>
      </c>
      <c r="E51" s="7" t="n">
        <f aca="false">STDEV(C40:C51)</f>
        <v>3.73629369669858</v>
      </c>
    </row>
    <row r="52" customFormat="false" ht="15" hidden="false" customHeight="true" outlineLevel="0" collapsed="false">
      <c r="A52" s="7" t="s">
        <v>74</v>
      </c>
      <c r="B52" s="7" t="n">
        <v>383.877502441406</v>
      </c>
      <c r="C52" s="7" t="n">
        <f aca="false">LN(B52/B51)*100</f>
        <v>0.410479744350224</v>
      </c>
      <c r="D52" s="7" t="n">
        <f aca="false">STDEV(C50:C52)</f>
        <v>1.15344991806076</v>
      </c>
      <c r="E52" s="7" t="n">
        <f aca="false">STDEV(C41:C52)</f>
        <v>3.73249504436988</v>
      </c>
    </row>
    <row r="53" customFormat="false" ht="15" hidden="false" customHeight="true" outlineLevel="0" collapsed="false">
      <c r="A53" s="7" t="s">
        <v>75</v>
      </c>
      <c r="B53" s="7" t="n">
        <v>377.321044921875</v>
      </c>
      <c r="C53" s="7" t="n">
        <f aca="false">LN(B53/B52)*100</f>
        <v>-1.72270945330121</v>
      </c>
      <c r="D53" s="7" t="n">
        <f aca="false">STDEV(C51:C53)</f>
        <v>1.11870854851405</v>
      </c>
      <c r="E53" s="7" t="n">
        <f aca="false">STDEV(C42:C53)</f>
        <v>3.74783907912453</v>
      </c>
    </row>
    <row r="54" customFormat="false" ht="15" hidden="false" customHeight="true" outlineLevel="0" collapsed="false">
      <c r="A54" s="7" t="s">
        <v>76</v>
      </c>
      <c r="B54" s="7" t="n">
        <v>381.589996337891</v>
      </c>
      <c r="C54" s="7" t="n">
        <f aca="false">LN(B54/B53)*100</f>
        <v>1.12503210797978</v>
      </c>
      <c r="D54" s="7" t="n">
        <f aca="false">STDEV(C52:C54)</f>
        <v>1.48159335588371</v>
      </c>
      <c r="E54" s="7" t="n">
        <f aca="false">STDEV(C43:C54)</f>
        <v>3.22205924167455</v>
      </c>
    </row>
    <row r="55" customFormat="false" ht="15" hidden="false" customHeight="true" outlineLevel="0" collapsed="false">
      <c r="A55" s="7" t="s">
        <v>77</v>
      </c>
      <c r="B55" s="7" t="n">
        <v>385.743194580078</v>
      </c>
      <c r="C55" s="7" t="n">
        <f aca="false">LN(B55/B54)*100</f>
        <v>1.08251248568354</v>
      </c>
      <c r="D55" s="7" t="n">
        <f aca="false">STDEV(C53:C55)</f>
        <v>1.63200847858749</v>
      </c>
      <c r="E55" s="7" t="n">
        <f aca="false">STDEV(C44:C55)</f>
        <v>3.21401660806068</v>
      </c>
    </row>
    <row r="56" customFormat="false" ht="15" hidden="false" customHeight="true" outlineLevel="0" collapsed="false">
      <c r="A56" s="7" t="s">
        <v>78</v>
      </c>
      <c r="B56" s="7" t="n">
        <v>385.399993896484</v>
      </c>
      <c r="C56" s="7" t="n">
        <f aca="false">LN(B56/B55)*100</f>
        <v>-0.0890108896459827</v>
      </c>
      <c r="D56" s="7" t="n">
        <f aca="false">STDEV(C54:C56)</f>
        <v>0.688981777372457</v>
      </c>
      <c r="E56" s="7" t="n">
        <f aca="false">STDEV(C45:C56)</f>
        <v>2.78704724598817</v>
      </c>
    </row>
    <row r="57" customFormat="false" ht="15" hidden="false" customHeight="true" outlineLevel="0" collapsed="false">
      <c r="A57" s="7" t="s">
        <v>79</v>
      </c>
      <c r="B57" s="7" t="n">
        <v>380.761352539063</v>
      </c>
      <c r="C57" s="7" t="n">
        <f aca="false">LN(B57/B56)*100</f>
        <v>-1.210893255773</v>
      </c>
      <c r="D57" s="7" t="n">
        <f aca="false">STDEV(C55:C57)</f>
        <v>1.14679240763939</v>
      </c>
      <c r="E57" s="7" t="n">
        <f aca="false">STDEV(C46:C57)</f>
        <v>2.60291151616283</v>
      </c>
    </row>
    <row r="58" customFormat="false" ht="15" hidden="false" customHeight="true" outlineLevel="0" collapsed="false">
      <c r="A58" s="7" t="s">
        <v>80</v>
      </c>
      <c r="B58" s="7" t="n">
        <v>391.928100585938</v>
      </c>
      <c r="C58" s="7" t="n">
        <f aca="false">LN(B58/B57)*100</f>
        <v>2.89055985092225</v>
      </c>
      <c r="D58" s="7" t="n">
        <f aca="false">STDEV(C56:C58)</f>
        <v>2.11968470249301</v>
      </c>
      <c r="E58" s="7" t="n">
        <f aca="false">STDEV(C47:C58)</f>
        <v>1.6646906717279</v>
      </c>
    </row>
    <row r="59" customFormat="false" ht="15" hidden="false" customHeight="true" outlineLevel="0" collapsed="false">
      <c r="A59" s="7" t="s">
        <v>81</v>
      </c>
      <c r="B59" s="7" t="n">
        <v>389.594451904297</v>
      </c>
      <c r="C59" s="7" t="n">
        <f aca="false">LN(B59/B58)*100</f>
        <v>-0.597207491999134</v>
      </c>
      <c r="D59" s="7" t="n">
        <f aca="false">STDEV(C57:C59)</f>
        <v>2.21220285542969</v>
      </c>
      <c r="E59" s="7" t="n">
        <f aca="false">STDEV(C48:C59)</f>
        <v>1.65018500592618</v>
      </c>
    </row>
    <row r="60" customFormat="false" ht="15" hidden="false" customHeight="true" outlineLevel="0" collapsed="false">
      <c r="A60" s="7" t="s">
        <v>82</v>
      </c>
      <c r="B60" s="7" t="n">
        <v>384.441253662109</v>
      </c>
      <c r="C60" s="7" t="n">
        <f aca="false">LN(B60/B59)*100</f>
        <v>-1.33153402166627</v>
      </c>
      <c r="D60" s="7" t="n">
        <f aca="false">STDEV(C58:C60)</f>
        <v>2.25572727220703</v>
      </c>
      <c r="E60" s="7" t="n">
        <f aca="false">STDEV(C49:C60)</f>
        <v>1.51474364591084</v>
      </c>
    </row>
    <row r="61" customFormat="false" ht="15" hidden="false" customHeight="true" outlineLevel="0" collapsed="false">
      <c r="A61" s="7" t="s">
        <v>83</v>
      </c>
      <c r="B61" s="7" t="n">
        <v>379.399993896484</v>
      </c>
      <c r="C61" s="7" t="n">
        <f aca="false">LN(B61/B60)*100</f>
        <v>-1.31999495446413</v>
      </c>
      <c r="D61" s="7" t="n">
        <f aca="false">STDEV(C59:C61)</f>
        <v>0.420672144339956</v>
      </c>
      <c r="E61" s="7" t="n">
        <f aca="false">STDEV(C50:C61)</f>
        <v>1.40414824861727</v>
      </c>
    </row>
    <row r="62" customFormat="false" ht="15" hidden="false" customHeight="true" outlineLevel="0" collapsed="false">
      <c r="A62" s="7" t="s">
        <v>84</v>
      </c>
      <c r="B62" s="7" t="n">
        <v>378.549987792969</v>
      </c>
      <c r="C62" s="7" t="n">
        <f aca="false">LN(B62/B61)*100</f>
        <v>-0.224290911112622</v>
      </c>
      <c r="D62" s="7" t="n">
        <f aca="false">STDEV(C60:C62)</f>
        <v>0.635962237683608</v>
      </c>
      <c r="E62" s="7" t="n">
        <f aca="false">STDEV(C51:C62)</f>
        <v>1.36352529836633</v>
      </c>
    </row>
    <row r="63" customFormat="false" ht="15" hidden="false" customHeight="true" outlineLevel="0" collapsed="false">
      <c r="A63" s="7" t="s">
        <v>85</v>
      </c>
      <c r="B63" s="7" t="n">
        <v>376.505249023438</v>
      </c>
      <c r="C63" s="7" t="n">
        <f aca="false">LN(B63/B62)*100</f>
        <v>-0.541614353042014</v>
      </c>
      <c r="D63" s="7" t="n">
        <f aca="false">STDEV(C61:C63)</f>
        <v>0.563787471494506</v>
      </c>
      <c r="E63" s="7" t="n">
        <f aca="false">STDEV(C52:C63)</f>
        <v>1.32884831286989</v>
      </c>
    </row>
    <row r="64" customFormat="false" ht="15" hidden="false" customHeight="true" outlineLevel="0" collapsed="false">
      <c r="A64" s="7" t="s">
        <v>86</v>
      </c>
      <c r="B64" s="7" t="n">
        <v>381.661895751953</v>
      </c>
      <c r="C64" s="7" t="n">
        <f aca="false">LN(B64/B63)*100</f>
        <v>1.36031382567964</v>
      </c>
      <c r="D64" s="7" t="n">
        <f aca="false">STDEV(C62:C64)</f>
        <v>1.0189044063501</v>
      </c>
      <c r="E64" s="7" t="n">
        <f aca="false">STDEV(C53:C64)</f>
        <v>1.39065032427314</v>
      </c>
    </row>
    <row r="65" customFormat="false" ht="15" hidden="false" customHeight="true" outlineLevel="0" collapsed="false">
      <c r="A65" s="7" t="s">
        <v>87</v>
      </c>
      <c r="B65" s="7" t="n">
        <v>391.04443359375</v>
      </c>
      <c r="C65" s="7" t="n">
        <f aca="false">LN(B65/B64)*100</f>
        <v>2.42860674045802</v>
      </c>
      <c r="D65" s="7" t="n">
        <f aca="false">STDEV(C63:C65)</f>
        <v>1.50448185394251</v>
      </c>
      <c r="E65" s="7" t="n">
        <f aca="false">STDEV(C54:C65)</f>
        <v>1.45126167178667</v>
      </c>
    </row>
    <row r="66" customFormat="false" ht="15" hidden="false" customHeight="true" outlineLevel="0" collapsed="false">
      <c r="A66" s="7" t="s">
        <v>88</v>
      </c>
      <c r="B66" s="7" t="n">
        <v>385.219055175781</v>
      </c>
      <c r="C66" s="7" t="n">
        <f aca="false">LN(B66/B65)*100</f>
        <v>-1.50090474677351</v>
      </c>
      <c r="D66" s="7" t="n">
        <f aca="false">STDEV(C64:C66)</f>
        <v>2.03178419127135</v>
      </c>
      <c r="E66" s="7" t="n">
        <f aca="false">STDEV(C55:C66)</f>
        <v>1.51188237259342</v>
      </c>
    </row>
    <row r="67" customFormat="false" ht="15" hidden="false" customHeight="true" outlineLevel="0" collapsed="false">
      <c r="A67" s="7" t="s">
        <v>89</v>
      </c>
      <c r="B67" s="7" t="n">
        <v>387.490478515625</v>
      </c>
      <c r="C67" s="7" t="n">
        <f aca="false">LN(B67/B66)*100</f>
        <v>0.587912995321146</v>
      </c>
      <c r="D67" s="7" t="n">
        <f aca="false">STDEV(C65:C67)</f>
        <v>1.96606093290451</v>
      </c>
      <c r="E67" s="7" t="n">
        <f aca="false">STDEV(C56:C67)</f>
        <v>1.48859667399045</v>
      </c>
    </row>
    <row r="68" customFormat="false" ht="15" hidden="false" customHeight="true" outlineLevel="0" collapsed="false">
      <c r="A68" s="7" t="s">
        <v>90</v>
      </c>
      <c r="B68" s="7" t="n">
        <v>386.240478515625</v>
      </c>
      <c r="C68" s="7" t="n">
        <f aca="false">LN(B68/B67)*100</f>
        <v>-0.323110010305594</v>
      </c>
      <c r="D68" s="7" t="n">
        <f aca="false">STDEV(C66:C68)</f>
        <v>1.04724423430593</v>
      </c>
      <c r="E68" s="7" t="n">
        <f aca="false">STDEV(C57:C68)</f>
        <v>1.49193785346448</v>
      </c>
    </row>
    <row r="69" customFormat="false" ht="15" hidden="false" customHeight="true" outlineLevel="0" collapsed="false">
      <c r="A69" s="7" t="s">
        <v>91</v>
      </c>
      <c r="B69" s="7" t="n">
        <v>383.697631835938</v>
      </c>
      <c r="C69" s="7" t="n">
        <f aca="false">LN(B69/B68)*100</f>
        <v>-0.660535149773923</v>
      </c>
      <c r="D69" s="7" t="n">
        <f aca="false">STDEV(C67:C69)</f>
        <v>0.645812332456537</v>
      </c>
      <c r="E69" s="7" t="n">
        <f aca="false">STDEV(C58:C69)</f>
        <v>1.45881287904442</v>
      </c>
    </row>
    <row r="70" customFormat="false" ht="15" hidden="false" customHeight="true" outlineLevel="0" collapsed="false">
      <c r="A70" s="7" t="s">
        <v>92</v>
      </c>
      <c r="B70" s="7" t="n">
        <v>383.217498779297</v>
      </c>
      <c r="C70" s="7" t="n">
        <f aca="false">LN(B70/B69)*100</f>
        <v>-0.125211539113834</v>
      </c>
      <c r="D70" s="7" t="n">
        <f aca="false">STDEV(C68:C70)</f>
        <v>0.270675358370937</v>
      </c>
      <c r="E70" s="7" t="n">
        <f aca="false">STDEV(C59:C70)</f>
        <v>1.1559349064061</v>
      </c>
    </row>
    <row r="71" customFormat="false" ht="15" hidden="false" customHeight="true" outlineLevel="0" collapsed="false">
      <c r="A71" s="7" t="s">
        <v>93</v>
      </c>
      <c r="B71" s="7" t="n">
        <v>383.069030761719</v>
      </c>
      <c r="C71" s="7" t="n">
        <f aca="false">LN(B71/B70)*100</f>
        <v>-0.0387500011320083</v>
      </c>
      <c r="D71" s="7" t="n">
        <f aca="false">STDEV(C69:C71)</f>
        <v>0.3368144238677</v>
      </c>
      <c r="E71" s="7" t="n">
        <f aca="false">STDEV(C60:C71)</f>
        <v>1.14915348861864</v>
      </c>
    </row>
    <row r="72" customFormat="false" ht="15" hidden="false" customHeight="true" outlineLevel="0" collapsed="false">
      <c r="A72" s="7" t="s">
        <v>94</v>
      </c>
      <c r="B72" s="7" t="n">
        <v>385.676300048828</v>
      </c>
      <c r="C72" s="7" t="n">
        <f aca="false">LN(B72/B71)*100</f>
        <v>0.678320681692849</v>
      </c>
      <c r="D72" s="7" t="n">
        <f aca="false">STDEV(C70:C72)</f>
        <v>0.441083890658684</v>
      </c>
      <c r="E72" s="7" t="n">
        <f aca="false">STDEV(C61:C72)</f>
        <v>1.10545805281573</v>
      </c>
    </row>
    <row r="73" customFormat="false" ht="15" hidden="false" customHeight="true" outlineLevel="0" collapsed="false">
      <c r="A73" s="7" t="s">
        <v>95</v>
      </c>
      <c r="B73" s="7" t="n">
        <v>387.557678222656</v>
      </c>
      <c r="C73" s="7" t="n">
        <f aca="false">LN(B73/B72)*100</f>
        <v>0.486626801038158</v>
      </c>
      <c r="D73" s="7" t="n">
        <f aca="false">STDEV(C71:C73)</f>
        <v>0.371249622290697</v>
      </c>
      <c r="E73" s="7" t="n">
        <f aca="false">STDEV(C62:C73)</f>
        <v>1.02550495774219</v>
      </c>
    </row>
    <row r="74" customFormat="false" ht="15" hidden="false" customHeight="true" outlineLevel="0" collapsed="false">
      <c r="A74" s="7" t="s">
        <v>96</v>
      </c>
      <c r="B74" s="7" t="n">
        <v>400.070587158203</v>
      </c>
      <c r="C74" s="7" t="n">
        <f aca="false">LN(B74/B73)*100</f>
        <v>3.17763146918707</v>
      </c>
      <c r="D74" s="7" t="n">
        <f aca="false">STDEV(C72:C74)</f>
        <v>1.50137753859385</v>
      </c>
      <c r="E74" s="7" t="n">
        <f aca="false">STDEV(C63:C74)</f>
        <v>1.3295484160572</v>
      </c>
    </row>
    <row r="75" customFormat="false" ht="15" hidden="false" customHeight="true" outlineLevel="0" collapsed="false">
      <c r="A75" s="7" t="s">
        <v>97</v>
      </c>
      <c r="B75" s="7" t="n">
        <v>404.484222412109</v>
      </c>
      <c r="C75" s="7" t="n">
        <f aca="false">LN(B75/B74)*100</f>
        <v>1.09717311413044</v>
      </c>
      <c r="D75" s="7" t="n">
        <f aca="false">STDEV(C73:C75)</f>
        <v>1.41082599278784</v>
      </c>
      <c r="E75" s="7" t="n">
        <f aca="false">STDEV(C64:C75)</f>
        <v>1.30108726003349</v>
      </c>
    </row>
    <row r="76" customFormat="false" ht="15" hidden="false" customHeight="true" outlineLevel="0" collapsed="false">
      <c r="A76" s="7" t="s">
        <v>98</v>
      </c>
      <c r="B76" s="7" t="n">
        <v>396.326324462891</v>
      </c>
      <c r="C76" s="7" t="n">
        <f aca="false">LN(B76/B75)*100</f>
        <v>-2.03748069918874</v>
      </c>
      <c r="D76" s="7" t="n">
        <f aca="false">STDEV(C74:C76)</f>
        <v>2.62525415992506</v>
      </c>
      <c r="E76" s="7" t="n">
        <f aca="false">STDEV(C65:C76)</f>
        <v>1.47768776482881</v>
      </c>
    </row>
    <row r="77" customFormat="false" ht="15" hidden="false" customHeight="true" outlineLevel="0" collapsed="false">
      <c r="A77" s="7" t="s">
        <v>99</v>
      </c>
      <c r="B77" s="7" t="n">
        <v>393.144989013672</v>
      </c>
      <c r="C77" s="7" t="n">
        <f aca="false">LN(B77/B76)*100</f>
        <v>-0.805945096454015</v>
      </c>
      <c r="D77" s="7" t="n">
        <f aca="false">STDEV(C75:C77)</f>
        <v>1.57927163557645</v>
      </c>
      <c r="E77" s="7" t="n">
        <f aca="false">STDEV(C66:C77)</f>
        <v>1.34608037935006</v>
      </c>
    </row>
    <row r="78" customFormat="false" ht="15" hidden="false" customHeight="true" outlineLevel="0" collapsed="false">
      <c r="A78" s="7" t="s">
        <v>100</v>
      </c>
      <c r="B78" s="7" t="n">
        <v>391.94287109375</v>
      </c>
      <c r="C78" s="7" t="n">
        <f aca="false">LN(B78/B77)*100</f>
        <v>-0.306238045568545</v>
      </c>
      <c r="D78" s="7" t="n">
        <f aca="false">STDEV(C76:C78)</f>
        <v>0.891028263975739</v>
      </c>
      <c r="E78" s="7" t="n">
        <f aca="false">STDEV(C67:C78)</f>
        <v>1.26299492085514</v>
      </c>
    </row>
    <row r="79" customFormat="false" ht="15" hidden="false" customHeight="true" outlineLevel="0" collapsed="false">
      <c r="A79" s="7" t="s">
        <v>101</v>
      </c>
      <c r="B79" s="7" t="n">
        <v>385.272491455078</v>
      </c>
      <c r="C79" s="7" t="n">
        <f aca="false">LN(B79/B78)*100</f>
        <v>-1.7165238214155</v>
      </c>
      <c r="D79" s="7" t="n">
        <f aca="false">STDEV(C77:C79)</f>
        <v>0.715048567186571</v>
      </c>
      <c r="E79" s="7" t="n">
        <f aca="false">STDEV(C68:C79)</f>
        <v>1.36080163306982</v>
      </c>
    </row>
    <row r="80" customFormat="false" ht="15" hidden="false" customHeight="true" outlineLevel="0" collapsed="false">
      <c r="A80" s="7" t="s">
        <v>102</v>
      </c>
      <c r="B80" s="7" t="n">
        <v>383.586364746094</v>
      </c>
      <c r="C80" s="7" t="n">
        <f aca="false">LN(B80/B79)*100</f>
        <v>-0.43860570726479</v>
      </c>
      <c r="D80" s="7" t="n">
        <f aca="false">STDEV(C78:C80)</f>
        <v>0.77883479997298</v>
      </c>
      <c r="E80" s="7" t="n">
        <f aca="false">STDEV(C69:C80)</f>
        <v>1.36333165813187</v>
      </c>
    </row>
    <row r="81" customFormat="false" ht="15" hidden="false" customHeight="true" outlineLevel="0" collapsed="false">
      <c r="A81" s="7" t="s">
        <v>103</v>
      </c>
      <c r="B81" s="7" t="n">
        <v>387.471435546875</v>
      </c>
      <c r="C81" s="7" t="n">
        <f aca="false">LN(B81/B80)*100</f>
        <v>1.0077334481346</v>
      </c>
      <c r="D81" s="7" t="n">
        <f aca="false">STDEV(C79:C81)</f>
        <v>1.36299604606986</v>
      </c>
      <c r="E81" s="7" t="n">
        <f aca="false">STDEV(C70:C81)</f>
        <v>1.38118595559472</v>
      </c>
    </row>
    <row r="82" customFormat="false" ht="15" hidden="false" customHeight="true" outlineLevel="0" collapsed="false">
      <c r="A82" s="7" t="s">
        <v>104</v>
      </c>
      <c r="B82" s="7" t="n">
        <v>382.964996337891</v>
      </c>
      <c r="C82" s="7" t="n">
        <f aca="false">LN(B82/B81)*100</f>
        <v>-1.1698539728232</v>
      </c>
      <c r="D82" s="7" t="n">
        <f aca="false">STDEV(C80:C82)</f>
        <v>1.10818981182807</v>
      </c>
      <c r="E82" s="7" t="n">
        <f aca="false">STDEV(C71:C82)</f>
        <v>1.42754606910611</v>
      </c>
    </row>
    <row r="83" customFormat="false" ht="15" hidden="false" customHeight="true" outlineLevel="0" collapsed="false">
      <c r="A83" s="7" t="s">
        <v>105</v>
      </c>
      <c r="B83" s="7" t="n">
        <v>381.072723388672</v>
      </c>
      <c r="C83" s="7" t="n">
        <f aca="false">LN(B83/B82)*100</f>
        <v>-0.495335968210093</v>
      </c>
      <c r="D83" s="7" t="n">
        <f aca="false">STDEV(C81:C83)</f>
        <v>1.11475551765186</v>
      </c>
      <c r="E83" s="7" t="n">
        <f aca="false">STDEV(C72:C83)</f>
        <v>1.43458050359506</v>
      </c>
    </row>
    <row r="84" customFormat="false" ht="15" hidden="false" customHeight="true" outlineLevel="0" collapsed="false">
      <c r="A84" s="7" t="s">
        <v>106</v>
      </c>
      <c r="B84" s="7" t="n">
        <v>378.516662597656</v>
      </c>
      <c r="C84" s="7" t="n">
        <f aca="false">LN(B84/B83)*100</f>
        <v>-0.673013732465595</v>
      </c>
      <c r="D84" s="7" t="n">
        <f aca="false">STDEV(C82:C84)</f>
        <v>0.349617445907353</v>
      </c>
      <c r="E84" s="7" t="n">
        <f aca="false">STDEV(C73:C84)</f>
        <v>1.42577597279315</v>
      </c>
    </row>
    <row r="85" customFormat="false" ht="15" hidden="false" customHeight="true" outlineLevel="0" collapsed="false">
      <c r="A85" s="7" t="s">
        <v>107</v>
      </c>
      <c r="B85" s="7" t="n">
        <v>368.977661132813</v>
      </c>
      <c r="C85" s="7" t="n">
        <f aca="false">LN(B85/B84)*100</f>
        <v>-2.55239913511018</v>
      </c>
      <c r="D85" s="7" t="n">
        <f aca="false">STDEV(C83:C85)</f>
        <v>1.13982219024149</v>
      </c>
      <c r="E85" s="7" t="n">
        <f aca="false">STDEV(C74:C85)</f>
        <v>1.56438777076253</v>
      </c>
    </row>
    <row r="86" customFormat="false" ht="15" hidden="false" customHeight="true" outlineLevel="0" collapsed="false">
      <c r="A86" s="7" t="s">
        <v>108</v>
      </c>
      <c r="B86" s="7" t="n">
        <v>355.200012207031</v>
      </c>
      <c r="C86" s="7" t="n">
        <f aca="false">LN(B86/B85)*100</f>
        <v>-3.805505778785</v>
      </c>
      <c r="D86" s="7" t="n">
        <f aca="false">STDEV(C84:C86)</f>
        <v>1.5766458158778</v>
      </c>
      <c r="E86" s="7" t="n">
        <f aca="false">STDEV(C75:C86)</f>
        <v>1.39881080261745</v>
      </c>
    </row>
    <row r="87" customFormat="false" ht="15" hidden="false" customHeight="true" outlineLevel="0" collapsed="false">
      <c r="A87" s="7" t="s">
        <v>109</v>
      </c>
      <c r="B87" s="7" t="n">
        <v>346.713195800781</v>
      </c>
      <c r="C87" s="7" t="n">
        <f aca="false">LN(B87/B86)*100</f>
        <v>-2.4183132367766</v>
      </c>
      <c r="D87" s="7" t="n">
        <f aca="false">STDEV(C85:C87)</f>
        <v>0.765131626710682</v>
      </c>
      <c r="E87" s="7" t="n">
        <f aca="false">STDEV(C76:C87)</f>
        <v>1.2851570973992</v>
      </c>
    </row>
    <row r="88" customFormat="false" ht="15" hidden="false" customHeight="true" outlineLevel="0" collapsed="false">
      <c r="A88" s="7" t="s">
        <v>110</v>
      </c>
      <c r="B88" s="7" t="n">
        <v>351.805267333984</v>
      </c>
      <c r="C88" s="7" t="n">
        <f aca="false">LN(B88/B87)*100</f>
        <v>1.45798915985968</v>
      </c>
      <c r="D88" s="7" t="n">
        <f aca="false">STDEV(C86:C88)</f>
        <v>2.72807631821124</v>
      </c>
      <c r="E88" s="7" t="n">
        <f aca="false">STDEV(C77:C88)</f>
        <v>1.4802494793432</v>
      </c>
    </row>
    <row r="89" customFormat="false" ht="15" hidden="false" customHeight="true" outlineLevel="0" collapsed="false">
      <c r="A89" s="7" t="s">
        <v>111</v>
      </c>
      <c r="B89" s="7" t="n">
        <v>344.583343505859</v>
      </c>
      <c r="C89" s="7" t="n">
        <f aca="false">LN(B89/B88)*100</f>
        <v>-2.07418175244604</v>
      </c>
      <c r="D89" s="7" t="n">
        <f aca="false">STDEV(C87:C89)</f>
        <v>2.14555269112702</v>
      </c>
      <c r="E89" s="7" t="n">
        <f aca="false">STDEV(C78:C89)</f>
        <v>1.51064255783824</v>
      </c>
    </row>
    <row r="90" customFormat="false" ht="15" hidden="false" customHeight="true" outlineLevel="0" collapsed="false">
      <c r="A90" s="7" t="s">
        <v>112</v>
      </c>
      <c r="B90" s="7" t="n">
        <v>343.702789306641</v>
      </c>
      <c r="C90" s="7" t="n">
        <f aca="false">LN(B90/B89)*100</f>
        <v>-0.255868784113634</v>
      </c>
      <c r="D90" s="7" t="n">
        <f aca="false">STDEV(C88:C90)</f>
        <v>1.76634285350008</v>
      </c>
      <c r="E90" s="7" t="n">
        <f aca="false">STDEV(C79:C90)</f>
        <v>1.51311256953657</v>
      </c>
    </row>
    <row r="91" customFormat="false" ht="15" hidden="false" customHeight="true" outlineLevel="0" collapsed="false">
      <c r="A91" s="7" t="s">
        <v>113</v>
      </c>
      <c r="B91" s="7" t="n">
        <v>340.476318359375</v>
      </c>
      <c r="C91" s="7" t="n">
        <f aca="false">LN(B91/B90)*100</f>
        <v>-0.943172578436849</v>
      </c>
      <c r="D91" s="7" t="n">
        <f aca="false">STDEV(C89:C91)</f>
        <v>0.918134912761543</v>
      </c>
      <c r="E91" s="7" t="n">
        <f aca="false">STDEV(C80:C91)</f>
        <v>1.50062827987695</v>
      </c>
    </row>
    <row r="92" customFormat="false" ht="15" hidden="false" customHeight="true" outlineLevel="0" collapsed="false">
      <c r="A92" s="7" t="s">
        <v>114</v>
      </c>
      <c r="B92" s="7" t="n">
        <v>324.088623046875</v>
      </c>
      <c r="C92" s="7" t="n">
        <f aca="false">LN(B92/B91)*100</f>
        <v>-4.93285672526802</v>
      </c>
      <c r="D92" s="7" t="n">
        <f aca="false">STDEV(C90:C92)</f>
        <v>2.52534427682216</v>
      </c>
      <c r="E92" s="7" t="n">
        <f aca="false">STDEV(C81:C92)</f>
        <v>1.8578994601897</v>
      </c>
    </row>
    <row r="93" customFormat="false" ht="15" hidden="false" customHeight="true" outlineLevel="0" collapsed="false">
      <c r="A93" s="7" t="s">
        <v>115</v>
      </c>
      <c r="B93" s="7" t="n">
        <v>324.049987792969</v>
      </c>
      <c r="C93" s="7" t="n">
        <f aca="false">LN(B93/B92)*100</f>
        <v>-0.0119219109325181</v>
      </c>
      <c r="D93" s="7" t="n">
        <f aca="false">STDEV(C91:C93)</f>
        <v>2.61407749324507</v>
      </c>
      <c r="E93" s="7" t="n">
        <f aca="false">STDEV(C82:C93)</f>
        <v>1.75818408788911</v>
      </c>
    </row>
    <row r="94" customFormat="false" ht="15" hidden="false" customHeight="true" outlineLevel="0" collapsed="false">
      <c r="A94" s="7" t="s">
        <v>116</v>
      </c>
      <c r="B94" s="7" t="n">
        <v>324.476196289063</v>
      </c>
      <c r="C94" s="7" t="n">
        <f aca="false">LN(B94/B93)*100</f>
        <v>0.131439120860782</v>
      </c>
      <c r="D94" s="7" t="n">
        <f aca="false">STDEV(C92:C94)</f>
        <v>2.88337892785223</v>
      </c>
      <c r="E94" s="7" t="n">
        <f aca="false">STDEV(C83:C94)</f>
        <v>1.81878018015145</v>
      </c>
    </row>
    <row r="95" customFormat="false" ht="15" hidden="false" customHeight="true" outlineLevel="0" collapsed="false">
      <c r="A95" s="7" t="s">
        <v>117</v>
      </c>
      <c r="B95" s="7" t="n">
        <v>323.883331298828</v>
      </c>
      <c r="C95" s="7" t="n">
        <f aca="false">LN(B95/B94)*100</f>
        <v>-0.182881605112033</v>
      </c>
      <c r="D95" s="7" t="n">
        <f aca="false">STDEV(C93:C95)</f>
        <v>0.157362173158434</v>
      </c>
      <c r="E95" s="7" t="n">
        <f aca="false">STDEV(C84:C95)</f>
        <v>1.83477978571793</v>
      </c>
    </row>
    <row r="96" customFormat="false" ht="15" hidden="false" customHeight="true" outlineLevel="0" collapsed="false">
      <c r="A96" s="7" t="s">
        <v>118</v>
      </c>
      <c r="B96" s="7" t="n">
        <v>305.346160888672</v>
      </c>
      <c r="C96" s="7" t="n">
        <f aca="false">LN(B96/B95)*100</f>
        <v>-5.8937275593325</v>
      </c>
      <c r="D96" s="7" t="n">
        <f aca="false">STDEV(C94:C96)</f>
        <v>3.39153830770355</v>
      </c>
      <c r="E96" s="7" t="n">
        <f aca="false">STDEV(C85:C96)</f>
        <v>2.23390423136374</v>
      </c>
    </row>
    <row r="97" customFormat="false" ht="15" hidden="false" customHeight="true" outlineLevel="0" collapsed="false">
      <c r="A97" s="7" t="s">
        <v>119</v>
      </c>
      <c r="B97" s="7" t="n">
        <v>287.619995117188</v>
      </c>
      <c r="C97" s="7" t="n">
        <f aca="false">LN(B97/B96)*100</f>
        <v>-5.9805939286053</v>
      </c>
      <c r="D97" s="7" t="n">
        <f aca="false">STDEV(C95:C97)</f>
        <v>3.32251850922692</v>
      </c>
      <c r="E97" s="7" t="n">
        <f aca="false">STDEV(C86:C97)</f>
        <v>2.53866925246831</v>
      </c>
    </row>
    <row r="98" customFormat="false" ht="15" hidden="false" customHeight="true" outlineLevel="0" collapsed="false">
      <c r="A98" s="7" t="s">
        <v>120</v>
      </c>
      <c r="B98" s="7" t="n">
        <v>289.5</v>
      </c>
      <c r="C98" s="7" t="n">
        <f aca="false">LN(B98/B97)*100</f>
        <v>0.651514953142455</v>
      </c>
      <c r="D98" s="7" t="n">
        <f aca="false">STDEV(C96:C98)</f>
        <v>3.80422163594993</v>
      </c>
      <c r="E98" s="7" t="n">
        <f aca="false">STDEV(C87:C98)</f>
        <v>2.58815833631892</v>
      </c>
    </row>
    <row r="99" customFormat="false" ht="15" hidden="false" customHeight="true" outlineLevel="0" collapsed="false">
      <c r="A99" s="7" t="s">
        <v>121</v>
      </c>
      <c r="B99" s="7" t="n">
        <v>297.455261230469</v>
      </c>
      <c r="C99" s="7" t="n">
        <f aca="false">LN(B99/B98)*100</f>
        <v>2.71085342454731</v>
      </c>
      <c r="D99" s="7" t="n">
        <f aca="false">STDEV(C97:C99)</f>
        <v>4.5417874647872</v>
      </c>
      <c r="E99" s="7" t="n">
        <f aca="false">STDEV(C88:C99)</f>
        <v>2.86794882320973</v>
      </c>
    </row>
    <row r="100" customFormat="false" ht="15" hidden="false" customHeight="true" outlineLevel="0" collapsed="false">
      <c r="A100" s="7" t="s">
        <v>122</v>
      </c>
      <c r="B100" s="7" t="n">
        <v>295.954559326172</v>
      </c>
      <c r="C100" s="7" t="n">
        <f aca="false">LN(B100/B99)*100</f>
        <v>-0.505790450917729</v>
      </c>
      <c r="D100" s="7" t="n">
        <f aca="false">STDEV(C98:C100)</f>
        <v>1.62926509811642</v>
      </c>
      <c r="E100" s="7" t="n">
        <f aca="false">STDEV(C89:C100)</f>
        <v>2.75136095157253</v>
      </c>
    </row>
    <row r="101" customFormat="false" ht="15" hidden="false" customHeight="true" outlineLevel="0" collapsed="false">
      <c r="A101" s="7" t="s">
        <v>123</v>
      </c>
      <c r="B101" s="7" t="n">
        <v>308.285003662109</v>
      </c>
      <c r="C101" s="7" t="n">
        <f aca="false">LN(B101/B100)*100</f>
        <v>4.08187649295606</v>
      </c>
      <c r="D101" s="7" t="n">
        <f aca="false">STDEV(C99:C101)</f>
        <v>2.35489525823648</v>
      </c>
      <c r="E101" s="7" t="n">
        <f aca="false">STDEV(C90:C101)</f>
        <v>3.16526716438943</v>
      </c>
    </row>
    <row r="102" customFormat="false" ht="15" hidden="false" customHeight="true" outlineLevel="0" collapsed="false">
      <c r="A102" s="7" t="s">
        <v>124</v>
      </c>
      <c r="B102" s="7" t="n">
        <v>298.978942871094</v>
      </c>
      <c r="C102" s="7" t="n">
        <f aca="false">LN(B102/B101)*100</f>
        <v>-3.06515459484771</v>
      </c>
      <c r="D102" s="7" t="n">
        <f aca="false">STDEV(C100:C102)</f>
        <v>3.62116662092896</v>
      </c>
      <c r="E102" s="7" t="n">
        <f aca="false">STDEV(C91:C102)</f>
        <v>3.21457411782749</v>
      </c>
    </row>
    <row r="103" customFormat="false" ht="15" hidden="false" customHeight="true" outlineLevel="0" collapsed="false">
      <c r="A103" s="7" t="s">
        <v>125</v>
      </c>
      <c r="B103" s="7" t="n">
        <v>292.538635253906</v>
      </c>
      <c r="C103" s="7" t="n">
        <f aca="false">LN(B103/B102)*100</f>
        <v>-2.17764014430102</v>
      </c>
      <c r="D103" s="7" t="n">
        <f aca="false">STDEV(C101:C103)</f>
        <v>3.89549491511372</v>
      </c>
      <c r="E103" s="7" t="n">
        <f aca="false">STDEV(C92:C103)</f>
        <v>3.22667488314908</v>
      </c>
    </row>
    <row r="104" customFormat="false" ht="15" hidden="false" customHeight="true" outlineLevel="0" collapsed="false">
      <c r="A104" s="7" t="s">
        <v>126</v>
      </c>
      <c r="B104" s="7" t="n">
        <v>292.752258300781</v>
      </c>
      <c r="C104" s="7" t="n">
        <f aca="false">LN(B104/B103)*100</f>
        <v>0.072997225384285</v>
      </c>
      <c r="D104" s="7" t="n">
        <f aca="false">STDEV(C102:C104)</f>
        <v>1.61766536076834</v>
      </c>
      <c r="E104" s="7" t="n">
        <f aca="false">STDEV(C93:C104)</f>
        <v>3.02670415910873</v>
      </c>
    </row>
    <row r="105" customFormat="false" ht="15" hidden="false" customHeight="true" outlineLevel="0" collapsed="false">
      <c r="A105" s="7" t="s">
        <v>127</v>
      </c>
      <c r="B105" s="7" t="n">
        <v>284.109985351563</v>
      </c>
      <c r="C105" s="7" t="n">
        <f aca="false">LN(B105/B104)*100</f>
        <v>-2.99652809859844</v>
      </c>
      <c r="D105" s="7" t="n">
        <f aca="false">STDEV(C103:C105)</f>
        <v>1.58944076989826</v>
      </c>
      <c r="E105" s="7" t="n">
        <f aca="false">STDEV(C94:C105)</f>
        <v>3.07406467576881</v>
      </c>
    </row>
    <row r="106" customFormat="false" ht="15" hidden="false" customHeight="true" outlineLevel="0" collapsed="false">
      <c r="A106" s="7" t="s">
        <v>128</v>
      </c>
      <c r="B106" s="7" t="n">
        <v>288.981811523438</v>
      </c>
      <c r="C106" s="7" t="n">
        <f aca="false">LN(B106/B105)*100</f>
        <v>1.70023146715485</v>
      </c>
      <c r="D106" s="7" t="n">
        <f aca="false">STDEV(C104:C106)</f>
        <v>2.38500270477334</v>
      </c>
      <c r="E106" s="7" t="n">
        <f aca="false">STDEV(C95:C106)</f>
        <v>3.16308607430744</v>
      </c>
    </row>
    <row r="107" customFormat="false" ht="15" hidden="false" customHeight="true" outlineLevel="0" collapsed="false">
      <c r="A107" s="7" t="s">
        <v>129</v>
      </c>
      <c r="B107" s="7" t="n">
        <v>295.714996337891</v>
      </c>
      <c r="C107" s="7" t="n">
        <f aca="false">LN(B107/B106)*100</f>
        <v>2.30323900493817</v>
      </c>
      <c r="D107" s="7" t="n">
        <f aca="false">STDEV(C105:C107)</f>
        <v>2.90145652678235</v>
      </c>
      <c r="E107" s="7" t="n">
        <f aca="false">STDEV(C96:C107)</f>
        <v>3.29755923496613</v>
      </c>
    </row>
    <row r="108" customFormat="false" ht="15" hidden="false" customHeight="true" outlineLevel="0" collapsed="false">
      <c r="A108" s="7" t="s">
        <v>130</v>
      </c>
      <c r="B108" s="7" t="n">
        <v>293.716674804688</v>
      </c>
      <c r="C108" s="7" t="n">
        <f aca="false">LN(B108/B107)*100</f>
        <v>-0.678052872689304</v>
      </c>
      <c r="D108" s="7" t="n">
        <f aca="false">STDEV(C106:C108)</f>
        <v>1.57628020729073</v>
      </c>
      <c r="E108" s="7" t="n">
        <f aca="false">STDEV(C97:C108)</f>
        <v>2.87590282727578</v>
      </c>
    </row>
    <row r="109" customFormat="false" ht="15" hidden="false" customHeight="true" outlineLevel="0" collapsed="false">
      <c r="A109" s="7" t="s">
        <v>131</v>
      </c>
      <c r="B109" s="7" t="n">
        <v>291.678955078125</v>
      </c>
      <c r="C109" s="7" t="n">
        <f aca="false">LN(B109/B108)*100</f>
        <v>-0.696188305089656</v>
      </c>
      <c r="D109" s="7" t="n">
        <f aca="false">STDEV(C107:C109)</f>
        <v>1.72650872869966</v>
      </c>
      <c r="E109" s="7" t="n">
        <f aca="false">STDEV(C98:C109)</f>
        <v>2.27214389487461</v>
      </c>
    </row>
    <row r="110" customFormat="false" ht="15" hidden="false" customHeight="true" outlineLevel="0" collapsed="false">
      <c r="A110" s="7" t="s">
        <v>132</v>
      </c>
      <c r="B110" s="7" t="n">
        <v>286.9368286</v>
      </c>
      <c r="C110" s="7" t="n">
        <f aca="false">LN(B110/B109)*100</f>
        <v>-1.63916463740936</v>
      </c>
      <c r="D110" s="7" t="n">
        <f aca="false">STDEV(C108:C110)</f>
        <v>0.549737677064672</v>
      </c>
      <c r="E110" s="7" t="n">
        <f aca="false">STDEV(C99:C110)</f>
        <v>2.31887802601894</v>
      </c>
    </row>
    <row r="111" customFormat="false" ht="15" hidden="false" customHeight="true" outlineLevel="0" collapsed="false">
      <c r="A111" s="7" t="s">
        <v>133</v>
      </c>
      <c r="B111" s="7" t="n">
        <v>287.655</v>
      </c>
      <c r="C111" s="7" t="n">
        <f aca="false">LN(B111/B110)*100</f>
        <v>0.249976326926377</v>
      </c>
      <c r="D111" s="7" t="n">
        <f aca="false">STDEV(C109:C111)</f>
        <v>0.944570930575052</v>
      </c>
      <c r="E111" s="7" t="n">
        <f aca="false">STDEV(C100:C111)</f>
        <v>2.15308444038134</v>
      </c>
    </row>
    <row r="112" customFormat="false" ht="15" hidden="false" customHeight="true" outlineLevel="0" collapsed="false">
      <c r="A112" s="7" t="s">
        <v>134</v>
      </c>
      <c r="B112" s="7" t="n">
        <v>286.2136364</v>
      </c>
      <c r="C112" s="7" t="n">
        <f aca="false">LN(B112/B111)*100</f>
        <v>-0.502333300517367</v>
      </c>
      <c r="D112" s="7" t="n">
        <f aca="false">STDEV(C110:C112)</f>
        <v>0.95107034853856</v>
      </c>
      <c r="E112" s="7" t="n">
        <f aca="false">STDEV(C101:C112)</f>
        <v>2.15305159349666</v>
      </c>
    </row>
    <row r="113" customFormat="false" ht="15" hidden="false" customHeight="true" outlineLevel="0" collapsed="false">
      <c r="A113" s="7" t="s">
        <v>135</v>
      </c>
      <c r="B113" s="7" t="n">
        <v>282.6175</v>
      </c>
      <c r="C113" s="7" t="n">
        <f aca="false">LN(B113/B112)*100</f>
        <v>-1.26441190729532</v>
      </c>
      <c r="D113" s="7" t="n">
        <f aca="false">STDEV(C111:C113)</f>
        <v>0.757199368550789</v>
      </c>
      <c r="E113" s="7" t="n">
        <f aca="false">STDEV(C102:C113)</f>
        <v>1.66692305315259</v>
      </c>
    </row>
    <row r="114" customFormat="false" ht="15" hidden="false" customHeight="true" outlineLevel="0" collapsed="false">
      <c r="A114" s="7" t="s">
        <v>136</v>
      </c>
      <c r="B114" s="7" t="n">
        <v>276.91</v>
      </c>
      <c r="C114" s="7" t="n">
        <f aca="false">LN(B114/B113)*100</f>
        <v>-2.04018496700234</v>
      </c>
      <c r="D114" s="7" t="n">
        <f aca="false">STDEV(C112:C114)</f>
        <v>0.76893599551441</v>
      </c>
      <c r="E114" s="7" t="n">
        <f aca="false">STDEV(C103:C114)</f>
        <v>1.55883428153707</v>
      </c>
    </row>
    <row r="115" customFormat="false" ht="15" hidden="false" customHeight="true" outlineLevel="0" collapsed="false">
      <c r="A115" s="7" t="s">
        <v>137</v>
      </c>
      <c r="B115" s="7" t="n">
        <v>261.3136364</v>
      </c>
      <c r="C115" s="7" t="n">
        <f aca="false">LN(B115/B114)*100</f>
        <v>-5.79711857220378</v>
      </c>
      <c r="D115" s="7" t="n">
        <f aca="false">STDEV(C113:C115)</f>
        <v>2.42424571307464</v>
      </c>
      <c r="E115" s="7" t="n">
        <f aca="false">STDEV(C104:C115)</f>
        <v>2.12937520086771</v>
      </c>
    </row>
    <row r="116" customFormat="false" ht="15" hidden="false" customHeight="true" outlineLevel="0" collapsed="false">
      <c r="A116" s="7" t="s">
        <v>138</v>
      </c>
      <c r="B116" s="7" t="n">
        <v>256.6931818</v>
      </c>
      <c r="C116" s="7" t="n">
        <f aca="false">LN(B116/B115)*100</f>
        <v>-1.78398313651627</v>
      </c>
      <c r="D116" s="7" t="n">
        <f aca="false">STDEV(C114:C116)</f>
        <v>2.24668071893505</v>
      </c>
      <c r="E116" s="7" t="n">
        <f aca="false">STDEV(C105:C116)</f>
        <v>2.1164522739616</v>
      </c>
    </row>
    <row r="117" customFormat="false" ht="15" hidden="false" customHeight="true" outlineLevel="0" collapsed="false">
      <c r="A117" s="7" t="s">
        <v>139</v>
      </c>
      <c r="B117" s="7" t="n">
        <v>256.9052632</v>
      </c>
      <c r="C117" s="7" t="n">
        <f aca="false">LN(B117/B116)*100</f>
        <v>0.082586469690026</v>
      </c>
      <c r="D117" s="7" t="n">
        <f aca="false">STDEV(C115:C117)</f>
        <v>3.00444863215797</v>
      </c>
      <c r="E117" s="7" t="n">
        <f aca="false">STDEV(C106:C117)</f>
        <v>2.05063656413625</v>
      </c>
    </row>
    <row r="118" customFormat="false" ht="15" hidden="false" customHeight="true" outlineLevel="0" collapsed="false">
      <c r="A118" s="7" t="s">
        <v>140</v>
      </c>
      <c r="B118" s="7" t="n">
        <v>264.3108696</v>
      </c>
      <c r="C118" s="7" t="n">
        <f aca="false">LN(B118/B117)*100</f>
        <v>2.84185555026446</v>
      </c>
      <c r="D118" s="7" t="n">
        <f aca="false">STDEV(C116:C118)</f>
        <v>2.32723124155238</v>
      </c>
      <c r="E118" s="7" t="n">
        <f aca="false">STDEV(C107:C118)</f>
        <v>2.200167596541</v>
      </c>
    </row>
    <row r="119" customFormat="false" ht="15" hidden="false" customHeight="true" outlineLevel="0" collapsed="false">
      <c r="A119" s="7" t="s">
        <v>141</v>
      </c>
      <c r="B119" s="7" t="n">
        <v>310.7815789</v>
      </c>
      <c r="C119" s="7" t="n">
        <f aca="false">LN(B119/B118)*100</f>
        <v>16.1964400030657</v>
      </c>
      <c r="D119" s="7" t="n">
        <f aca="false">STDEV(C117:C119)</f>
        <v>8.61795381225631</v>
      </c>
      <c r="E119" s="7" t="n">
        <f aca="false">STDEV(C108:C119)</f>
        <v>5.34998807996276</v>
      </c>
    </row>
    <row r="120" customFormat="false" ht="15" hidden="false" customHeight="true" outlineLevel="0" collapsed="false">
      <c r="A120" s="7" t="s">
        <v>142</v>
      </c>
      <c r="B120" s="7" t="n">
        <v>293.1840909</v>
      </c>
      <c r="C120" s="7" t="n">
        <f aca="false">LN(B120/B119)*100</f>
        <v>-5.82896384800064</v>
      </c>
      <c r="D120" s="7" t="n">
        <f aca="false">STDEV(C118:C120)</f>
        <v>11.0953928107338</v>
      </c>
      <c r="E120" s="7" t="n">
        <f aca="false">STDEV(C109:C120)</f>
        <v>5.64413085690795</v>
      </c>
    </row>
    <row r="121" customFormat="false" ht="15" hidden="false" customHeight="true" outlineLevel="0" collapsed="false">
      <c r="A121" s="7" t="s">
        <v>143</v>
      </c>
      <c r="B121" s="7" t="n">
        <v>282.9526316</v>
      </c>
      <c r="C121" s="7" t="n">
        <f aca="false">LN(B121/B120)*100</f>
        <v>-3.55212041800086</v>
      </c>
      <c r="D121" s="7" t="n">
        <f aca="false">STDEV(C119:C121)</f>
        <v>12.1127210644555</v>
      </c>
      <c r="E121" s="7" t="n">
        <f aca="false">STDEV(C110:C121)</f>
        <v>5.73494188533462</v>
      </c>
    </row>
    <row r="122" customFormat="false" ht="15" hidden="false" customHeight="true" outlineLevel="0" collapsed="false">
      <c r="A122" s="7" t="s">
        <v>144</v>
      </c>
      <c r="B122" s="7" t="n">
        <v>284.065625</v>
      </c>
      <c r="C122" s="7" t="n">
        <f aca="false">LN(B122/B121)*100</f>
        <v>0.392578128297169</v>
      </c>
      <c r="D122" s="7" t="n">
        <f aca="false">STDEV(C120:C122)</f>
        <v>3.14781001091062</v>
      </c>
      <c r="E122" s="7" t="n">
        <f aca="false">STDEV(C111:C122)</f>
        <v>5.72027450768832</v>
      </c>
    </row>
    <row r="123" customFormat="false" ht="15" hidden="false" customHeight="true" outlineLevel="0" collapsed="false">
      <c r="A123" s="7" t="s">
        <v>145</v>
      </c>
      <c r="B123" s="7" t="n">
        <v>299.715</v>
      </c>
      <c r="C123" s="7" t="n">
        <f aca="false">LN(B123/B122)*100</f>
        <v>5.36267377088092</v>
      </c>
      <c r="D123" s="7" t="n">
        <f aca="false">STDEV(C121:C123)</f>
        <v>4.46721488080504</v>
      </c>
      <c r="E123" s="7" t="n">
        <f aca="false">STDEV(C112:C123)</f>
        <v>5.93381202327577</v>
      </c>
    </row>
    <row r="124" customFormat="false" ht="15" hidden="false" customHeight="true" outlineLevel="0" collapsed="false">
      <c r="A124" s="7" t="s">
        <v>146</v>
      </c>
      <c r="B124" s="7" t="n">
        <v>286.924</v>
      </c>
      <c r="C124" s="7" t="n">
        <f aca="false">LN(B124/B123)*100</f>
        <v>-4.36146507908793</v>
      </c>
      <c r="D124" s="7" t="n">
        <f aca="false">STDEV(C122:C124)</f>
        <v>4.8624694324247</v>
      </c>
      <c r="E124" s="7" t="n">
        <f aca="false">STDEV(C113:C124)</f>
        <v>6.0863627561043</v>
      </c>
    </row>
    <row r="125" customFormat="false" ht="15" hidden="false" customHeight="true" outlineLevel="0" collapsed="false">
      <c r="A125" s="7" t="s">
        <v>147</v>
      </c>
      <c r="B125" s="7" t="n">
        <v>279.6526316</v>
      </c>
      <c r="C125" s="7" t="n">
        <f aca="false">LN(B125/B124)*100</f>
        <v>-2.56691407716598</v>
      </c>
      <c r="D125" s="7" t="n">
        <f aca="false">STDEV(C123:C125)</f>
        <v>5.17457974319116</v>
      </c>
      <c r="E125" s="7" t="n">
        <f aca="false">STDEV(C114:C125)</f>
        <v>6.12286826734397</v>
      </c>
    </row>
    <row r="126" customFormat="false" ht="15" hidden="false" customHeight="true" outlineLevel="0" collapsed="false">
      <c r="A126" s="7" t="s">
        <v>148</v>
      </c>
      <c r="B126" s="7" t="n">
        <v>276.7409091</v>
      </c>
      <c r="C126" s="7" t="n">
        <f aca="false">LN(B126/B125)*100</f>
        <v>-1.04665092889411</v>
      </c>
      <c r="D126" s="7" t="n">
        <f aca="false">STDEV(C124:C126)</f>
        <v>1.659297350729</v>
      </c>
      <c r="E126" s="7" t="n">
        <f aca="false">STDEV(C115:C126)</f>
        <v>6.10074638627896</v>
      </c>
    </row>
    <row r="127" customFormat="false" ht="15" hidden="false" customHeight="true" outlineLevel="0" collapsed="false">
      <c r="A127" s="7" t="s">
        <v>149</v>
      </c>
      <c r="B127" s="7" t="n">
        <v>285.7318182</v>
      </c>
      <c r="C127" s="7" t="n">
        <f aca="false">LN(B127/B126)*100</f>
        <v>3.19719500353687</v>
      </c>
      <c r="D127" s="7" t="n">
        <f aca="false">STDEV(C125:C127)</f>
        <v>2.98737292149378</v>
      </c>
      <c r="E127" s="7" t="n">
        <f aca="false">STDEV(C116:C127)</f>
        <v>5.87270833893031</v>
      </c>
    </row>
    <row r="128" customFormat="false" ht="15" hidden="false" customHeight="true" outlineLevel="0" collapsed="false">
      <c r="A128" s="7" t="s">
        <v>150</v>
      </c>
      <c r="B128" s="7" t="n">
        <v>281.5857143</v>
      </c>
      <c r="C128" s="7" t="n">
        <f aca="false">LN(B128/B127)*100</f>
        <v>-1.46167797757907</v>
      </c>
      <c r="D128" s="7" t="n">
        <f aca="false">STDEV(C126:C128)</f>
        <v>2.57835778495807</v>
      </c>
      <c r="E128" s="7" t="n">
        <f aca="false">STDEV(C117:C128)</f>
        <v>5.86081839181305</v>
      </c>
    </row>
    <row r="129" customFormat="false" ht="15" hidden="false" customHeight="true" outlineLevel="0" collapsed="false">
      <c r="A129" s="7" t="s">
        <v>151</v>
      </c>
      <c r="B129" s="7" t="n">
        <v>274.425</v>
      </c>
      <c r="C129" s="7" t="n">
        <f aca="false">LN(B129/B128)*100</f>
        <v>-2.57588929549234</v>
      </c>
      <c r="D129" s="7" t="n">
        <f aca="false">STDEV(C127:C129)</f>
        <v>3.06254432998762</v>
      </c>
      <c r="E129" s="7" t="n">
        <f aca="false">STDEV(C118:C129)</f>
        <v>5.93894296087344</v>
      </c>
    </row>
    <row r="130" customFormat="false" ht="15" hidden="false" customHeight="true" outlineLevel="0" collapsed="false">
      <c r="A130" s="7" t="s">
        <v>152</v>
      </c>
      <c r="B130" s="7" t="n">
        <v>273.53</v>
      </c>
      <c r="C130" s="7" t="n">
        <f aca="false">LN(B130/B129)*100</f>
        <v>-0.326669451287245</v>
      </c>
      <c r="D130" s="7" t="n">
        <f aca="false">STDEV(C128:C130)</f>
        <v>1.12462594694763</v>
      </c>
      <c r="E130" s="7" t="n">
        <f aca="false">STDEV(C119:C130)</f>
        <v>5.89806782321256</v>
      </c>
    </row>
    <row r="131" customFormat="false" ht="15" hidden="false" customHeight="true" outlineLevel="0" collapsed="false">
      <c r="A131" s="7" t="s">
        <v>153</v>
      </c>
      <c r="B131" s="7" t="n">
        <v>269.9285714</v>
      </c>
      <c r="C131" s="7" t="n">
        <f aca="false">LN(B131/B130)*100</f>
        <v>-1.32539314321256</v>
      </c>
      <c r="D131" s="7" t="n">
        <f aca="false">STDEV(C129:C131)</f>
        <v>1.12695604374834</v>
      </c>
      <c r="E131" s="7" t="n">
        <f aca="false">STDEV(C120:C131)</f>
        <v>3.11184046373389</v>
      </c>
    </row>
    <row r="132" customFormat="false" ht="15" hidden="false" customHeight="true" outlineLevel="0" collapsed="false">
      <c r="A132" s="7" t="s">
        <v>154</v>
      </c>
      <c r="B132" s="7" t="n">
        <v>266.2973684</v>
      </c>
      <c r="C132" s="7" t="n">
        <f aca="false">LN(B132/B131)*100</f>
        <v>-1.35437629451948</v>
      </c>
      <c r="D132" s="7" t="n">
        <f aca="false">STDEV(C130:C132)</f>
        <v>0.585159578163508</v>
      </c>
      <c r="E132" s="7" t="n">
        <f aca="false">STDEV(C121:C132)</f>
        <v>2.7505101186382</v>
      </c>
    </row>
    <row r="133" customFormat="false" ht="15" hidden="false" customHeight="true" outlineLevel="0" collapsed="false">
      <c r="A133" s="7" t="s">
        <v>155</v>
      </c>
      <c r="B133" s="7" t="n">
        <v>271.45</v>
      </c>
      <c r="C133" s="7" t="n">
        <f aca="false">LN(B133/B132)*100</f>
        <v>1.91643496682725</v>
      </c>
      <c r="D133" s="7" t="n">
        <f aca="false">STDEV(C131:C133)</f>
        <v>1.88009289776935</v>
      </c>
      <c r="E133" s="7" t="n">
        <f aca="false">STDEV(C122:C133)</f>
        <v>2.70602321827409</v>
      </c>
    </row>
    <row r="134" customFormat="false" ht="15" hidden="false" customHeight="true" outlineLevel="0" collapsed="false">
      <c r="A134" s="7" t="s">
        <v>156</v>
      </c>
      <c r="B134" s="7" t="n">
        <v>265.4863636</v>
      </c>
      <c r="C134" s="7" t="n">
        <f aca="false">LN(B134/B133)*100</f>
        <v>-2.22144821937714</v>
      </c>
      <c r="D134" s="7" t="n">
        <f aca="false">STDEV(C132:C134)</f>
        <v>2.18220443943359</v>
      </c>
      <c r="E134" s="7" t="n">
        <f aca="false">STDEV(C123:C134)</f>
        <v>2.7460941333302</v>
      </c>
    </row>
    <row r="135" customFormat="false" ht="15" hidden="false" customHeight="true" outlineLevel="0" collapsed="false">
      <c r="A135" s="7" t="s">
        <v>157</v>
      </c>
      <c r="B135" s="7" t="n">
        <v>262.0894737</v>
      </c>
      <c r="C135" s="7" t="n">
        <f aca="false">LN(B135/B134)*100</f>
        <v>-1.28775300236011</v>
      </c>
      <c r="D135" s="7" t="n">
        <f aca="false">STDEV(C133:C135)</f>
        <v>2.17027972708737</v>
      </c>
      <c r="E135" s="7" t="n">
        <f aca="false">STDEV(C124:C135)</f>
        <v>2.0151307480187</v>
      </c>
    </row>
    <row r="136" customFormat="false" ht="15" hidden="false" customHeight="true" outlineLevel="0" collapsed="false">
      <c r="A136" s="7" t="s">
        <v>158</v>
      </c>
      <c r="B136" s="7" t="n">
        <v>263.0272727</v>
      </c>
      <c r="C136" s="7" t="n">
        <f aca="false">LN(B136/B135)*100</f>
        <v>0.357177714644906</v>
      </c>
      <c r="D136" s="7" t="n">
        <f aca="false">STDEV(C134:C136)</f>
        <v>1.30555834349639</v>
      </c>
      <c r="E136" s="7" t="n">
        <f aca="false">STDEV(C125:C136)</f>
        <v>1.77015135153859</v>
      </c>
    </row>
    <row r="137" customFormat="false" ht="15" hidden="false" customHeight="true" outlineLevel="0" collapsed="false">
      <c r="A137" s="7" t="s">
        <v>159</v>
      </c>
      <c r="B137" s="7" t="n">
        <v>260.3305556</v>
      </c>
      <c r="C137" s="7" t="n">
        <f aca="false">LN(B137/B136)*100</f>
        <v>-1.03055340762553</v>
      </c>
      <c r="D137" s="7" t="n">
        <f aca="false">STDEV(C135:C137)</f>
        <v>0.884848985514498</v>
      </c>
      <c r="E137" s="7" t="n">
        <f aca="false">STDEV(C126:C137)</f>
        <v>1.67795263986098</v>
      </c>
    </row>
    <row r="138" customFormat="false" ht="15" hidden="false" customHeight="true" outlineLevel="0" collapsed="false">
      <c r="A138" s="7" t="s">
        <v>160</v>
      </c>
      <c r="B138" s="7" t="n">
        <v>272.0931818</v>
      </c>
      <c r="C138" s="7" t="n">
        <f aca="false">LN(B138/B137)*100</f>
        <v>4.4192396571595</v>
      </c>
      <c r="D138" s="7" t="n">
        <f aca="false">STDEV(C136:C138)</f>
        <v>2.83214845837109</v>
      </c>
      <c r="E138" s="7" t="n">
        <f aca="false">STDEV(C127:C138)</f>
        <v>2.20407849327001</v>
      </c>
    </row>
    <row r="139" customFormat="false" ht="15" hidden="false" customHeight="true" outlineLevel="0" collapsed="false">
      <c r="A139" s="7" t="s">
        <v>161</v>
      </c>
      <c r="B139" s="7" t="n">
        <v>270.202381</v>
      </c>
      <c r="C139" s="7" t="n">
        <f aca="false">LN(B139/B138)*100</f>
        <v>-0.697335029748531</v>
      </c>
      <c r="D139" s="7" t="n">
        <f aca="false">STDEV(C137:C139)</f>
        <v>3.05479446834649</v>
      </c>
      <c r="E139" s="7" t="n">
        <f aca="false">STDEV(C128:C139)</f>
        <v>1.9385675507768</v>
      </c>
    </row>
    <row r="140" customFormat="false" ht="15" hidden="false" customHeight="true" outlineLevel="0" collapsed="false">
      <c r="A140" s="7" t="s">
        <v>162</v>
      </c>
      <c r="B140" s="7" t="n">
        <v>267.5261905</v>
      </c>
      <c r="C140" s="7" t="n">
        <f aca="false">LN(B140/B139)*100</f>
        <v>-0.995376752383034</v>
      </c>
      <c r="D140" s="7" t="n">
        <f aca="false">STDEV(C138:C140)</f>
        <v>3.04374320690895</v>
      </c>
      <c r="E140" s="7" t="n">
        <f aca="false">STDEV(C129:C140)</f>
        <v>1.92138536829001</v>
      </c>
    </row>
    <row r="141" customFormat="false" ht="15" hidden="false" customHeight="true" outlineLevel="0" collapsed="false">
      <c r="A141" s="7" t="s">
        <v>163</v>
      </c>
      <c r="B141" s="7" t="n">
        <v>272.0921053</v>
      </c>
      <c r="C141" s="7" t="n">
        <f aca="false">LN(B141/B140)*100</f>
        <v>1.69231614482731</v>
      </c>
      <c r="D141" s="7" t="n">
        <f aca="false">STDEV(C139:C141)</f>
        <v>1.47325912601379</v>
      </c>
      <c r="E141" s="7" t="n">
        <f aca="false">STDEV(C130:C141)</f>
        <v>1.88204722916626</v>
      </c>
    </row>
    <row r="142" customFormat="false" ht="15" hidden="false" customHeight="true" outlineLevel="0" collapsed="false">
      <c r="A142" s="7" t="s">
        <v>164</v>
      </c>
      <c r="B142" s="7" t="n">
        <v>284.4723529</v>
      </c>
      <c r="C142" s="7" t="n">
        <f aca="false">LN(B142/B141)*100</f>
        <v>4.44954395855907</v>
      </c>
      <c r="D142" s="7" t="n">
        <f aca="false">STDEV(C140:C142)</f>
        <v>2.72253435469531</v>
      </c>
      <c r="E142" s="7" t="n">
        <f aca="false">STDEV(C131:C142)</f>
        <v>2.28499920437619</v>
      </c>
    </row>
    <row r="143" customFormat="false" ht="15" hidden="false" customHeight="true" outlineLevel="0" collapsed="false">
      <c r="A143" s="7" t="s">
        <v>165</v>
      </c>
      <c r="B143" s="7" t="n">
        <v>282.2671429</v>
      </c>
      <c r="C143" s="7" t="n">
        <f aca="false">LN(B143/B142)*100</f>
        <v>-0.778213322199913</v>
      </c>
      <c r="D143" s="7" t="n">
        <f aca="false">STDEV(C141:C143)</f>
        <v>2.61518856078596</v>
      </c>
      <c r="E143" s="7" t="n">
        <f aca="false">STDEV(C132:C143)</f>
        <v>2.25428313220803</v>
      </c>
    </row>
    <row r="144" customFormat="false" ht="15" hidden="false" customHeight="true" outlineLevel="0" collapsed="false">
      <c r="A144" s="7" t="s">
        <v>166</v>
      </c>
      <c r="B144" s="7" t="n">
        <v>277.184375</v>
      </c>
      <c r="C144" s="7" t="n">
        <f aca="false">LN(B144/B143)*100</f>
        <v>-1.81710392832371</v>
      </c>
      <c r="D144" s="7" t="n">
        <f aca="false">STDEV(C142:C144)</f>
        <v>3.35856158735138</v>
      </c>
      <c r="E144" s="7" t="n">
        <f aca="false">STDEV(C133:C144)</f>
        <v>2.29017885165732</v>
      </c>
    </row>
    <row r="145" customFormat="false" ht="15" hidden="false" customHeight="true" outlineLevel="0" collapsed="false">
      <c r="A145" s="7" t="s">
        <v>167</v>
      </c>
      <c r="B145" s="7" t="n">
        <v>275.8357143</v>
      </c>
      <c r="C145" s="7" t="n">
        <f aca="false">LN(B145/B144)*100</f>
        <v>-0.487744803401117</v>
      </c>
      <c r="D145" s="7" t="n">
        <f aca="false">STDEV(C143:C145)</f>
        <v>0.69891121693202</v>
      </c>
      <c r="E145" s="7" t="n">
        <f aca="false">STDEV(C134:C145)</f>
        <v>2.24384354498005</v>
      </c>
    </row>
    <row r="146" customFormat="false" ht="15" hidden="false" customHeight="true" outlineLevel="0" collapsed="false">
      <c r="A146" s="7" t="s">
        <v>168</v>
      </c>
      <c r="B146" s="7" t="n">
        <v>281</v>
      </c>
      <c r="C146" s="7" t="n">
        <f aca="false">LN(B146/B145)*100</f>
        <v>1.85492188845688</v>
      </c>
      <c r="D146" s="7" t="n">
        <f aca="false">STDEV(C144:C146)</f>
        <v>1.85916901290419</v>
      </c>
      <c r="E146" s="7" t="n">
        <f aca="false">STDEV(C135:C146)</f>
        <v>2.16197390773722</v>
      </c>
    </row>
    <row r="147" customFormat="false" ht="15" hidden="false" customHeight="true" outlineLevel="0" collapsed="false">
      <c r="A147" s="7" t="s">
        <v>169</v>
      </c>
      <c r="B147" s="7" t="n">
        <v>295.2875</v>
      </c>
      <c r="C147" s="7" t="n">
        <f aca="false">LN(B147/B146)*100</f>
        <v>4.95947886861316</v>
      </c>
      <c r="D147" s="7" t="n">
        <f aca="false">STDEV(C145:C147)</f>
        <v>2.73247772193208</v>
      </c>
      <c r="E147" s="7" t="n">
        <f aca="false">STDEV(C136:C147)</f>
        <v>2.43437711488684</v>
      </c>
    </row>
    <row r="148" customFormat="false" ht="15" hidden="false" customHeight="true" outlineLevel="0" collapsed="false">
      <c r="A148" s="7" t="s">
        <v>170</v>
      </c>
      <c r="B148" s="7" t="n">
        <v>294.0475</v>
      </c>
      <c r="C148" s="7" t="n">
        <f aca="false">LN(B148/B147)*100</f>
        <v>-0.420813910550384</v>
      </c>
      <c r="D148" s="7" t="n">
        <f aca="false">STDEV(C146:C148)</f>
        <v>2.70076525758409</v>
      </c>
      <c r="E148" s="7" t="n">
        <f aca="false">STDEV(C137:C148)</f>
        <v>2.46306560691745</v>
      </c>
    </row>
    <row r="149" customFormat="false" ht="15" hidden="false" customHeight="true" outlineLevel="0" collapsed="false">
      <c r="A149" s="7" t="s">
        <v>171</v>
      </c>
      <c r="B149" s="7" t="n">
        <v>302.6833333</v>
      </c>
      <c r="C149" s="7" t="n">
        <f aca="false">LN(B149/B148)*100</f>
        <v>2.89458354718984</v>
      </c>
      <c r="D149" s="7" t="n">
        <f aca="false">STDEV(C147:C149)</f>
        <v>2.71425875027743</v>
      </c>
      <c r="E149" s="7" t="n">
        <f aca="false">STDEV(C138:C149)</f>
        <v>2.43969365400848</v>
      </c>
    </row>
    <row r="150" customFormat="false" ht="15" hidden="false" customHeight="true" outlineLevel="0" collapsed="false">
      <c r="A150" s="7" t="s">
        <v>172</v>
      </c>
      <c r="B150" s="7" t="n">
        <v>314.4931818</v>
      </c>
      <c r="C150" s="7" t="n">
        <f aca="false">LN(B150/B149)*100</f>
        <v>3.82752420279639</v>
      </c>
      <c r="D150" s="7" t="n">
        <f aca="false">STDEV(C148:C150)</f>
        <v>2.23273432122248</v>
      </c>
      <c r="E150" s="7" t="n">
        <f aca="false">STDEV(C139:C150)</f>
        <v>2.37507470269691</v>
      </c>
    </row>
    <row r="151" customFormat="false" ht="15" hidden="false" customHeight="true" outlineLevel="0" collapsed="false">
      <c r="A151" s="7" t="s">
        <v>173</v>
      </c>
      <c r="B151" s="7" t="n">
        <v>321.1777778</v>
      </c>
      <c r="C151" s="7" t="n">
        <f aca="false">LN(B151/B150)*100</f>
        <v>2.10323983334763</v>
      </c>
      <c r="D151" s="7" t="n">
        <f aca="false">STDEV(C149:C151)</f>
        <v>0.863110627039053</v>
      </c>
      <c r="E151" s="7" t="n">
        <f aca="false">STDEV(C140:C151)</f>
        <v>2.30759548979661</v>
      </c>
    </row>
    <row r="152" customFormat="false" ht="15" hidden="false" customHeight="true" outlineLevel="0" collapsed="false">
      <c r="A152" s="7" t="s">
        <v>174</v>
      </c>
      <c r="B152" s="7" t="n">
        <v>313.2913043</v>
      </c>
      <c r="C152" s="7" t="n">
        <f aca="false">LN(B152/B151)*100</f>
        <v>-2.48613523614704</v>
      </c>
      <c r="D152" s="7" t="n">
        <f aca="false">STDEV(C150:C152)</f>
        <v>3.26337799491529</v>
      </c>
      <c r="E152" s="7" t="n">
        <f aca="false">STDEV(C141:C152)</f>
        <v>2.48401860850767</v>
      </c>
    </row>
    <row r="153" customFormat="false" ht="15" hidden="false" customHeight="true" outlineLevel="0" collapsed="false">
      <c r="A153" s="7" t="s">
        <v>175</v>
      </c>
      <c r="B153" s="7" t="n">
        <v>310.2809524</v>
      </c>
      <c r="C153" s="7" t="n">
        <f aca="false">LN(B153/B152)*100</f>
        <v>-0.965525728265579</v>
      </c>
      <c r="D153" s="7" t="n">
        <f aca="false">STDEV(C151:C153)</f>
        <v>2.33780305971589</v>
      </c>
      <c r="E153" s="7" t="n">
        <f aca="false">STDEV(C142:C153)</f>
        <v>2.56459678501656</v>
      </c>
    </row>
    <row r="154" customFormat="false" ht="15" hidden="false" customHeight="true" outlineLevel="0" collapsed="false">
      <c r="A154" s="7" t="s">
        <v>176</v>
      </c>
      <c r="B154" s="7" t="n">
        <v>319.1357143</v>
      </c>
      <c r="C154" s="7" t="n">
        <f aca="false">LN(B154/B153)*100</f>
        <v>2.81382638858509</v>
      </c>
      <c r="D154" s="7" t="n">
        <f aca="false">STDEV(C152:C154)</f>
        <v>2.7290214645008</v>
      </c>
      <c r="E154" s="7" t="n">
        <f aca="false">STDEV(C143:C154)</f>
        <v>2.4087993163678</v>
      </c>
    </row>
    <row r="155" customFormat="false" ht="15" hidden="false" customHeight="true" outlineLevel="0" collapsed="false">
      <c r="A155" s="7" t="s">
        <v>177</v>
      </c>
      <c r="B155" s="7" t="n">
        <v>316.5565217</v>
      </c>
      <c r="C155" s="7" t="n">
        <f aca="false">LN(B155/B154)*100</f>
        <v>-0.811463977905334</v>
      </c>
      <c r="D155" s="7" t="n">
        <f aca="false">STDEV(C153:C155)</f>
        <v>2.13892370471054</v>
      </c>
      <c r="E155" s="7" t="n">
        <f aca="false">STDEV(C144:C155)</f>
        <v>2.4109964149135</v>
      </c>
    </row>
    <row r="156" customFormat="false" ht="15" hidden="false" customHeight="true" outlineLevel="0" collapsed="false">
      <c r="A156" s="7" t="s">
        <v>178</v>
      </c>
      <c r="B156" s="7" t="n">
        <v>320.4357143</v>
      </c>
      <c r="C156" s="7" t="n">
        <f aca="false">LN(B156/B155)*100</f>
        <v>1.21798676244252</v>
      </c>
      <c r="D156" s="7" t="n">
        <f aca="false">STDEV(C154:C156)</f>
        <v>1.8169619635183</v>
      </c>
      <c r="E156" s="7" t="n">
        <f aca="false">STDEV(C145:C156)</f>
        <v>2.24735143426008</v>
      </c>
    </row>
    <row r="157" customFormat="false" ht="15" hidden="false" customHeight="true" outlineLevel="0" collapsed="false">
      <c r="A157" s="7" t="s">
        <v>179</v>
      </c>
      <c r="B157" s="7" t="n">
        <v>332.0361111</v>
      </c>
      <c r="C157" s="7" t="n">
        <f aca="false">LN(B157/B156)*100</f>
        <v>3.55620545403232</v>
      </c>
      <c r="D157" s="7" t="n">
        <f aca="false">STDEV(C155:C157)</f>
        <v>2.18565296207948</v>
      </c>
      <c r="E157" s="7" t="n">
        <f aca="false">STDEV(C146:C157)</f>
        <v>2.27295529439294</v>
      </c>
    </row>
    <row r="158" customFormat="false" ht="15" hidden="false" customHeight="true" outlineLevel="0" collapsed="false">
      <c r="A158" s="7" t="s">
        <v>180</v>
      </c>
      <c r="B158" s="7" t="n">
        <v>356.85909090909</v>
      </c>
      <c r="C158" s="7" t="n">
        <f aca="false">LN(B158/B157)*100</f>
        <v>7.20972691527601</v>
      </c>
      <c r="D158" s="7" t="n">
        <f aca="false">STDEV(C156:C158)</f>
        <v>3.01983541981306</v>
      </c>
      <c r="E158" s="7" t="n">
        <f aca="false">STDEV(C147:C158)</f>
        <v>2.80307869271783</v>
      </c>
    </row>
    <row r="159" customFormat="false" ht="15" hidden="false" customHeight="true" outlineLevel="0" collapsed="false">
      <c r="A159" s="7" t="s">
        <v>181</v>
      </c>
      <c r="B159" s="7" t="n">
        <v>358.97</v>
      </c>
      <c r="C159" s="7" t="n">
        <f aca="false">LN(B159/B158)*100</f>
        <v>0.589781900898942</v>
      </c>
      <c r="D159" s="7" t="n">
        <f aca="false">STDEV(C157:C159)</f>
        <v>3.31591012538359</v>
      </c>
      <c r="E159" s="7" t="n">
        <f aca="false">STDEV(C148:C159)</f>
        <v>2.66278972398218</v>
      </c>
    </row>
    <row r="160" customFormat="false" ht="15" hidden="false" customHeight="true" outlineLevel="0" collapsed="false">
      <c r="A160" s="7" t="s">
        <v>182</v>
      </c>
      <c r="B160" s="7" t="n">
        <v>340.55</v>
      </c>
      <c r="C160" s="7" t="n">
        <f aca="false">LN(B160/B159)*100</f>
        <v>-5.2676861849554</v>
      </c>
      <c r="D160" s="7" t="n">
        <f aca="false">STDEV(C158:C160)</f>
        <v>6.24258816576378</v>
      </c>
      <c r="E160" s="7" t="n">
        <f aca="false">STDEV(C149:C160)</f>
        <v>3.29440852204667</v>
      </c>
    </row>
    <row r="161" customFormat="false" ht="15" hidden="false" customHeight="true" outlineLevel="0" collapsed="false">
      <c r="A161" s="7" t="s">
        <v>183</v>
      </c>
      <c r="B161" s="7" t="n">
        <v>328.18</v>
      </c>
      <c r="C161" s="7" t="n">
        <f aca="false">LN(B161/B160)*100</f>
        <v>-3.69997193403231</v>
      </c>
      <c r="D161" s="7" t="n">
        <f aca="false">STDEV(C159:C161)</f>
        <v>3.03231617507302</v>
      </c>
      <c r="E161" s="7" t="n">
        <f aca="false">STDEV(C150:C161)</f>
        <v>3.53178444444771</v>
      </c>
    </row>
    <row r="162" customFormat="false" ht="15" hidden="false" customHeight="true" outlineLevel="0" collapsed="false">
      <c r="A162" s="7" t="s">
        <v>184</v>
      </c>
      <c r="B162" s="7" t="n">
        <v>355.6825</v>
      </c>
      <c r="C162" s="7" t="n">
        <f aca="false">LN(B162/B161)*100</f>
        <v>8.04762406341038</v>
      </c>
      <c r="D162" s="7" t="n">
        <f aca="false">STDEV(C160:C162)</f>
        <v>7.27737620645785</v>
      </c>
      <c r="E162" s="7" t="n">
        <f aca="false">STDEV(C151:C162)</f>
        <v>4.04688852547126</v>
      </c>
    </row>
    <row r="163" customFormat="false" ht="15" hidden="false" customHeight="true" outlineLevel="0" collapsed="false">
      <c r="A163" s="7" t="s">
        <v>185</v>
      </c>
      <c r="B163" s="7" t="n">
        <v>356.352380952381</v>
      </c>
      <c r="C163" s="7" t="n">
        <f aca="false">LN(B163/B162)*100</f>
        <v>0.188159644404626</v>
      </c>
      <c r="D163" s="7" t="n">
        <f aca="false">STDEV(C161:C163)</f>
        <v>5.98462975524228</v>
      </c>
      <c r="E163" s="7" t="n">
        <f aca="false">STDEV(C152:C163)</f>
        <v>4.03828131176143</v>
      </c>
    </row>
    <row r="164" customFormat="false" ht="15" hidden="false" customHeight="true" outlineLevel="0" collapsed="false">
      <c r="A164" s="7" t="s">
        <v>186</v>
      </c>
      <c r="B164" s="7" t="n">
        <v>351.019565217391</v>
      </c>
      <c r="C164" s="7" t="n">
        <f aca="false">LN(B164/B163)*100</f>
        <v>-1.50781121526923</v>
      </c>
      <c r="D164" s="7" t="n">
        <f aca="false">STDEV(C162:C164)</f>
        <v>5.09826508849686</v>
      </c>
      <c r="E164" s="7" t="n">
        <f aca="false">STDEV(C153:C164)</f>
        <v>3.9738142725363</v>
      </c>
    </row>
    <row r="165" customFormat="false" ht="15" hidden="false" customHeight="true" outlineLevel="0" collapsed="false">
      <c r="A165" s="7" t="s">
        <v>187</v>
      </c>
      <c r="B165" s="7" t="n">
        <v>359.7675</v>
      </c>
      <c r="C165" s="7" t="n">
        <f aca="false">LN(B165/B164)*100</f>
        <v>2.46160262041768</v>
      </c>
      <c r="D165" s="7" t="n">
        <f aca="false">STDEV(C163:C165)</f>
        <v>1.99169552228701</v>
      </c>
      <c r="E165" s="7" t="n">
        <f aca="false">STDEV(C154:C165)</f>
        <v>3.94688350947306</v>
      </c>
    </row>
    <row r="166" customFormat="false" ht="15" hidden="false" customHeight="true" outlineLevel="0" collapsed="false">
      <c r="A166" s="7" t="s">
        <v>188</v>
      </c>
      <c r="B166" s="7" t="n">
        <v>378.945454545454</v>
      </c>
      <c r="C166" s="7" t="n">
        <f aca="false">LN(B166/B165)*100</f>
        <v>5.19342858432615</v>
      </c>
      <c r="D166" s="7" t="n">
        <f aca="false">STDEV(C164:C166)</f>
        <v>3.36961259266077</v>
      </c>
      <c r="E166" s="7" t="n">
        <f aca="false">STDEV(C155:C166)</f>
        <v>4.09067793135212</v>
      </c>
    </row>
    <row r="167" customFormat="false" ht="15" hidden="false" customHeight="true" outlineLevel="0" collapsed="false">
      <c r="A167" s="7" t="s">
        <v>189</v>
      </c>
      <c r="B167" s="7" t="n">
        <v>378.919565217391</v>
      </c>
      <c r="C167" s="7" t="n">
        <f aca="false">LN(B167/B166)*100</f>
        <v>-0.00683217390907657</v>
      </c>
      <c r="D167" s="7" t="n">
        <f aca="false">STDEV(C165:C167)</f>
        <v>2.60124186318025</v>
      </c>
      <c r="E167" s="7" t="n">
        <f aca="false">STDEV(C156:C167)</f>
        <v>4.05702668365757</v>
      </c>
    </row>
    <row r="168" customFormat="false" ht="15" hidden="false" customHeight="true" outlineLevel="0" collapsed="false">
      <c r="A168" s="7" t="s">
        <v>190</v>
      </c>
      <c r="B168" s="7" t="n">
        <v>389.91</v>
      </c>
      <c r="C168" s="7" t="n">
        <f aca="false">LN(B168/B167)*100</f>
        <v>2.85919896807971</v>
      </c>
      <c r="D168" s="7" t="n">
        <f aca="false">STDEV(C166:C168)</f>
        <v>2.60465846647415</v>
      </c>
      <c r="E168" s="7" t="n">
        <f aca="false">STDEV(C157:C168)</f>
        <v>4.07433665753406</v>
      </c>
    </row>
    <row r="169" customFormat="false" ht="15" hidden="false" customHeight="true" outlineLevel="0" collapsed="false">
      <c r="A169" s="7" t="s">
        <v>191</v>
      </c>
      <c r="B169" s="7" t="n">
        <v>406.952631578947</v>
      </c>
      <c r="C169" s="7" t="n">
        <f aca="false">LN(B169/B168)*100</f>
        <v>4.27808510808952</v>
      </c>
      <c r="D169" s="7" t="n">
        <f aca="false">STDEV(C167:C169)</f>
        <v>2.18280738571271</v>
      </c>
      <c r="E169" s="7" t="n">
        <f aca="false">STDEV(C158:C169)</f>
        <v>4.11044613323694</v>
      </c>
    </row>
    <row r="170" customFormat="false" ht="15" hidden="false" customHeight="true" outlineLevel="0" collapsed="false">
      <c r="A170" s="7" t="s">
        <v>192</v>
      </c>
      <c r="B170" s="7" t="n">
        <v>413.788095238095</v>
      </c>
      <c r="C170" s="7" t="n">
        <f aca="false">LN(B170/B169)*100</f>
        <v>1.66572011933136</v>
      </c>
      <c r="D170" s="7" t="n">
        <f aca="false">STDEV(C168:C170)</f>
        <v>1.3078022579383</v>
      </c>
      <c r="E170" s="7" t="n">
        <f aca="false">STDEV(C159:C170)</f>
        <v>3.72809547603487</v>
      </c>
    </row>
    <row r="171" customFormat="false" ht="15" hidden="false" customHeight="true" outlineLevel="0" collapsed="false">
      <c r="A171" s="7" t="s">
        <v>193</v>
      </c>
      <c r="B171" s="7" t="n">
        <v>404.8775</v>
      </c>
      <c r="C171" s="7" t="n">
        <f aca="false">LN(B171/B170)*100</f>
        <v>-2.17694433180942</v>
      </c>
      <c r="D171" s="7" t="n">
        <f aca="false">STDEV(C169:C171)</f>
        <v>3.24699671461985</v>
      </c>
      <c r="E171" s="7" t="n">
        <f aca="false">STDEV(C160:C171)</f>
        <v>3.85491647545239</v>
      </c>
    </row>
    <row r="172" customFormat="false" ht="15" hidden="false" customHeight="true" outlineLevel="0" collapsed="false">
      <c r="A172" s="7" t="s">
        <v>194</v>
      </c>
      <c r="B172" s="7" t="n">
        <v>406.667391304347</v>
      </c>
      <c r="C172" s="7" t="n">
        <f aca="false">LN(B172/B171)*100</f>
        <v>0.441107873581887</v>
      </c>
      <c r="D172" s="7" t="n">
        <f aca="false">STDEV(C170:C172)</f>
        <v>1.96298847791893</v>
      </c>
      <c r="E172" s="7" t="n">
        <f aca="false">STDEV(C161:C172)</f>
        <v>3.32680443966623</v>
      </c>
    </row>
    <row r="173" customFormat="false" ht="15" hidden="false" customHeight="true" outlineLevel="0" collapsed="false">
      <c r="A173" s="7" t="s">
        <v>195</v>
      </c>
      <c r="B173" s="7" t="n">
        <v>403.26</v>
      </c>
      <c r="C173" s="7" t="n">
        <f aca="false">LN(B173/B172)*100</f>
        <v>-0.841411574361075</v>
      </c>
      <c r="D173" s="7" t="n">
        <f aca="false">STDEV(C171:C173)</f>
        <v>1.30911555580627</v>
      </c>
      <c r="E173" s="7" t="n">
        <f aca="false">STDEV(C162:C173)</f>
        <v>3.00949595614327</v>
      </c>
    </row>
    <row r="174" customFormat="false" ht="15" hidden="false" customHeight="true" outlineLevel="0" collapsed="false">
      <c r="A174" s="7" t="s">
        <v>196</v>
      </c>
      <c r="B174" s="7" t="n">
        <v>383.778947368421</v>
      </c>
      <c r="C174" s="7" t="n">
        <f aca="false">LN(B174/B173)*100</f>
        <v>-4.95147862715606</v>
      </c>
      <c r="D174" s="7" t="n">
        <f aca="false">STDEV(C172:C174)</f>
        <v>2.8171349654322</v>
      </c>
      <c r="E174" s="7" t="n">
        <f aca="false">STDEV(C163:C174)</f>
        <v>2.85933323832943</v>
      </c>
    </row>
    <row r="175" customFormat="false" ht="15" hidden="false" customHeight="true" outlineLevel="0" collapsed="false">
      <c r="A175" s="7" t="s">
        <v>197</v>
      </c>
      <c r="B175" s="7" t="n">
        <v>392.372727272727</v>
      </c>
      <c r="C175" s="7" t="n">
        <f aca="false">LN(B175/B174)*100</f>
        <v>2.2145493974357</v>
      </c>
      <c r="D175" s="7" t="n">
        <f aca="false">STDEV(C173:C175)</f>
        <v>3.59591217655202</v>
      </c>
      <c r="E175" s="7" t="n">
        <f aca="false">STDEV(C164:C175)</f>
        <v>2.89030628812672</v>
      </c>
    </row>
    <row r="176" customFormat="false" ht="15" hidden="false" customHeight="true" outlineLevel="0" collapsed="false">
      <c r="A176" s="7" t="s">
        <v>198</v>
      </c>
      <c r="B176" s="7" t="n">
        <v>398.090909090909</v>
      </c>
      <c r="C176" s="7" t="n">
        <f aca="false">LN(B176/B175)*100</f>
        <v>1.44681710903018</v>
      </c>
      <c r="D176" s="7" t="n">
        <f aca="false">STDEV(C174:C176)</f>
        <v>3.93445377071993</v>
      </c>
      <c r="E176" s="7" t="n">
        <f aca="false">STDEV(C165:C176)</f>
        <v>2.80005003904944</v>
      </c>
    </row>
    <row r="177" customFormat="false" ht="15" hidden="false" customHeight="true" outlineLevel="0" collapsed="false">
      <c r="A177" s="7" t="s">
        <v>199</v>
      </c>
      <c r="B177" s="7" t="n">
        <v>400.509523809523</v>
      </c>
      <c r="C177" s="7" t="n">
        <f aca="false">LN(B177/B176)*100</f>
        <v>0.605715202170994</v>
      </c>
      <c r="D177" s="7" t="n">
        <f aca="false">STDEV(C175:C177)</f>
        <v>0.804695879637721</v>
      </c>
      <c r="E177" s="7" t="n">
        <f aca="false">STDEV(C166:C177)</f>
        <v>2.76595907046879</v>
      </c>
    </row>
    <row r="178" customFormat="false" ht="15" hidden="false" customHeight="true" outlineLevel="0" collapsed="false">
      <c r="A178" s="7" t="s">
        <v>200</v>
      </c>
      <c r="B178" s="7" t="n">
        <v>405.275</v>
      </c>
      <c r="C178" s="7" t="n">
        <f aca="false">LN(B178/B177)*100</f>
        <v>1.18283030028992</v>
      </c>
      <c r="D178" s="7" t="n">
        <f aca="false">STDEV(C176:C178)</f>
        <v>0.430155648067812</v>
      </c>
      <c r="E178" s="7" t="n">
        <f aca="false">STDEV(C167:C178)</f>
        <v>2.41987460807979</v>
      </c>
    </row>
    <row r="179" customFormat="false" ht="15" hidden="false" customHeight="true" outlineLevel="0" collapsed="false">
      <c r="A179" s="7" t="s">
        <v>201</v>
      </c>
      <c r="B179" s="7" t="n">
        <v>420.464285714285</v>
      </c>
      <c r="C179" s="7" t="n">
        <f aca="false">LN(B179/B178)*100</f>
        <v>3.67936938753544</v>
      </c>
      <c r="D179" s="7" t="n">
        <f aca="false">STDEV(C177:C179)</f>
        <v>1.63366251624124</v>
      </c>
      <c r="E179" s="7" t="n">
        <f aca="false">STDEV(C168:C179)</f>
        <v>2.57067685375946</v>
      </c>
    </row>
    <row r="180" customFormat="false" ht="15" hidden="false" customHeight="true" outlineLevel="0" collapsed="false">
      <c r="A180" s="7" t="s">
        <v>202</v>
      </c>
      <c r="B180" s="7" t="n">
        <v>439.375</v>
      </c>
      <c r="C180" s="7" t="n">
        <f aca="false">LN(B180/B179)*100</f>
        <v>4.39937196619383</v>
      </c>
      <c r="D180" s="7" t="n">
        <f aca="false">STDEV(C178:C180)</f>
        <v>1.68805861943611</v>
      </c>
      <c r="E180" s="7" t="n">
        <f aca="false">STDEV(C169:C180)</f>
        <v>2.7136591333403</v>
      </c>
    </row>
    <row r="181" customFormat="false" ht="15" hidden="false" customHeight="true" outlineLevel="0" collapsed="false">
      <c r="A181" s="7" t="s">
        <v>203</v>
      </c>
      <c r="B181" s="7" t="n">
        <v>442.078947368421</v>
      </c>
      <c r="C181" s="7" t="n">
        <f aca="false">LN(B181/B180)*100</f>
        <v>0.6135217518899</v>
      </c>
      <c r="D181" s="7" t="n">
        <f aca="false">STDEV(C179:C181)</f>
        <v>2.01040987874833</v>
      </c>
      <c r="E181" s="7" t="n">
        <f aca="false">STDEV(C170:C181)</f>
        <v>2.50913742099151</v>
      </c>
    </row>
    <row r="182" customFormat="false" ht="15" hidden="false" customHeight="true" outlineLevel="0" collapsed="false">
      <c r="A182" s="7" t="s">
        <v>204</v>
      </c>
      <c r="B182" s="7" t="n">
        <v>424.03</v>
      </c>
      <c r="C182" s="7" t="n">
        <f aca="false">LN(B182/B181)*100</f>
        <v>-4.16842726378865</v>
      </c>
      <c r="D182" s="7" t="n">
        <f aca="false">STDEV(C180:C182)</f>
        <v>4.29353936900126</v>
      </c>
      <c r="E182" s="7" t="n">
        <f aca="false">STDEV(C171:C182)</f>
        <v>2.84554698709954</v>
      </c>
    </row>
    <row r="183" customFormat="false" ht="15" hidden="false" customHeight="true" outlineLevel="0" collapsed="false">
      <c r="A183" s="7" t="s">
        <v>205</v>
      </c>
      <c r="B183" s="7" t="n">
        <v>423.35</v>
      </c>
      <c r="C183" s="7" t="n">
        <f aca="false">LN(B183/B182)*100</f>
        <v>-0.160494735765566</v>
      </c>
      <c r="D183" s="7" t="n">
        <f aca="false">STDEV(C181:C183)</f>
        <v>2.56676388541736</v>
      </c>
      <c r="E183" s="7" t="n">
        <f aca="false">STDEV(C172:C183)</f>
        <v>2.75011796006254</v>
      </c>
    </row>
    <row r="184" customFormat="false" ht="15" hidden="false" customHeight="true" outlineLevel="0" collapsed="false">
      <c r="A184" s="7" t="s">
        <v>206</v>
      </c>
      <c r="B184" s="7" t="n">
        <v>434.321428571428</v>
      </c>
      <c r="C184" s="7" t="n">
        <f aca="false">LN(B184/B183)*100</f>
        <v>2.55856187175081</v>
      </c>
      <c r="D184" s="7" t="n">
        <f aca="false">STDEV(C182:C184)</f>
        <v>3.38401080607341</v>
      </c>
      <c r="E184" s="7" t="n">
        <f aca="false">STDEV(C173:C184)</f>
        <v>2.82196211483912</v>
      </c>
    </row>
    <row r="185" customFormat="false" ht="15" hidden="false" customHeight="true" outlineLevel="0" collapsed="false">
      <c r="A185" s="7" t="s">
        <v>207</v>
      </c>
      <c r="B185" s="7" t="n">
        <v>429.233333333333</v>
      </c>
      <c r="C185" s="7" t="n">
        <f aca="false">LN(B185/B184)*100</f>
        <v>-1.17842071941666</v>
      </c>
      <c r="D185" s="7" t="n">
        <f aca="false">STDEV(C183:C185)</f>
        <v>1.9319455232899</v>
      </c>
      <c r="E185" s="7" t="n">
        <f aca="false">STDEV(C174:C185)</f>
        <v>2.83867663811903</v>
      </c>
    </row>
    <row r="186" customFormat="false" ht="15" hidden="false" customHeight="true" outlineLevel="0" collapsed="false">
      <c r="A186" s="7" t="s">
        <v>208</v>
      </c>
      <c r="B186" s="7" t="n">
        <v>421.8725</v>
      </c>
      <c r="C186" s="7" t="n">
        <f aca="false">LN(B186/B185)*100</f>
        <v>-1.72975359283177</v>
      </c>
      <c r="D186" s="7" t="n">
        <f aca="false">STDEV(C184:C186)</f>
        <v>2.33304723297576</v>
      </c>
      <c r="E186" s="7" t="n">
        <f aca="false">STDEV(C175:C186)</f>
        <v>2.39121993426234</v>
      </c>
    </row>
    <row r="187" customFormat="false" ht="15" hidden="false" customHeight="true" outlineLevel="0" collapsed="false">
      <c r="A187" s="7" t="s">
        <v>209</v>
      </c>
      <c r="B187" s="7" t="n">
        <v>430.656818181818</v>
      </c>
      <c r="C187" s="7" t="n">
        <f aca="false">LN(B187/B186)*100</f>
        <v>2.06083917307763</v>
      </c>
      <c r="D187" s="7" t="n">
        <f aca="false">STDEV(C185:C187)</f>
        <v>2.04798136813607</v>
      </c>
      <c r="E187" s="7" t="n">
        <f aca="false">STDEV(C176:C187)</f>
        <v>2.38328580917228</v>
      </c>
    </row>
    <row r="188" customFormat="false" ht="15" hidden="false" customHeight="true" outlineLevel="0" collapsed="false">
      <c r="A188" s="7" t="s">
        <v>210</v>
      </c>
      <c r="B188" s="7" t="n">
        <v>424.478571428571</v>
      </c>
      <c r="C188" s="7" t="n">
        <f aca="false">LN(B188/B187)*100</f>
        <v>-1.44500024926008</v>
      </c>
      <c r="D188" s="7" t="n">
        <f aca="false">STDEV(C186:C188)</f>
        <v>2.11110508339657</v>
      </c>
      <c r="E188" s="7" t="n">
        <f aca="false">STDEV(C177:C188)</f>
        <v>2.45441214613704</v>
      </c>
    </row>
    <row r="189" customFormat="false" ht="15" hidden="false" customHeight="true" outlineLevel="0" collapsed="false">
      <c r="A189" s="7" t="s">
        <v>211</v>
      </c>
      <c r="B189" s="7" t="n">
        <v>437.929545454545</v>
      </c>
      <c r="C189" s="7" t="n">
        <f aca="false">LN(B189/B188)*100</f>
        <v>3.11965173897777</v>
      </c>
      <c r="D189" s="7" t="n">
        <f aca="false">STDEV(C187:C189)</f>
        <v>2.3891435661707</v>
      </c>
      <c r="E189" s="7" t="n">
        <f aca="false">STDEV(C178:C189)</f>
        <v>2.56577273441672</v>
      </c>
    </row>
    <row r="190" customFormat="false" ht="15" hidden="false" customHeight="true" outlineLevel="0" collapsed="false">
      <c r="A190" s="7" t="s">
        <v>212</v>
      </c>
      <c r="B190" s="7" t="n">
        <v>456.047727272727</v>
      </c>
      <c r="C190" s="7" t="n">
        <f aca="false">LN(B190/B189)*100</f>
        <v>4.05394267978862</v>
      </c>
      <c r="D190" s="7" t="n">
        <f aca="false">STDEV(C188:C190)</f>
        <v>2.94242872110608</v>
      </c>
      <c r="E190" s="7" t="n">
        <f aca="false">STDEV(C179:C190)</f>
        <v>2.73843613524</v>
      </c>
    </row>
    <row r="191" customFormat="false" ht="15" hidden="false" customHeight="true" outlineLevel="0" collapsed="false">
      <c r="A191" s="7" t="s">
        <v>213</v>
      </c>
      <c r="B191" s="7" t="n">
        <v>469.897619047619</v>
      </c>
      <c r="C191" s="7" t="n">
        <f aca="false">LN(B191/B190)*100</f>
        <v>2.99173700525829</v>
      </c>
      <c r="D191" s="7" t="n">
        <f aca="false">STDEV(C189:C191)</f>
        <v>0.579876802460111</v>
      </c>
      <c r="E191" s="7" t="n">
        <f aca="false">STDEV(C180:C191)</f>
        <v>2.68354228637885</v>
      </c>
    </row>
    <row r="192" customFormat="false" ht="15" hidden="false" customHeight="true" outlineLevel="0" collapsed="false">
      <c r="A192" s="7" t="s">
        <v>214</v>
      </c>
      <c r="B192" s="7" t="n">
        <v>476.665909090909</v>
      </c>
      <c r="C192" s="7" t="n">
        <f aca="false">LN(B192/B191)*100</f>
        <v>1.43010061030767</v>
      </c>
      <c r="D192" s="7" t="n">
        <f aca="false">STDEV(C190:C192)</f>
        <v>1.31981920040946</v>
      </c>
      <c r="E192" s="7" t="n">
        <f aca="false">STDEV(C181:C192)</f>
        <v>2.46193250426551</v>
      </c>
    </row>
    <row r="193" customFormat="false" ht="15" hidden="false" customHeight="true" outlineLevel="0" collapsed="false">
      <c r="A193" s="7" t="s">
        <v>215</v>
      </c>
      <c r="B193" s="7" t="n">
        <v>510.097222222222</v>
      </c>
      <c r="C193" s="7" t="n">
        <f aca="false">LN(B193/B192)*100</f>
        <v>6.77854940939066</v>
      </c>
      <c r="D193" s="7" t="n">
        <f aca="false">STDEV(C191:C193)</f>
        <v>2.75028971111946</v>
      </c>
      <c r="E193" s="7" t="n">
        <f aca="false">STDEV(C182:C193)</f>
        <v>3.02575214203378</v>
      </c>
    </row>
    <row r="194" customFormat="false" ht="15" hidden="false" customHeight="true" outlineLevel="0" collapsed="false">
      <c r="A194" s="7" t="s">
        <v>216</v>
      </c>
      <c r="B194" s="7" t="n">
        <v>549.864285714285</v>
      </c>
      <c r="C194" s="7" t="n">
        <f aca="false">LN(B194/B193)*100</f>
        <v>7.5070155172455</v>
      </c>
      <c r="D194" s="7" t="n">
        <f aca="false">STDEV(C192:C194)</f>
        <v>3.31826918269321</v>
      </c>
      <c r="E194" s="7" t="n">
        <f aca="false">STDEV(C183:C194)</f>
        <v>3.02231602029587</v>
      </c>
    </row>
    <row r="195" customFormat="false" ht="15" hidden="false" customHeight="true" outlineLevel="0" collapsed="false">
      <c r="A195" s="7" t="s">
        <v>217</v>
      </c>
      <c r="B195" s="7" t="n">
        <v>554.995</v>
      </c>
      <c r="C195" s="7" t="n">
        <f aca="false">LN(B195/B194)*100</f>
        <v>0.92876101656735</v>
      </c>
      <c r="D195" s="7" t="n">
        <f aca="false">STDEV(C193:C195)</f>
        <v>3.60610869190036</v>
      </c>
      <c r="E195" s="7" t="n">
        <f aca="false">STDEV(C184:C195)</f>
        <v>2.96185755179051</v>
      </c>
    </row>
    <row r="196" customFormat="false" ht="15" hidden="false" customHeight="true" outlineLevel="0" collapsed="false">
      <c r="A196" s="7" t="s">
        <v>218</v>
      </c>
      <c r="B196" s="7" t="n">
        <v>557.093478260869</v>
      </c>
      <c r="C196" s="7" t="n">
        <f aca="false">LN(B196/B195)*100</f>
        <v>0.377394567527674</v>
      </c>
      <c r="D196" s="7" t="n">
        <f aca="false">STDEV(C194:C196)</f>
        <v>3.96671426001156</v>
      </c>
      <c r="E196" s="7" t="n">
        <f aca="false">STDEV(C185:C196)</f>
        <v>3.00818893428597</v>
      </c>
    </row>
    <row r="197" customFormat="false" ht="15" hidden="false" customHeight="true" outlineLevel="0" collapsed="false">
      <c r="A197" s="7" t="s">
        <v>219</v>
      </c>
      <c r="B197" s="7" t="n">
        <v>610.652777777777</v>
      </c>
      <c r="C197" s="7" t="n">
        <f aca="false">LN(B197/B196)*100</f>
        <v>9.17954621215167</v>
      </c>
      <c r="D197" s="7" t="n">
        <f aca="false">STDEV(C195:C197)</f>
        <v>4.93047216940658</v>
      </c>
      <c r="E197" s="7" t="n">
        <f aca="false">STDEV(C186:C197)</f>
        <v>3.44435456219764</v>
      </c>
    </row>
    <row r="198" customFormat="false" ht="15" hidden="false" customHeight="true" outlineLevel="0" collapsed="false">
      <c r="A198" s="7" t="s">
        <v>220</v>
      </c>
      <c r="B198" s="7" t="n">
        <v>675.392857142857</v>
      </c>
      <c r="C198" s="7" t="n">
        <f aca="false">LN(B198/B197)*100</f>
        <v>10.0766019658431</v>
      </c>
      <c r="D198" s="7" t="n">
        <f aca="false">STDEV(C196:C198)</f>
        <v>5.3596829314759</v>
      </c>
      <c r="E198" s="7" t="n">
        <f aca="false">STDEV(C187:C198)</f>
        <v>3.66880669654809</v>
      </c>
    </row>
    <row r="199" customFormat="false" ht="15" hidden="false" customHeight="true" outlineLevel="0" collapsed="false">
      <c r="A199" s="7" t="s">
        <v>221</v>
      </c>
      <c r="B199" s="7" t="n">
        <v>596.145454545454</v>
      </c>
      <c r="C199" s="7" t="n">
        <f aca="false">LN(B199/B198)*100</f>
        <v>-12.4809843611619</v>
      </c>
      <c r="D199" s="7" t="n">
        <f aca="false">STDEV(C197:C199)</f>
        <v>12.7725486535445</v>
      </c>
      <c r="E199" s="7" t="n">
        <f aca="false">STDEV(C188:C199)</f>
        <v>6.00016448484536</v>
      </c>
    </row>
    <row r="200" customFormat="false" ht="15" hidden="false" customHeight="true" outlineLevel="0" collapsed="false">
      <c r="A200" s="7" t="s">
        <v>222</v>
      </c>
      <c r="B200" s="7" t="n">
        <v>633.709523809523</v>
      </c>
      <c r="C200" s="7" t="n">
        <f aca="false">LN(B200/B199)*100</f>
        <v>6.11059965691348</v>
      </c>
      <c r="D200" s="7" t="n">
        <f aca="false">STDEV(C198:C200)</f>
        <v>12.0431230135423</v>
      </c>
      <c r="E200" s="7" t="n">
        <f aca="false">STDEV(C189:C200)</f>
        <v>5.9204413647442</v>
      </c>
    </row>
    <row r="201" customFormat="false" ht="15" hidden="false" customHeight="true" outlineLevel="0" collapsed="false">
      <c r="A201" s="7" t="s">
        <v>223</v>
      </c>
      <c r="B201" s="7" t="n">
        <v>632.593181818181</v>
      </c>
      <c r="C201" s="7" t="n">
        <f aca="false">LN(B201/B200)*100</f>
        <v>-0.176315232618395</v>
      </c>
      <c r="D201" s="7" t="n">
        <f aca="false">STDEV(C199:C201)</f>
        <v>9.45671875346049</v>
      </c>
      <c r="E201" s="7" t="n">
        <f aca="false">STDEV(C190:C201)</f>
        <v>6.00737902559161</v>
      </c>
    </row>
    <row r="202" customFormat="false" ht="15" hidden="false" customHeight="true" outlineLevel="0" collapsed="false">
      <c r="A202" s="7" t="s">
        <v>224</v>
      </c>
      <c r="B202" s="7" t="n">
        <v>598.185714285714</v>
      </c>
      <c r="C202" s="7" t="n">
        <f aca="false">LN(B202/B201)*100</f>
        <v>-5.59262680400243</v>
      </c>
      <c r="D202" s="7" t="n">
        <f aca="false">STDEV(C200:C202)</f>
        <v>5.85700776082248</v>
      </c>
      <c r="E202" s="7" t="n">
        <f aca="false">STDEV(C191:C202)</f>
        <v>6.489092438831</v>
      </c>
    </row>
    <row r="203" customFormat="false" ht="15" hidden="false" customHeight="true" outlineLevel="0" collapsed="false">
      <c r="A203" s="7" t="s">
        <v>225</v>
      </c>
      <c r="B203" s="7" t="n">
        <v>585.779545454545</v>
      </c>
      <c r="C203" s="7" t="n">
        <f aca="false">LN(B203/B202)*100</f>
        <v>-2.09577482441983</v>
      </c>
      <c r="D203" s="7" t="n">
        <f aca="false">STDEV(C201:C203)</f>
        <v>2.74617096851774</v>
      </c>
      <c r="E203" s="7" t="n">
        <f aca="false">STDEV(C192:C203)</f>
        <v>6.60220876075625</v>
      </c>
    </row>
    <row r="204" customFormat="false" ht="15" hidden="false" customHeight="true" outlineLevel="0" collapsed="false">
      <c r="A204" s="7" t="s">
        <v>226</v>
      </c>
      <c r="B204" s="7" t="n">
        <v>627.827272727272</v>
      </c>
      <c r="C204" s="7" t="n">
        <f aca="false">LN(B204/B203)*100</f>
        <v>6.93215687097294</v>
      </c>
      <c r="D204" s="7" t="n">
        <f aca="false">STDEV(C202:C204)</f>
        <v>6.46273588310603</v>
      </c>
      <c r="E204" s="7" t="n">
        <f aca="false">STDEV(C193:C204)</f>
        <v>6.76054154541862</v>
      </c>
    </row>
    <row r="205" customFormat="false" ht="15" hidden="false" customHeight="true" outlineLevel="0" collapsed="false">
      <c r="A205" s="7" t="s">
        <v>227</v>
      </c>
      <c r="B205" s="7" t="n">
        <v>629.791176470588</v>
      </c>
      <c r="C205" s="7" t="n">
        <f aca="false">LN(B205/B204)*100</f>
        <v>0.312321330999932</v>
      </c>
      <c r="D205" s="7" t="n">
        <f aca="false">STDEV(C203:C205)</f>
        <v>4.67483868468055</v>
      </c>
      <c r="E205" s="7" t="n">
        <f aca="false">STDEV(C194:C205)</f>
        <v>6.62710622258981</v>
      </c>
    </row>
    <row r="206" customFormat="false" ht="15" hidden="false" customHeight="true" outlineLevel="0" collapsed="false">
      <c r="A206" s="7" t="s">
        <v>228</v>
      </c>
      <c r="B206" s="7" t="n">
        <v>631.165909090909</v>
      </c>
      <c r="C206" s="7" t="n">
        <f aca="false">LN(B206/B205)*100</f>
        <v>0.218045987564851</v>
      </c>
      <c r="D206" s="7" t="n">
        <f aca="false">STDEV(C204:C206)</f>
        <v>3.84946739544075</v>
      </c>
      <c r="E206" s="7" t="n">
        <f aca="false">STDEV(C195:C206)</f>
        <v>6.38161948757426</v>
      </c>
    </row>
    <row r="207" customFormat="false" ht="15" hidden="false" customHeight="true" outlineLevel="0" collapsed="false">
      <c r="A207" s="7" t="s">
        <v>229</v>
      </c>
      <c r="B207" s="7" t="n">
        <v>664.745</v>
      </c>
      <c r="C207" s="7" t="n">
        <f aca="false">LN(B207/B206)*100</f>
        <v>5.18347500756159</v>
      </c>
      <c r="D207" s="7" t="n">
        <f aca="false">STDEV(C205:C207)</f>
        <v>2.83996805538624</v>
      </c>
      <c r="E207" s="7" t="n">
        <f aca="false">STDEV(C196:C207)</f>
        <v>6.48560959514797</v>
      </c>
    </row>
    <row r="208" customFormat="false" ht="15" hidden="false" customHeight="true" outlineLevel="0" collapsed="false">
      <c r="A208" s="7" t="s">
        <v>230</v>
      </c>
      <c r="B208" s="7" t="n">
        <v>654.895454545454</v>
      </c>
      <c r="C208" s="7" t="n">
        <f aca="false">LN(B208/B207)*100</f>
        <v>-1.49278969551572</v>
      </c>
      <c r="D208" s="7" t="n">
        <f aca="false">STDEV(C206:C208)</f>
        <v>3.46782723696657</v>
      </c>
      <c r="E208" s="7" t="n">
        <f aca="false">STDEV(C197:C208)</f>
        <v>6.5373985889318</v>
      </c>
    </row>
    <row r="209" customFormat="false" ht="15" hidden="false" customHeight="true" outlineLevel="0" collapsed="false">
      <c r="A209" s="7" t="s">
        <v>231</v>
      </c>
      <c r="B209" s="7" t="n">
        <v>679.368421052631</v>
      </c>
      <c r="C209" s="7" t="n">
        <f aca="false">LN(B209/B208)*100</f>
        <v>3.66879624903975</v>
      </c>
      <c r="D209" s="7" t="n">
        <f aca="false">STDEV(C207:C209)</f>
        <v>3.50020788882855</v>
      </c>
      <c r="E209" s="7" t="n">
        <f aca="false">STDEV(C198:C209)</f>
        <v>6.1172933987482</v>
      </c>
    </row>
    <row r="210" customFormat="false" ht="15" hidden="false" customHeight="true" outlineLevel="0" collapsed="false">
      <c r="A210" s="7" t="s">
        <v>232</v>
      </c>
      <c r="B210" s="7" t="n">
        <v>666.859523809523</v>
      </c>
      <c r="C210" s="7" t="n">
        <f aca="false">LN(B210/B209)*100</f>
        <v>-1.85841592521982</v>
      </c>
      <c r="D210" s="7" t="n">
        <f aca="false">STDEV(C208:C210)</f>
        <v>3.09100108978098</v>
      </c>
      <c r="E210" s="7" t="n">
        <f aca="false">STDEV(C199:C210)</f>
        <v>5.41790802863388</v>
      </c>
    </row>
    <row r="211" customFormat="false" ht="15" hidden="false" customHeight="true" outlineLevel="0" collapsed="false">
      <c r="A211" s="7" t="s">
        <v>233</v>
      </c>
      <c r="B211" s="7" t="n">
        <v>655.490476190476</v>
      </c>
      <c r="C211" s="7" t="n">
        <f aca="false">LN(B211/B210)*100</f>
        <v>-1.71956407313207</v>
      </c>
      <c r="D211" s="7" t="n">
        <f aca="false">STDEV(C209:C211)</f>
        <v>3.15181908368451</v>
      </c>
      <c r="E211" s="7" t="n">
        <f aca="false">STDEV(C200:C211)</f>
        <v>3.84592814513753</v>
      </c>
    </row>
    <row r="212" customFormat="false" ht="15" hidden="false" customHeight="true" outlineLevel="0" collapsed="false">
      <c r="A212" s="7" t="s">
        <v>234</v>
      </c>
      <c r="B212" s="7" t="n">
        <v>665.295454545454</v>
      </c>
      <c r="C212" s="7" t="n">
        <f aca="false">LN(B212/B211)*100</f>
        <v>1.48474605148062</v>
      </c>
      <c r="D212" s="7" t="n">
        <f aca="false">STDEV(C210:C212)</f>
        <v>1.89136701946763</v>
      </c>
      <c r="E212" s="7" t="n">
        <f aca="false">STDEV(C201:C212)</f>
        <v>3.47852001911675</v>
      </c>
    </row>
    <row r="213" customFormat="false" ht="15" hidden="false" customHeight="true" outlineLevel="0" collapsed="false">
      <c r="A213" s="7" t="s">
        <v>235</v>
      </c>
      <c r="B213" s="7" t="n">
        <v>665.411363636363</v>
      </c>
      <c r="C213" s="7" t="n">
        <f aca="false">LN(B213/B212)*100</f>
        <v>0.0174206804411644</v>
      </c>
      <c r="D213" s="7" t="n">
        <f aca="false">STDEV(C211:C213)</f>
        <v>1.60404505097464</v>
      </c>
      <c r="E213" s="7" t="n">
        <f aca="false">STDEV(C202:C213)</f>
        <v>3.47602369950807</v>
      </c>
    </row>
    <row r="214" customFormat="false" ht="15" hidden="false" customHeight="true" outlineLevel="0" collapsed="false">
      <c r="A214" s="7" t="s">
        <v>236</v>
      </c>
      <c r="B214" s="7" t="n">
        <v>712.6525</v>
      </c>
      <c r="C214" s="7" t="n">
        <f aca="false">LN(B214/B213)*100</f>
        <v>6.85884829871733</v>
      </c>
      <c r="D214" s="7" t="n">
        <f aca="false">STDEV(C212:C214)</f>
        <v>3.60183172298861</v>
      </c>
      <c r="E214" s="7" t="n">
        <f aca="false">STDEV(C203:C214)</f>
        <v>3.37450842568973</v>
      </c>
    </row>
    <row r="215" customFormat="false" ht="15" hidden="false" customHeight="true" outlineLevel="0" collapsed="false">
      <c r="A215" s="7" t="s">
        <v>237</v>
      </c>
      <c r="B215" s="7" t="n">
        <v>754.604347826087</v>
      </c>
      <c r="C215" s="7" t="n">
        <f aca="false">LN(B215/B214)*100</f>
        <v>5.71996449479661</v>
      </c>
      <c r="D215" s="7" t="n">
        <f aca="false">STDEV(C213:C215)</f>
        <v>3.66563305423016</v>
      </c>
      <c r="E215" s="7" t="n">
        <f aca="false">STDEV(C204:C215)</f>
        <v>3.38025875574092</v>
      </c>
    </row>
    <row r="216" customFormat="false" ht="15" hidden="false" customHeight="true" outlineLevel="0" collapsed="false">
      <c r="A216" s="7" t="s">
        <v>238</v>
      </c>
      <c r="B216" s="7" t="n">
        <v>806.247727272727</v>
      </c>
      <c r="C216" s="7" t="n">
        <f aca="false">LN(B216/B215)*100</f>
        <v>6.61974799432195</v>
      </c>
      <c r="D216" s="7" t="n">
        <f aca="false">STDEV(C214:C216)</f>
        <v>0.600532488770446</v>
      </c>
      <c r="E216" s="7" t="n">
        <f aca="false">STDEV(C205:C216)</f>
        <v>3.34071847521985</v>
      </c>
    </row>
    <row r="217" customFormat="false" ht="15" hidden="false" customHeight="true" outlineLevel="0" collapsed="false">
      <c r="A217" s="7" t="s">
        <v>239</v>
      </c>
      <c r="B217" s="7" t="n">
        <v>803.20294117647</v>
      </c>
      <c r="C217" s="7" t="n">
        <f aca="false">LN(B217/B216)*100</f>
        <v>-0.378363846541457</v>
      </c>
      <c r="D217" s="7" t="n">
        <f aca="false">STDEV(C215:C217)</f>
        <v>3.80729099321328</v>
      </c>
      <c r="E217" s="7" t="n">
        <f aca="false">STDEV(C206:C217)</f>
        <v>3.37974669465662</v>
      </c>
    </row>
    <row r="218" customFormat="false" ht="15" hidden="false" customHeight="true" outlineLevel="0" collapsed="false">
      <c r="A218" s="7" t="s">
        <v>240</v>
      </c>
      <c r="B218" s="7" t="n">
        <v>889.595454545454</v>
      </c>
      <c r="C218" s="7" t="n">
        <f aca="false">LN(B218/B217)*100</f>
        <v>10.2159403180484</v>
      </c>
      <c r="D218" s="7" t="n">
        <f aca="false">STDEV(C216:C218)</f>
        <v>5.38741510835374</v>
      </c>
      <c r="E218" s="7" t="n">
        <f aca="false">STDEV(C207:C218)</f>
        <v>4.05764878337409</v>
      </c>
    </row>
    <row r="219" customFormat="false" ht="15" hidden="false" customHeight="true" outlineLevel="0" collapsed="false">
      <c r="A219" s="7" t="s">
        <v>241</v>
      </c>
      <c r="B219" s="7" t="n">
        <v>922.297619047619</v>
      </c>
      <c r="C219" s="7" t="n">
        <f aca="false">LN(B219/B218)*100</f>
        <v>3.61011547659284</v>
      </c>
      <c r="D219" s="7" t="n">
        <f aca="false">STDEV(C217:C219)</f>
        <v>5.35076583115147</v>
      </c>
      <c r="E219" s="7" t="n">
        <f aca="false">STDEV(C208:C219)</f>
        <v>4.00076638020538</v>
      </c>
    </row>
    <row r="220" customFormat="false" ht="15" hidden="false" customHeight="true" outlineLevel="0" collapsed="false">
      <c r="A220" s="7" t="s">
        <v>242</v>
      </c>
      <c r="B220" s="7" t="n">
        <v>968.434210526315</v>
      </c>
      <c r="C220" s="7" t="n">
        <f aca="false">LN(B220/B219)*100</f>
        <v>4.88125825943884</v>
      </c>
      <c r="D220" s="7" t="n">
        <f aca="false">STDEV(C218:C220)</f>
        <v>3.50503348716349</v>
      </c>
      <c r="E220" s="7" t="n">
        <f aca="false">STDEV(C209:C220)</f>
        <v>3.8077922364689</v>
      </c>
    </row>
    <row r="221" customFormat="false" ht="15" hidden="false" customHeight="true" outlineLevel="0" collapsed="false">
      <c r="A221" s="7" t="s">
        <v>243</v>
      </c>
      <c r="B221" s="7" t="n">
        <v>909.704545454545</v>
      </c>
      <c r="C221" s="7" t="n">
        <f aca="false">LN(B221/B220)*100</f>
        <v>-6.25606798270802</v>
      </c>
      <c r="D221" s="7" t="n">
        <f aca="false">STDEV(C219:C221)</f>
        <v>6.09641172946535</v>
      </c>
      <c r="E221" s="7" t="n">
        <f aca="false">STDEV(C210:C221)</f>
        <v>4.68724355870386</v>
      </c>
    </row>
    <row r="222" customFormat="false" ht="15" hidden="false" customHeight="true" outlineLevel="0" collapsed="false">
      <c r="A222" s="7" t="s">
        <v>244</v>
      </c>
      <c r="B222" s="7" t="n">
        <v>888.6625</v>
      </c>
      <c r="C222" s="7" t="n">
        <f aca="false">LN(B222/B221)*100</f>
        <v>-2.34023480803911</v>
      </c>
      <c r="D222" s="7" t="n">
        <f aca="false">STDEV(C220:C222)</f>
        <v>5.64983403000304</v>
      </c>
      <c r="E222" s="7" t="n">
        <f aca="false">STDEV(C211:C222)</f>
        <v>4.72922171509034</v>
      </c>
    </row>
    <row r="223" customFormat="false" ht="15" hidden="false" customHeight="true" outlineLevel="0" collapsed="false">
      <c r="A223" s="7" t="s">
        <v>245</v>
      </c>
      <c r="B223" s="7" t="n">
        <v>889.488095238095</v>
      </c>
      <c r="C223" s="7" t="n">
        <f aca="false">LN(B223/B222)*100</f>
        <v>0.0928599973063643</v>
      </c>
      <c r="D223" s="7" t="n">
        <f aca="false">STDEV(C221:C223)</f>
        <v>3.20319076024324</v>
      </c>
      <c r="E223" s="7" t="n">
        <f aca="false">STDEV(C212:C223)</f>
        <v>4.61347138380822</v>
      </c>
    </row>
    <row r="224" customFormat="false" ht="15" hidden="false" customHeight="true" outlineLevel="0" collapsed="false">
      <c r="A224" s="7" t="s">
        <v>246</v>
      </c>
      <c r="B224" s="7" t="n">
        <v>939.771739130434</v>
      </c>
      <c r="C224" s="7" t="n">
        <f aca="false">LN(B224/B223)*100</f>
        <v>5.49908917031458</v>
      </c>
      <c r="D224" s="7" t="n">
        <f aca="false">STDEV(C222:C224)</f>
        <v>4.01252756253203</v>
      </c>
      <c r="E224" s="7" t="n">
        <f aca="false">STDEV(C213:C224)</f>
        <v>4.67482718934202</v>
      </c>
    </row>
    <row r="225" customFormat="false" ht="15" hidden="false" customHeight="true" outlineLevel="0" collapsed="false">
      <c r="A225" s="7" t="s">
        <v>247</v>
      </c>
      <c r="B225" s="7" t="n">
        <v>839.025</v>
      </c>
      <c r="C225" s="7" t="n">
        <f aca="false">LN(B225/B224)*100</f>
        <v>-11.339651166249</v>
      </c>
      <c r="D225" s="7" t="n">
        <f aca="false">STDEV(C223:C225)</f>
        <v>8.59721661836083</v>
      </c>
      <c r="E225" s="7" t="n">
        <f aca="false">STDEV(C214:C225)</f>
        <v>6.20566359986774</v>
      </c>
    </row>
    <row r="226" customFormat="false" ht="15" hidden="false" customHeight="true" outlineLevel="0" collapsed="false">
      <c r="A226" s="7" t="s">
        <v>248</v>
      </c>
      <c r="B226" s="7" t="n">
        <v>829.931818181818</v>
      </c>
      <c r="C226" s="7" t="n">
        <f aca="false">LN(B226/B225)*100</f>
        <v>-1.08969527535848</v>
      </c>
      <c r="D226" s="7" t="n">
        <f aca="false">STDEV(C224:C226)</f>
        <v>8.48544687842032</v>
      </c>
      <c r="E226" s="7" t="n">
        <f aca="false">STDEV(C215:C226)</f>
        <v>6.05433035461474</v>
      </c>
    </row>
    <row r="227" customFormat="false" ht="15" hidden="false" customHeight="true" outlineLevel="0" collapsed="false">
      <c r="A227" s="7" t="s">
        <v>249</v>
      </c>
      <c r="B227" s="7" t="n">
        <v>806.619565217391</v>
      </c>
      <c r="C227" s="7" t="n">
        <f aca="false">LN(B227/B226)*100</f>
        <v>-2.84914120960471</v>
      </c>
      <c r="D227" s="7" t="n">
        <f aca="false">STDEV(C225:C227)</f>
        <v>5.48096714526146</v>
      </c>
      <c r="E227" s="7" t="n">
        <f aca="false">STDEV(C216:C227)</f>
        <v>5.98667377243317</v>
      </c>
    </row>
    <row r="228" customFormat="false" ht="15" hidden="false" customHeight="true" outlineLevel="0" collapsed="false">
      <c r="A228" s="7" t="s">
        <v>250</v>
      </c>
      <c r="B228" s="7" t="n">
        <v>760.8625</v>
      </c>
      <c r="C228" s="7" t="n">
        <f aca="false">LN(B228/B227)*100</f>
        <v>-5.83994803264145</v>
      </c>
      <c r="D228" s="7" t="n">
        <f aca="false">STDEV(C226:C228)</f>
        <v>2.40157853318511</v>
      </c>
      <c r="E228" s="7" t="n">
        <f aca="false">STDEV(C217:C228)</f>
        <v>5.91939987773294</v>
      </c>
    </row>
    <row r="229" customFormat="false" ht="15" hidden="false" customHeight="true" outlineLevel="0" collapsed="false">
      <c r="A229" s="7" t="s">
        <v>251</v>
      </c>
      <c r="B229" s="7" t="n">
        <v>816.092105263157</v>
      </c>
      <c r="C229" s="7" t="n">
        <f aca="false">LN(B229/B228)*100</f>
        <v>7.00745644662541</v>
      </c>
      <c r="D229" s="7" t="n">
        <f aca="false">STDEV(C227:C229)</f>
        <v>6.72251496420066</v>
      </c>
      <c r="E229" s="7" t="n">
        <f aca="false">STDEV(C218:C229)</f>
        <v>6.30281114268783</v>
      </c>
    </row>
    <row r="230" customFormat="false" ht="15" hidden="false" customHeight="true" outlineLevel="0" collapsed="false">
      <c r="A230" s="7" t="s">
        <v>252</v>
      </c>
      <c r="B230" s="7" t="n">
        <v>858.690476190476</v>
      </c>
      <c r="C230" s="7" t="n">
        <f aca="false">LN(B230/B229)*100</f>
        <v>5.08813039630929</v>
      </c>
      <c r="D230" s="7" t="n">
        <f aca="false">STDEV(C228:C230)</f>
        <v>6.93015767606345</v>
      </c>
      <c r="E230" s="7" t="n">
        <f aca="false">STDEV(C219:C230)</f>
        <v>5.70225398493798</v>
      </c>
    </row>
    <row r="231" customFormat="false" ht="15" hidden="false" customHeight="true" outlineLevel="0" collapsed="false">
      <c r="A231" s="7" t="s">
        <v>253</v>
      </c>
      <c r="B231" s="7" t="n">
        <v>943.1625</v>
      </c>
      <c r="C231" s="7" t="n">
        <f aca="false">LN(B231/B230)*100</f>
        <v>9.38300635086556</v>
      </c>
      <c r="D231" s="7" t="n">
        <f aca="false">STDEV(C229:C231)</f>
        <v>2.15147272428226</v>
      </c>
      <c r="E231" s="7" t="n">
        <f aca="false">STDEV(C220:C231)</f>
        <v>6.27625672433841</v>
      </c>
    </row>
    <row r="232" customFormat="false" ht="15" hidden="false" customHeight="true" outlineLevel="0" collapsed="false">
      <c r="A232" s="7" t="s">
        <v>254</v>
      </c>
      <c r="B232" s="7" t="n">
        <v>924.272727272727</v>
      </c>
      <c r="C232" s="7" t="n">
        <f aca="false">LN(B232/B231)*100</f>
        <v>-2.023140268627</v>
      </c>
      <c r="D232" s="7" t="n">
        <f aca="false">STDEV(C230:C232)</f>
        <v>5.76073361416713</v>
      </c>
      <c r="E232" s="7" t="n">
        <f aca="false">STDEV(C221:C232)</f>
        <v>6.12130035970628</v>
      </c>
    </row>
    <row r="233" customFormat="false" ht="15" hidden="false" customHeight="true" outlineLevel="0" collapsed="false">
      <c r="A233" s="7" t="s">
        <v>255</v>
      </c>
      <c r="B233" s="7" t="n">
        <v>890.2</v>
      </c>
      <c r="C233" s="7" t="n">
        <f aca="false">LN(B233/B232)*100</f>
        <v>-3.75610308950363</v>
      </c>
      <c r="D233" s="7" t="n">
        <f aca="false">STDEV(C231:C233)</f>
        <v>7.13838844709715</v>
      </c>
      <c r="E233" s="7" t="n">
        <f aca="false">STDEV(C222:C233)</f>
        <v>5.94342494100886</v>
      </c>
    </row>
    <row r="234" customFormat="false" ht="15" hidden="false" customHeight="true" outlineLevel="0" collapsed="false">
      <c r="A234" s="7" t="s">
        <v>256</v>
      </c>
      <c r="B234" s="7" t="n">
        <v>928.644736842105</v>
      </c>
      <c r="C234" s="7" t="n">
        <f aca="false">LN(B234/B233)*100</f>
        <v>4.22800944989025</v>
      </c>
      <c r="D234" s="7" t="n">
        <f aca="false">STDEV(C232:C234)</f>
        <v>4.19972391917146</v>
      </c>
      <c r="E234" s="7" t="n">
        <f aca="false">STDEV(C223:C234)</f>
        <v>6.02829804197408</v>
      </c>
    </row>
    <row r="235" customFormat="false" ht="15" hidden="false" customHeight="true" outlineLevel="0" collapsed="false">
      <c r="A235" s="7" t="s">
        <v>257</v>
      </c>
      <c r="B235" s="7" t="n">
        <v>945.670454545454</v>
      </c>
      <c r="C235" s="7" t="n">
        <f aca="false">LN(B235/B234)*100</f>
        <v>1.81679005636465</v>
      </c>
      <c r="D235" s="7" t="n">
        <f aca="false">STDEV(C233:C235)</f>
        <v>4.09506145702125</v>
      </c>
      <c r="E235" s="7" t="n">
        <f aca="false">STDEV(C224:C235)</f>
        <v>6.0417044995732</v>
      </c>
    </row>
    <row r="236" customFormat="false" ht="15" hidden="false" customHeight="true" outlineLevel="0" collapsed="false">
      <c r="A236" s="7" t="s">
        <v>258</v>
      </c>
      <c r="B236" s="7" t="n">
        <v>934.228260869565</v>
      </c>
      <c r="C236" s="7" t="n">
        <f aca="false">LN(B236/B235)*100</f>
        <v>-1.21733526213521</v>
      </c>
      <c r="D236" s="7" t="n">
        <f aca="false">STDEV(C234:C236)</f>
        <v>2.72860386904058</v>
      </c>
      <c r="E236" s="7" t="n">
        <f aca="false">STDEV(C225:C236)</f>
        <v>5.84545652697404</v>
      </c>
    </row>
    <row r="237" customFormat="false" ht="15" hidden="false" customHeight="true" outlineLevel="0" collapsed="false">
      <c r="A237" s="7" t="s">
        <v>259</v>
      </c>
      <c r="B237" s="7" t="n">
        <v>949.375</v>
      </c>
      <c r="C237" s="7" t="n">
        <f aca="false">LN(B237/B236)*100</f>
        <v>1.60830743270863</v>
      </c>
      <c r="D237" s="7" t="n">
        <f aca="false">STDEV(C235:C237)</f>
        <v>1.69477816108052</v>
      </c>
      <c r="E237" s="7" t="n">
        <f aca="false">STDEV(C226:C237)</f>
        <v>4.6433516402453</v>
      </c>
    </row>
    <row r="238" customFormat="false" ht="15" hidden="false" customHeight="true" outlineLevel="0" collapsed="false">
      <c r="A238" s="7" t="s">
        <v>260</v>
      </c>
      <c r="B238" s="7" t="n">
        <v>996.590909090909</v>
      </c>
      <c r="C238" s="7" t="n">
        <f aca="false">LN(B238/B237)*100</f>
        <v>4.85364905320306</v>
      </c>
      <c r="D238" s="7" t="n">
        <f aca="false">STDEV(C236:C238)</f>
        <v>3.03790907889295</v>
      </c>
      <c r="E238" s="7" t="n">
        <f aca="false">STDEV(C227:C238)</f>
        <v>4.71318324804132</v>
      </c>
    </row>
    <row r="239" customFormat="false" ht="15" hidden="false" customHeight="true" outlineLevel="0" collapsed="false">
      <c r="A239" s="7" t="s">
        <v>261</v>
      </c>
      <c r="B239" s="7" t="n">
        <v>1043.15909090909</v>
      </c>
      <c r="C239" s="7" t="n">
        <f aca="false">LN(B239/B238)*100</f>
        <v>4.56686115186029</v>
      </c>
      <c r="D239" s="7" t="n">
        <f aca="false">STDEV(C237:C239)</f>
        <v>1.79664175816884</v>
      </c>
      <c r="E239" s="7" t="n">
        <f aca="false">STDEV(C228:C239)</f>
        <v>4.57157393362892</v>
      </c>
    </row>
    <row r="240" customFormat="false" ht="15" hidden="false" customHeight="true" outlineLevel="0" collapsed="false">
      <c r="A240" s="7" t="s">
        <v>262</v>
      </c>
      <c r="B240" s="7" t="n">
        <v>1127.03571428571</v>
      </c>
      <c r="C240" s="7" t="n">
        <f aca="false">LN(B240/B239)*100</f>
        <v>7.73372278315053</v>
      </c>
      <c r="D240" s="7" t="n">
        <f aca="false">STDEV(C238:C240)</f>
        <v>1.75147959270766</v>
      </c>
      <c r="E240" s="7" t="n">
        <f aca="false">STDEV(C229:C240)</f>
        <v>4.06836907749633</v>
      </c>
    </row>
    <row r="241" customFormat="false" ht="15" hidden="false" customHeight="true" outlineLevel="0" collapsed="false">
      <c r="A241" s="7" t="s">
        <v>263</v>
      </c>
      <c r="B241" s="7" t="n">
        <v>1134.72368421052</v>
      </c>
      <c r="C241" s="7" t="n">
        <f aca="false">LN(B241/B240)*100</f>
        <v>0.679824700977271</v>
      </c>
      <c r="D241" s="7" t="n">
        <f aca="false">STDEV(C239:C241)</f>
        <v>3.53307097569803</v>
      </c>
      <c r="E241" s="7" t="n">
        <f aca="false">STDEV(C230:C241)</f>
        <v>3.94880645265463</v>
      </c>
    </row>
    <row r="242" customFormat="false" ht="15" hidden="false" customHeight="true" outlineLevel="0" collapsed="false">
      <c r="A242" s="7" t="s">
        <v>264</v>
      </c>
      <c r="B242" s="7" t="n">
        <v>1117.9625</v>
      </c>
      <c r="C242" s="7" t="n">
        <f aca="false">LN(B242/B241)*100</f>
        <v>-1.48813391288071</v>
      </c>
      <c r="D242" s="7" t="n">
        <f aca="false">STDEV(C240:C242)</f>
        <v>4.82182820838778</v>
      </c>
      <c r="E242" s="7" t="n">
        <f aca="false">STDEV(C231:C242)</f>
        <v>4.04938637869812</v>
      </c>
    </row>
    <row r="243" customFormat="false" ht="15" hidden="false" customHeight="true" outlineLevel="0" collapsed="false">
      <c r="A243" s="7" t="s">
        <v>265</v>
      </c>
      <c r="B243" s="7" t="n">
        <v>1095.4125</v>
      </c>
      <c r="C243" s="7" t="n">
        <f aca="false">LN(B243/B242)*100</f>
        <v>-2.03768274720479</v>
      </c>
      <c r="D243" s="7" t="n">
        <f aca="false">STDEV(C241:C243)</f>
        <v>1.43683072556889</v>
      </c>
      <c r="E243" s="7" t="n">
        <f aca="false">STDEV(C232:C243)</f>
        <v>3.51410380741552</v>
      </c>
    </row>
    <row r="244" customFormat="false" ht="15" hidden="false" customHeight="true" outlineLevel="0" collapsed="false">
      <c r="A244" s="7" t="s">
        <v>266</v>
      </c>
      <c r="B244" s="7" t="n">
        <v>1113.33695652173</v>
      </c>
      <c r="C244" s="7" t="n">
        <f aca="false">LN(B244/B243)*100</f>
        <v>1.62307680170823</v>
      </c>
      <c r="D244" s="7" t="n">
        <f aca="false">STDEV(C242:C244)</f>
        <v>1.974115688388</v>
      </c>
      <c r="E244" s="7" t="n">
        <f aca="false">STDEV(C233:C244)</f>
        <v>3.35988936327571</v>
      </c>
    </row>
    <row r="245" customFormat="false" ht="15" hidden="false" customHeight="true" outlineLevel="0" collapsed="false">
      <c r="A245" s="7" t="s">
        <v>267</v>
      </c>
      <c r="B245" s="7" t="n">
        <v>1148.6875</v>
      </c>
      <c r="C245" s="7" t="n">
        <f aca="false">LN(B245/B244)*100</f>
        <v>3.12582135675167</v>
      </c>
      <c r="D245" s="7" t="n">
        <f aca="false">STDEV(C243:C245)</f>
        <v>2.6558481477752</v>
      </c>
      <c r="E245" s="7" t="n">
        <f aca="false">STDEV(C234:C245)</f>
        <v>2.93174727914243</v>
      </c>
    </row>
    <row r="246" customFormat="false" ht="15" hidden="false" customHeight="true" outlineLevel="0" collapsed="false">
      <c r="A246" s="7" t="s">
        <v>268</v>
      </c>
      <c r="B246" s="7" t="n">
        <v>1205.43421052631</v>
      </c>
      <c r="C246" s="7" t="n">
        <f aca="false">LN(B246/B245)*100</f>
        <v>4.8219856477684</v>
      </c>
      <c r="D246" s="7" t="n">
        <f aca="false">STDEV(C244:C246)</f>
        <v>1.60042870846298</v>
      </c>
      <c r="E246" s="7" t="n">
        <f aca="false">STDEV(C235:C246)</f>
        <v>2.97518444328102</v>
      </c>
    </row>
    <row r="247" customFormat="false" ht="15" hidden="false" customHeight="true" outlineLevel="0" collapsed="false">
      <c r="A247" s="7" t="s">
        <v>269</v>
      </c>
      <c r="B247" s="7" t="n">
        <v>1232.92045454545</v>
      </c>
      <c r="C247" s="7" t="n">
        <f aca="false">LN(B247/B246)*100</f>
        <v>2.2545865629217</v>
      </c>
      <c r="D247" s="7" t="n">
        <f aca="false">STDEV(C245:C247)</f>
        <v>1.30560084692655</v>
      </c>
      <c r="E247" s="7" t="n">
        <f aca="false">STDEV(C236:C247)</f>
        <v>2.97309070123585</v>
      </c>
    </row>
    <row r="248" customFormat="false" ht="15" hidden="false" customHeight="true" outlineLevel="0" collapsed="false">
      <c r="A248" s="7" t="s">
        <v>270</v>
      </c>
      <c r="B248" s="7" t="n">
        <v>1192.9659090909</v>
      </c>
      <c r="C248" s="7" t="n">
        <f aca="false">LN(B248/B247)*100</f>
        <v>-3.29431414259574</v>
      </c>
      <c r="D248" s="7" t="n">
        <f aca="false">STDEV(C246:C248)</f>
        <v>4.14841655308843</v>
      </c>
      <c r="E248" s="7" t="n">
        <f aca="false">STDEV(C237:C248)</f>
        <v>3.23931717248143</v>
      </c>
    </row>
    <row r="249" customFormat="false" ht="15" hidden="false" customHeight="true" outlineLevel="0" collapsed="false">
      <c r="A249" s="7" t="s">
        <v>271</v>
      </c>
      <c r="B249" s="7" t="n">
        <v>1215.80952380952</v>
      </c>
      <c r="C249" s="7" t="n">
        <f aca="false">LN(B249/B248)*100</f>
        <v>1.89675627458852</v>
      </c>
      <c r="D249" s="7" t="n">
        <f aca="false">STDEV(C247:C249)</f>
        <v>3.1055207193831</v>
      </c>
      <c r="E249" s="7" t="n">
        <f aca="false">STDEV(C238:C249)</f>
        <v>3.2369136886456</v>
      </c>
    </row>
    <row r="250" customFormat="false" ht="15" hidden="false" customHeight="true" outlineLevel="0" collapsed="false">
      <c r="A250" s="7" t="s">
        <v>272</v>
      </c>
      <c r="B250" s="7" t="n">
        <v>1270.97727272727</v>
      </c>
      <c r="C250" s="7" t="n">
        <f aca="false">LN(B250/B249)*100</f>
        <v>4.43759809665701</v>
      </c>
      <c r="D250" s="7" t="n">
        <f aca="false">STDEV(C248:C250)</f>
        <v>3.94092958823263</v>
      </c>
      <c r="E250" s="7" t="n">
        <f aca="false">STDEV(C239:C250)</f>
        <v>3.20637015714126</v>
      </c>
    </row>
    <row r="251" customFormat="false" ht="15" hidden="false" customHeight="true" outlineLevel="0" collapsed="false">
      <c r="A251" s="7" t="s">
        <v>273</v>
      </c>
      <c r="B251" s="7" t="n">
        <v>1342.02380952381</v>
      </c>
      <c r="C251" s="7" t="n">
        <f aca="false">LN(B251/B250)*100</f>
        <v>5.43926695761718</v>
      </c>
      <c r="D251" s="7" t="n">
        <f aca="false">STDEV(C249:C251)</f>
        <v>1.82613433291757</v>
      </c>
      <c r="E251" s="7" t="n">
        <f aca="false">STDEV(C240:C251)</f>
        <v>3.27828556795079</v>
      </c>
    </row>
    <row r="252" customFormat="false" ht="15" hidden="false" customHeight="true" outlineLevel="0" collapsed="false">
      <c r="A252" s="7" t="s">
        <v>274</v>
      </c>
      <c r="B252" s="7" t="n">
        <v>1369.88636363636</v>
      </c>
      <c r="C252" s="7" t="n">
        <f aca="false">LN(B252/B251)*100</f>
        <v>2.05490099358443</v>
      </c>
      <c r="D252" s="7" t="n">
        <f aca="false">STDEV(C250:C252)</f>
        <v>1.73851080767953</v>
      </c>
      <c r="E252" s="7" t="n">
        <f aca="false">STDEV(C241:C252)</f>
        <v>2.75989808384905</v>
      </c>
    </row>
    <row r="253" customFormat="false" ht="15" hidden="false" customHeight="true" outlineLevel="0" collapsed="false">
      <c r="A253" s="7" t="s">
        <v>275</v>
      </c>
      <c r="B253" s="7" t="n">
        <v>1390.55263157894</v>
      </c>
      <c r="C253" s="7" t="n">
        <f aca="false">LN(B253/B252)*100</f>
        <v>1.4973454656461</v>
      </c>
      <c r="D253" s="7" t="n">
        <f aca="false">STDEV(C251:C253)</f>
        <v>2.13321143639121</v>
      </c>
      <c r="E253" s="7" t="n">
        <f aca="false">STDEV(C242:C253)</f>
        <v>2.74446204759972</v>
      </c>
    </row>
    <row r="254" customFormat="false" ht="15" hidden="false" customHeight="true" outlineLevel="0" collapsed="false">
      <c r="A254" s="7" t="s">
        <v>276</v>
      </c>
      <c r="B254" s="7" t="n">
        <v>1356.4</v>
      </c>
      <c r="C254" s="7" t="n">
        <f aca="false">LN(B254/B253)*100</f>
        <v>-2.48671135360855</v>
      </c>
      <c r="D254" s="7" t="n">
        <f aca="false">STDEV(C252:C254)</f>
        <v>2.47688714646563</v>
      </c>
      <c r="E254" s="7" t="n">
        <f aca="false">STDEV(C243:C254)</f>
        <v>2.86233534358421</v>
      </c>
    </row>
    <row r="255" customFormat="false" ht="15" hidden="false" customHeight="true" outlineLevel="0" collapsed="false">
      <c r="A255" s="7" t="s">
        <v>277</v>
      </c>
      <c r="B255" s="7" t="n">
        <v>1372.725</v>
      </c>
      <c r="C255" s="7" t="n">
        <f aca="false">LN(B255/B254)*100</f>
        <v>1.19636841226517</v>
      </c>
      <c r="D255" s="7" t="n">
        <f aca="false">STDEV(C253:C255)</f>
        <v>2.21842182972115</v>
      </c>
      <c r="E255" s="7" t="n">
        <f aca="false">STDEV(C244:C255)</f>
        <v>2.63041136205904</v>
      </c>
    </row>
    <row r="256" customFormat="false" ht="15" hidden="false" customHeight="true" outlineLevel="0" collapsed="false">
      <c r="A256" s="7" t="s">
        <v>278</v>
      </c>
      <c r="B256" s="7" t="n">
        <v>1424.01086956521</v>
      </c>
      <c r="C256" s="7" t="n">
        <f aca="false">LN(B256/B255)*100</f>
        <v>3.66796306902897</v>
      </c>
      <c r="D256" s="7" t="n">
        <f aca="false">STDEV(C254:C256)</f>
        <v>3.09714583549113</v>
      </c>
      <c r="E256" s="7" t="n">
        <f aca="false">STDEV(C245:C256)</f>
        <v>2.6780210697482</v>
      </c>
    </row>
    <row r="257" customFormat="false" ht="15" hidden="false" customHeight="true" outlineLevel="0" collapsed="false">
      <c r="A257" s="7" t="s">
        <v>279</v>
      </c>
      <c r="B257" s="7" t="n">
        <v>1473.80555555555</v>
      </c>
      <c r="C257" s="7" t="n">
        <f aca="false">LN(B257/B256)*100</f>
        <v>3.43704228064565</v>
      </c>
      <c r="D257" s="7" t="n">
        <f aca="false">STDEV(C255:C257)</f>
        <v>1.36520596384416</v>
      </c>
      <c r="E257" s="7" t="n">
        <f aca="false">STDEV(C246:C257)</f>
        <v>2.69085299940477</v>
      </c>
    </row>
    <row r="258" customFormat="false" ht="15" hidden="false" customHeight="true" outlineLevel="0" collapsed="false">
      <c r="A258" s="7" t="s">
        <v>280</v>
      </c>
      <c r="B258" s="7" t="n">
        <v>1510.4375</v>
      </c>
      <c r="C258" s="7" t="n">
        <f aca="false">LN(B258/B257)*100</f>
        <v>2.45514750723179</v>
      </c>
      <c r="D258" s="7" t="n">
        <f aca="false">STDEV(C256:C258)</f>
        <v>0.643993186234974</v>
      </c>
      <c r="E258" s="7" t="n">
        <f aca="false">STDEV(C247:C258)</f>
        <v>2.55464519763241</v>
      </c>
    </row>
    <row r="259" customFormat="false" ht="15" hidden="false" customHeight="true" outlineLevel="0" collapsed="false">
      <c r="A259" s="7" t="s">
        <v>281</v>
      </c>
      <c r="B259" s="7" t="n">
        <v>1528.65909090909</v>
      </c>
      <c r="C259" s="7" t="n">
        <f aca="false">LN(B259/B258)*100</f>
        <v>1.19915959999452</v>
      </c>
      <c r="D259" s="7" t="n">
        <f aca="false">STDEV(C257:C259)</f>
        <v>1.12173540117846</v>
      </c>
      <c r="E259" s="7" t="n">
        <f aca="false">STDEV(C248:C259)</f>
        <v>2.55872876704921</v>
      </c>
    </row>
    <row r="260" customFormat="false" ht="15" hidden="false" customHeight="true" outlineLevel="0" collapsed="false">
      <c r="A260" s="7" t="s">
        <v>282</v>
      </c>
      <c r="B260" s="7" t="n">
        <v>1572.80952380952</v>
      </c>
      <c r="C260" s="7" t="n">
        <f aca="false">LN(B260/B259)*100</f>
        <v>2.8472585752838</v>
      </c>
      <c r="D260" s="7" t="n">
        <f aca="false">STDEV(C258:C260)</f>
        <v>0.860957504290495</v>
      </c>
      <c r="E260" s="7" t="n">
        <f aca="false">STDEV(C249:C260)</f>
        <v>2.00275530576728</v>
      </c>
    </row>
    <row r="261" customFormat="false" ht="15" hidden="false" customHeight="true" outlineLevel="0" collapsed="false">
      <c r="A261" s="7" t="s">
        <v>283</v>
      </c>
      <c r="B261" s="7" t="n">
        <v>1755.80681818181</v>
      </c>
      <c r="C261" s="7" t="n">
        <f aca="false">LN(B261/B260)*100</f>
        <v>11.0064951022331</v>
      </c>
      <c r="D261" s="7" t="n">
        <f aca="false">STDEV(C259:C261)</f>
        <v>5.25155850817202</v>
      </c>
      <c r="E261" s="7" t="n">
        <f aca="false">STDEV(C250:C261)</f>
        <v>3.20201985811751</v>
      </c>
    </row>
    <row r="262" customFormat="false" ht="15" hidden="false" customHeight="true" outlineLevel="0" collapsed="false">
      <c r="A262" s="7" t="s">
        <v>284</v>
      </c>
      <c r="B262" s="7" t="n">
        <v>1771.85227272727</v>
      </c>
      <c r="C262" s="7" t="n">
        <f aca="false">LN(B262/B261)*100</f>
        <v>0.909700443604554</v>
      </c>
      <c r="D262" s="7" t="n">
        <f aca="false">STDEV(C260:C262)</f>
        <v>5.35836627146202</v>
      </c>
      <c r="E262" s="7" t="n">
        <f aca="false">STDEV(C251:C262)</f>
        <v>3.22616858319951</v>
      </c>
    </row>
    <row r="263" customFormat="false" ht="15" hidden="false" customHeight="true" outlineLevel="0" collapsed="false">
      <c r="A263" s="7" t="s">
        <v>285</v>
      </c>
      <c r="B263" s="7" t="n">
        <v>1665.21428571428</v>
      </c>
      <c r="C263" s="7" t="n">
        <f aca="false">LN(B263/B262)*100</f>
        <v>-6.20716658922695</v>
      </c>
      <c r="D263" s="7" t="n">
        <f aca="false">STDEV(C261:C263)</f>
        <v>8.6497129776037</v>
      </c>
      <c r="E263" s="7" t="n">
        <f aca="false">STDEV(C252:C263)</f>
        <v>4.00703779741797</v>
      </c>
    </row>
    <row r="264" customFormat="false" ht="15" hidden="false" customHeight="true" outlineLevel="0" collapsed="false">
      <c r="A264" s="7" t="s">
        <v>286</v>
      </c>
      <c r="B264" s="7" t="n">
        <v>1738.97727272727</v>
      </c>
      <c r="C264" s="7" t="n">
        <f aca="false">LN(B264/B263)*100</f>
        <v>4.33433508447841</v>
      </c>
      <c r="D264" s="7" t="n">
        <f aca="false">STDEV(C262:C264)</f>
        <v>5.37744016429146</v>
      </c>
      <c r="E264" s="7" t="n">
        <f aca="false">STDEV(C253:C264)</f>
        <v>4.07378885936546</v>
      </c>
    </row>
    <row r="265" customFormat="false" ht="15" hidden="false" customHeight="true" outlineLevel="0" collapsed="false">
      <c r="A265" s="7" t="s">
        <v>287</v>
      </c>
      <c r="B265" s="7" t="n">
        <v>1652.30555555555</v>
      </c>
      <c r="C265" s="7" t="n">
        <f aca="false">LN(B265/B264)*100</f>
        <v>-5.11255471390832</v>
      </c>
      <c r="D265" s="7" t="n">
        <f aca="false">STDEV(C263:C265)</f>
        <v>5.79604979788224</v>
      </c>
      <c r="E265" s="7" t="n">
        <f aca="false">STDEV(C254:C265)</f>
        <v>4.56359688971327</v>
      </c>
    </row>
    <row r="266" customFormat="false" ht="15" hidden="false" customHeight="true" outlineLevel="0" collapsed="false">
      <c r="A266" s="7" t="s">
        <v>288</v>
      </c>
      <c r="B266" s="7" t="n">
        <v>1656.11904761904</v>
      </c>
      <c r="C266" s="7" t="n">
        <f aca="false">LN(B266/B265)*100</f>
        <v>0.230532305238895</v>
      </c>
      <c r="D266" s="7" t="n">
        <f aca="false">STDEV(C264:C266)</f>
        <v>4.73697341854368</v>
      </c>
      <c r="E266" s="7" t="n">
        <f aca="false">STDEV(C255:C266)</f>
        <v>4.41623014684848</v>
      </c>
    </row>
    <row r="267" customFormat="false" ht="15" hidden="false" customHeight="true" outlineLevel="0" collapsed="false">
      <c r="A267" s="7" t="s">
        <v>289</v>
      </c>
      <c r="B267" s="7" t="n">
        <v>1742.61904761904</v>
      </c>
      <c r="C267" s="7" t="n">
        <f aca="false">LN(B267/B266)*100</f>
        <v>5.09122392917204</v>
      </c>
      <c r="D267" s="7" t="n">
        <f aca="false">STDEV(C265:C267)</f>
        <v>5.10378945089065</v>
      </c>
      <c r="E267" s="7" t="n">
        <f aca="false">STDEV(C256:C267)</f>
        <v>4.52065377600934</v>
      </c>
    </row>
    <row r="268" customFormat="false" ht="15" hidden="false" customHeight="true" outlineLevel="0" collapsed="false">
      <c r="A268" s="7" t="s">
        <v>290</v>
      </c>
      <c r="B268" s="7" t="n">
        <v>1673.77272727272</v>
      </c>
      <c r="C268" s="7" t="n">
        <f aca="false">LN(B268/B267)*100</f>
        <v>-4.03089847443559</v>
      </c>
      <c r="D268" s="7" t="n">
        <f aca="false">STDEV(C266:C268)</f>
        <v>4.5643406332739</v>
      </c>
      <c r="E268" s="7" t="n">
        <f aca="false">STDEV(C257:C268)</f>
        <v>4.79837975872505</v>
      </c>
    </row>
    <row r="269" customFormat="false" ht="15" hidden="false" customHeight="true" outlineLevel="0" collapsed="false">
      <c r="A269" s="7" t="s">
        <v>291</v>
      </c>
      <c r="B269" s="7" t="n">
        <v>1650.06578947368</v>
      </c>
      <c r="C269" s="7" t="n">
        <f aca="false">LN(B269/B268)*100</f>
        <v>-1.42650370595103</v>
      </c>
      <c r="D269" s="7" t="n">
        <f aca="false">STDEV(C267:C269)</f>
        <v>4.69887863896194</v>
      </c>
      <c r="E269" s="7" t="n">
        <f aca="false">STDEV(C258:C269)</f>
        <v>4.81114978473527</v>
      </c>
    </row>
    <row r="270" customFormat="false" ht="15" hidden="false" customHeight="true" outlineLevel="0" collapsed="false">
      <c r="A270" s="7" t="s">
        <v>292</v>
      </c>
      <c r="B270" s="7" t="n">
        <v>1585.50454545454</v>
      </c>
      <c r="C270" s="7" t="n">
        <f aca="false">LN(B270/B269)*100</f>
        <v>-3.99124776434607</v>
      </c>
      <c r="D270" s="7" t="n">
        <f aca="false">STDEV(C268:C270)</f>
        <v>1.492333540354</v>
      </c>
      <c r="E270" s="7" t="n">
        <f aca="false">STDEV(C259:C270)</f>
        <v>4.98356653959723</v>
      </c>
    </row>
    <row r="271" customFormat="false" ht="15" hidden="false" customHeight="true" outlineLevel="0" collapsed="false">
      <c r="A271" s="7" t="s">
        <v>293</v>
      </c>
      <c r="B271" s="7" t="n">
        <v>1596.69736842105</v>
      </c>
      <c r="C271" s="7" t="n">
        <f aca="false">LN(B271/B270)*100</f>
        <v>0.703466934359989</v>
      </c>
      <c r="D271" s="7" t="n">
        <f aca="false">STDEV(C269:C271)</f>
        <v>2.35071028683908</v>
      </c>
      <c r="E271" s="7" t="n">
        <f aca="false">STDEV(C260:C271)</f>
        <v>4.97842991430589</v>
      </c>
    </row>
    <row r="272" customFormat="false" ht="15" hidden="false" customHeight="true" outlineLevel="0" collapsed="false">
      <c r="A272" s="7" t="s">
        <v>294</v>
      </c>
      <c r="B272" s="7" t="n">
        <v>1593.90909090909</v>
      </c>
      <c r="C272" s="7" t="n">
        <f aca="false">LN(B272/B271)*100</f>
        <v>-0.17478045364157</v>
      </c>
      <c r="D272" s="7" t="n">
        <f aca="false">STDEV(C270:C272)</f>
        <v>2.49589954760651</v>
      </c>
      <c r="E272" s="7" t="n">
        <f aca="false">STDEV(C261:C272)</f>
        <v>4.9173933528807</v>
      </c>
    </row>
    <row r="273" customFormat="false" ht="15" hidden="false" customHeight="true" outlineLevel="0" collapsed="false">
      <c r="A273" s="7" t="s">
        <v>295</v>
      </c>
      <c r="B273" s="7" t="n">
        <v>1626.03409090909</v>
      </c>
      <c r="C273" s="7" t="n">
        <f aca="false">LN(B273/B272)*100</f>
        <v>1.99544303349643</v>
      </c>
      <c r="D273" s="7" t="n">
        <f aca="false">STDEV(C271:C273)</f>
        <v>1.09166468443052</v>
      </c>
      <c r="E273" s="7" t="n">
        <f aca="false">STDEV(C262:C273)</f>
        <v>3.61891444363096</v>
      </c>
    </row>
    <row r="274" customFormat="false" ht="15" hidden="false" customHeight="true" outlineLevel="0" collapsed="false">
      <c r="A274" s="7" t="s">
        <v>296</v>
      </c>
      <c r="B274" s="7" t="n">
        <v>1744.45</v>
      </c>
      <c r="C274" s="7" t="n">
        <f aca="false">LN(B274/B273)*100</f>
        <v>7.02953427017631</v>
      </c>
      <c r="D274" s="7" t="n">
        <f aca="false">STDEV(C272:C274)</f>
        <v>3.69581058324065</v>
      </c>
      <c r="E274" s="7" t="n">
        <f aca="false">STDEV(C263:C274)</f>
        <v>4.2357733244585</v>
      </c>
    </row>
    <row r="275" customFormat="false" ht="15" hidden="false" customHeight="true" outlineLevel="0" collapsed="false">
      <c r="A275" s="7" t="s">
        <v>297</v>
      </c>
      <c r="B275" s="7" t="n">
        <v>1747.01086956521</v>
      </c>
      <c r="C275" s="7" t="n">
        <f aca="false">LN(B275/B274)*100</f>
        <v>0.146693325235825</v>
      </c>
      <c r="D275" s="7" t="n">
        <f aca="false">STDEV(C273:C275)</f>
        <v>3.56214938710605</v>
      </c>
      <c r="E275" s="7" t="n">
        <f aca="false">STDEV(C264:C275)</f>
        <v>3.77959085736113</v>
      </c>
    </row>
    <row r="276" customFormat="false" ht="15" hidden="false" customHeight="true" outlineLevel="0" collapsed="false">
      <c r="A276" s="7" t="s">
        <v>298</v>
      </c>
      <c r="B276" s="7" t="n">
        <v>1721.13636363636</v>
      </c>
      <c r="C276" s="7" t="n">
        <f aca="false">LN(B276/B275)*100</f>
        <v>-1.49215037712378</v>
      </c>
      <c r="D276" s="7" t="n">
        <f aca="false">STDEV(C274:C276)</f>
        <v>4.52176988545678</v>
      </c>
      <c r="E276" s="7" t="n">
        <f aca="false">STDEV(C265:C276)</f>
        <v>3.59805509262339</v>
      </c>
    </row>
    <row r="277" customFormat="false" ht="15" hidden="false" customHeight="true" outlineLevel="0" collapsed="false">
      <c r="A277" s="7" t="s">
        <v>299</v>
      </c>
      <c r="B277" s="7" t="n">
        <v>1688.5294117647</v>
      </c>
      <c r="C277" s="7" t="n">
        <f aca="false">LN(B277/B276)*100</f>
        <v>-1.91267696440875</v>
      </c>
      <c r="D277" s="7" t="n">
        <f aca="false">STDEV(C275:C277)</f>
        <v>1.08809139331584</v>
      </c>
      <c r="E277" s="7" t="n">
        <f aca="false">STDEV(C266:C277)</f>
        <v>3.29769656296815</v>
      </c>
    </row>
    <row r="278" customFormat="false" ht="15" hidden="false" customHeight="true" outlineLevel="0" collapsed="false">
      <c r="A278" s="7" t="s">
        <v>300</v>
      </c>
      <c r="B278" s="7" t="n">
        <v>1670.95454545454</v>
      </c>
      <c r="C278" s="7" t="n">
        <f aca="false">LN(B278/B277)*100</f>
        <v>-1.04629323221756</v>
      </c>
      <c r="D278" s="7" t="n">
        <f aca="false">STDEV(C276:C278)</f>
        <v>0.433253577727679</v>
      </c>
      <c r="E278" s="7" t="n">
        <f aca="false">STDEV(C267:C278)</f>
        <v>3.31648843930482</v>
      </c>
    </row>
    <row r="279" customFormat="false" ht="15" hidden="false" customHeight="true" outlineLevel="0" collapsed="false">
      <c r="A279" s="7" t="s">
        <v>301</v>
      </c>
      <c r="B279" s="7" t="n">
        <v>1627.5875</v>
      </c>
      <c r="C279" s="7" t="n">
        <f aca="false">LN(B279/B278)*100</f>
        <v>-2.62961901449594</v>
      </c>
      <c r="D279" s="7" t="n">
        <f aca="false">STDEV(C277:C279)</f>
        <v>0.792837436828022</v>
      </c>
      <c r="E279" s="7" t="n">
        <f aca="false">STDEV(C268:C279)</f>
        <v>2.98731190344803</v>
      </c>
    </row>
    <row r="280" customFormat="false" ht="15" hidden="false" customHeight="true" outlineLevel="0" collapsed="false">
      <c r="A280" s="7" t="s">
        <v>302</v>
      </c>
      <c r="B280" s="7" t="n">
        <v>1592.8625</v>
      </c>
      <c r="C280" s="7" t="n">
        <f aca="false">LN(B280/B279)*100</f>
        <v>-2.15661450223872</v>
      </c>
      <c r="D280" s="7" t="n">
        <f aca="false">STDEV(C278:C280)</f>
        <v>0.812759407215578</v>
      </c>
      <c r="E280" s="7" t="n">
        <f aca="false">STDEV(C269:C280)</f>
        <v>2.83497174474902</v>
      </c>
    </row>
    <row r="281" customFormat="false" ht="15" hidden="false" customHeight="true" outlineLevel="0" collapsed="false">
      <c r="A281" s="7" t="s">
        <v>303</v>
      </c>
      <c r="B281" s="7" t="n">
        <v>1485.08333333333</v>
      </c>
      <c r="C281" s="7" t="n">
        <f aca="false">LN(B281/B280)*100</f>
        <v>-7.00618246708986</v>
      </c>
      <c r="D281" s="7" t="n">
        <f aca="false">STDEV(C279:C281)</f>
        <v>2.67383464861819</v>
      </c>
      <c r="E281" s="7" t="n">
        <f aca="false">STDEV(C270:C281)</f>
        <v>3.41463881529488</v>
      </c>
    </row>
    <row r="282" customFormat="false" ht="15" hidden="false" customHeight="true" outlineLevel="0" collapsed="false">
      <c r="A282" s="7" t="s">
        <v>304</v>
      </c>
      <c r="B282" s="7" t="n">
        <v>1413.5</v>
      </c>
      <c r="C282" s="7" t="n">
        <f aca="false">LN(B282/B281)*100</f>
        <v>-4.94019892514518</v>
      </c>
      <c r="D282" s="7" t="n">
        <f aca="false">STDEV(C280:C282)</f>
        <v>2.43361663924101</v>
      </c>
      <c r="E282" s="7" t="n">
        <f aca="false">STDEV(C271:C282)</f>
        <v>3.50313749612512</v>
      </c>
    </row>
    <row r="283" customFormat="false" ht="15" hidden="false" customHeight="true" outlineLevel="0" collapsed="false">
      <c r="A283" s="7" t="s">
        <v>305</v>
      </c>
      <c r="B283" s="7" t="n">
        <v>1342.3625</v>
      </c>
      <c r="C283" s="7" t="n">
        <f aca="false">LN(B283/B282)*100</f>
        <v>-5.16377768526102</v>
      </c>
      <c r="D283" s="7" t="n">
        <f aca="false">STDEV(C281:C283)</f>
        <v>1.13377914057861</v>
      </c>
      <c r="E283" s="7" t="n">
        <f aca="false">STDEV(C272:C283)</f>
        <v>3.65641923850442</v>
      </c>
    </row>
    <row r="284" customFormat="false" ht="15" hidden="false" customHeight="true" outlineLevel="0" collapsed="false">
      <c r="A284" s="7" t="s">
        <v>306</v>
      </c>
      <c r="B284" s="7" t="n">
        <v>1286.72391304347</v>
      </c>
      <c r="C284" s="7" t="n">
        <f aca="false">LN(B284/B283)*100</f>
        <v>-4.23317354773108</v>
      </c>
      <c r="D284" s="7" t="n">
        <f aca="false">STDEV(C282:C284)</f>
        <v>0.485780541512028</v>
      </c>
      <c r="E284" s="7" t="n">
        <f aca="false">STDEV(C273:C284)</f>
        <v>3.71537518688078</v>
      </c>
    </row>
    <row r="285" customFormat="false" ht="15" hidden="false" customHeight="true" outlineLevel="0" collapsed="false">
      <c r="A285" s="7" t="s">
        <v>307</v>
      </c>
      <c r="B285" s="7" t="n">
        <v>1347.09523809523</v>
      </c>
      <c r="C285" s="7" t="n">
        <f aca="false">LN(B285/B284)*100</f>
        <v>4.58512129641295</v>
      </c>
      <c r="D285" s="7" t="n">
        <f aca="false">STDEV(C283:C285)</f>
        <v>5.38004614871671</v>
      </c>
      <c r="E285" s="7" t="n">
        <f aca="false">STDEV(C274:C285)</f>
        <v>4.01776991642574</v>
      </c>
    </row>
    <row r="286" customFormat="false" ht="15" hidden="false" customHeight="true" outlineLevel="0" collapsed="false">
      <c r="A286" s="7" t="s">
        <v>308</v>
      </c>
      <c r="B286" s="7" t="n">
        <v>1348.79761904761</v>
      </c>
      <c r="C286" s="7" t="n">
        <f aca="false">LN(B286/B285)*100</f>
        <v>0.126294424064245</v>
      </c>
      <c r="D286" s="7" t="n">
        <f aca="false">STDEV(C284:C286)</f>
        <v>4.40924071379161</v>
      </c>
      <c r="E286" s="7" t="n">
        <f aca="false">STDEV(C275:C286)</f>
        <v>3.05324264565481</v>
      </c>
    </row>
    <row r="287" customFormat="false" ht="15" hidden="false" customHeight="true" outlineLevel="0" collapsed="false">
      <c r="A287" s="7" t="s">
        <v>309</v>
      </c>
      <c r="B287" s="7" t="n">
        <v>1316.18478260869</v>
      </c>
      <c r="C287" s="7" t="n">
        <f aca="false">LN(B287/B286)*100</f>
        <v>-2.44763076634862</v>
      </c>
      <c r="D287" s="7" t="n">
        <f aca="false">STDEV(C285:C287)</f>
        <v>3.55822590485057</v>
      </c>
      <c r="E287" s="7" t="n">
        <f aca="false">STDEV(C276:C287)</f>
        <v>2.96696326243306</v>
      </c>
    </row>
    <row r="288" customFormat="false" ht="15" hidden="false" customHeight="true" outlineLevel="0" collapsed="false">
      <c r="A288" s="7" t="s">
        <v>310</v>
      </c>
      <c r="B288" s="7" t="n">
        <v>1275.82142857142</v>
      </c>
      <c r="C288" s="7" t="n">
        <f aca="false">LN(B288/B287)*100</f>
        <v>-3.11470064943087</v>
      </c>
      <c r="D288" s="7" t="n">
        <f aca="false">STDEV(C286:C288)</f>
        <v>1.71143809807117</v>
      </c>
      <c r="E288" s="7" t="n">
        <f aca="false">STDEV(C277:C288)</f>
        <v>2.96079595924317</v>
      </c>
    </row>
    <row r="289" customFormat="false" ht="15" hidden="false" customHeight="true" outlineLevel="0" collapsed="false">
      <c r="A289" s="7" t="s">
        <v>311</v>
      </c>
      <c r="B289" s="7" t="n">
        <v>1225.40277777777</v>
      </c>
      <c r="C289" s="7" t="n">
        <f aca="false">LN(B289/B288)*100</f>
        <v>-4.03206407282166</v>
      </c>
      <c r="D289" s="7" t="n">
        <f aca="false">STDEV(C287:C289)</f>
        <v>0.795504743559264</v>
      </c>
      <c r="E289" s="7" t="n">
        <f aca="false">STDEV(C278:C289)</f>
        <v>2.98600953585315</v>
      </c>
    </row>
    <row r="290" customFormat="false" ht="15" hidden="false" customHeight="true" outlineLevel="0" collapsed="false">
      <c r="A290" s="7" t="s">
        <v>312</v>
      </c>
      <c r="B290" s="7" t="n">
        <v>1244.79545454545</v>
      </c>
      <c r="C290" s="7" t="n">
        <f aca="false">LN(B290/B289)*100</f>
        <v>1.57016347408708</v>
      </c>
      <c r="D290" s="7" t="n">
        <f aca="false">STDEV(C288:C290)</f>
        <v>3.00484223084851</v>
      </c>
      <c r="E290" s="7" t="n">
        <f aca="false">STDEV(C279:C290)</f>
        <v>3.20311032376361</v>
      </c>
    </row>
    <row r="291" customFormat="false" ht="15" hidden="false" customHeight="true" outlineLevel="0" collapsed="false">
      <c r="A291" s="7" t="s">
        <v>313</v>
      </c>
      <c r="B291" s="7" t="n">
        <v>1300.975</v>
      </c>
      <c r="C291" s="7" t="n">
        <f aca="false">LN(B291/B290)*100</f>
        <v>4.41427604768189</v>
      </c>
      <c r="D291" s="7" t="n">
        <f aca="false">STDEV(C289:C291)</f>
        <v>4.2975689106333</v>
      </c>
      <c r="E291" s="7" t="n">
        <f aca="false">STDEV(C280:C291)</f>
        <v>3.76418707040827</v>
      </c>
    </row>
    <row r="292" customFormat="false" ht="15" hidden="false" customHeight="true" outlineLevel="0" collapsed="false">
      <c r="A292" s="7" t="s">
        <v>314</v>
      </c>
      <c r="B292" s="7" t="n">
        <v>1336.08333333333</v>
      </c>
      <c r="C292" s="7" t="n">
        <f aca="false">LN(B292/B291)*100</f>
        <v>2.66284650606606</v>
      </c>
      <c r="D292" s="7" t="n">
        <f aca="false">STDEV(C290:C292)</f>
        <v>1.43471472070812</v>
      </c>
      <c r="E292" s="7" t="n">
        <f aca="false">STDEV(C281:C292)</f>
        <v>3.98127151652501</v>
      </c>
    </row>
    <row r="293" customFormat="false" ht="15" hidden="false" customHeight="true" outlineLevel="0" collapsed="false">
      <c r="A293" s="7" t="s">
        <v>315</v>
      </c>
      <c r="B293" s="7" t="n">
        <v>1299</v>
      </c>
      <c r="C293" s="7" t="n">
        <f aca="false">LN(B293/B292)*100</f>
        <v>-2.81477107302351</v>
      </c>
      <c r="D293" s="7" t="n">
        <f aca="false">STDEV(C291:C293)</f>
        <v>3.77118288373323</v>
      </c>
      <c r="E293" s="7" t="n">
        <f aca="false">STDEV(C282:C293)</f>
        <v>3.61823985729262</v>
      </c>
    </row>
    <row r="294" customFormat="false" ht="15" hidden="false" customHeight="true" outlineLevel="0" collapsed="false">
      <c r="A294" s="7" t="s">
        <v>316</v>
      </c>
      <c r="B294" s="7" t="n">
        <v>1287.525</v>
      </c>
      <c r="C294" s="7" t="n">
        <f aca="false">LN(B294/B293)*100</f>
        <v>-0.887296684549683</v>
      </c>
      <c r="D294" s="7" t="n">
        <f aca="false">STDEV(C292:C294)</f>
        <v>2.7785778297194</v>
      </c>
      <c r="E294" s="7" t="n">
        <f aca="false">STDEV(C283:C294)</f>
        <v>3.41206771982871</v>
      </c>
    </row>
    <row r="295" customFormat="false" ht="15" hidden="false" customHeight="true" outlineLevel="0" collapsed="false">
      <c r="A295" s="7" t="s">
        <v>317</v>
      </c>
      <c r="B295" s="7" t="n">
        <v>1279.09523809523</v>
      </c>
      <c r="C295" s="7" t="n">
        <f aca="false">LN(B295/B294)*100</f>
        <v>-0.656878808241969</v>
      </c>
      <c r="D295" s="7" t="n">
        <f aca="false">STDEV(C293:C295)</f>
        <v>1.18495773077557</v>
      </c>
      <c r="E295" s="7" t="n">
        <f aca="false">STDEV(C284:C295)</f>
        <v>3.12104654292692</v>
      </c>
    </row>
    <row r="296" customFormat="false" ht="15" hidden="false" customHeight="true" outlineLevel="0" collapsed="false">
      <c r="A296" s="7" t="s">
        <v>318</v>
      </c>
      <c r="B296" s="7" t="n">
        <v>1310.96739130434</v>
      </c>
      <c r="C296" s="7" t="n">
        <f aca="false">LN(B296/B295)*100</f>
        <v>2.46123485647185</v>
      </c>
      <c r="D296" s="7" t="n">
        <f aca="false">STDEV(C294:C296)</f>
        <v>1.87031141368727</v>
      </c>
      <c r="E296" s="7" t="n">
        <f aca="false">STDEV(C285:C296)</f>
        <v>2.96862583918375</v>
      </c>
    </row>
    <row r="297" customFormat="false" ht="15" hidden="false" customHeight="true" outlineLevel="0" collapsed="false">
      <c r="A297" s="7" t="s">
        <v>319</v>
      </c>
      <c r="B297" s="7" t="n">
        <v>1295.9875</v>
      </c>
      <c r="C297" s="7" t="n">
        <f aca="false">LN(B297/B296)*100</f>
        <v>-1.14923785034238</v>
      </c>
      <c r="D297" s="7" t="n">
        <f aca="false">STDEV(C295:C297)</f>
        <v>1.95791400130613</v>
      </c>
      <c r="E297" s="7" t="n">
        <f aca="false">STDEV(C286:C297)</f>
        <v>2.63337422315823</v>
      </c>
    </row>
    <row r="298" customFormat="false" ht="15" hidden="false" customHeight="true" outlineLevel="0" collapsed="false">
      <c r="A298" s="7" t="s">
        <v>320</v>
      </c>
      <c r="B298" s="7" t="n">
        <v>1238.81818181818</v>
      </c>
      <c r="C298" s="7" t="n">
        <f aca="false">LN(B298/B297)*100</f>
        <v>-4.51151068525289</v>
      </c>
      <c r="D298" s="7" t="n">
        <f aca="false">STDEV(C296:C298)</f>
        <v>3.48710893082579</v>
      </c>
      <c r="E298" s="7" t="n">
        <f aca="false">STDEV(C287:C298)</f>
        <v>2.88943126550637</v>
      </c>
    </row>
    <row r="299" customFormat="false" ht="15" hidden="false" customHeight="true" outlineLevel="0" collapsed="false">
      <c r="A299" s="7" t="s">
        <v>321</v>
      </c>
      <c r="B299" s="7" t="n">
        <v>1222.48913043478</v>
      </c>
      <c r="C299" s="7" t="n">
        <f aca="false">LN(B299/B298)*100</f>
        <v>-1.32687949018427</v>
      </c>
      <c r="D299" s="7" t="n">
        <f aca="false">STDEV(C297:C299)</f>
        <v>1.89201440345059</v>
      </c>
      <c r="E299" s="7" t="n">
        <f aca="false">STDEV(C288:C299)</f>
        <v>2.8459022209584</v>
      </c>
    </row>
    <row r="300" customFormat="false" ht="15" hidden="false" customHeight="true" outlineLevel="0" collapsed="false">
      <c r="A300" s="7" t="s">
        <v>322</v>
      </c>
      <c r="B300" s="7" t="n">
        <v>1176.3</v>
      </c>
      <c r="C300" s="7" t="n">
        <f aca="false">LN(B300/B299)*100</f>
        <v>-3.85151320832103</v>
      </c>
      <c r="D300" s="7" t="n">
        <f aca="false">STDEV(C298:C300)</f>
        <v>1.68083550300208</v>
      </c>
      <c r="E300" s="7" t="n">
        <f aca="false">STDEV(C289:C300)</f>
        <v>2.91191026958419</v>
      </c>
    </row>
    <row r="301" customFormat="false" ht="15" hidden="false" customHeight="true" outlineLevel="0" collapsed="false">
      <c r="A301" s="7" t="s">
        <v>323</v>
      </c>
      <c r="B301" s="7" t="n">
        <v>1202.28947368421</v>
      </c>
      <c r="C301" s="7" t="n">
        <f aca="false">LN(B301/B300)*100</f>
        <v>2.18537148270187</v>
      </c>
      <c r="D301" s="7" t="n">
        <f aca="false">STDEV(C299:C301)</f>
        <v>3.03187673122329</v>
      </c>
      <c r="E301" s="7" t="n">
        <f aca="false">STDEV(C290:C301)</f>
        <v>2.81205717162565</v>
      </c>
    </row>
    <row r="302" customFormat="false" ht="15" hidden="false" customHeight="true" outlineLevel="0" collapsed="false">
      <c r="A302" s="7" t="s">
        <v>324</v>
      </c>
      <c r="B302" s="7" t="n">
        <v>1251.84523809523</v>
      </c>
      <c r="C302" s="7" t="n">
        <f aca="false">LN(B302/B301)*100</f>
        <v>4.03910194810441</v>
      </c>
      <c r="D302" s="7" t="n">
        <f aca="false">STDEV(C300:C302)</f>
        <v>4.12597667140519</v>
      </c>
      <c r="E302" s="7" t="n">
        <f aca="false">STDEV(C291:C302)</f>
        <v>3.03178371702873</v>
      </c>
    </row>
    <row r="303" customFormat="false" ht="15" hidden="false" customHeight="true" outlineLevel="0" collapsed="false">
      <c r="A303" s="7" t="s">
        <v>325</v>
      </c>
      <c r="B303" s="7" t="n">
        <v>1227.1875</v>
      </c>
      <c r="C303" s="7" t="n">
        <f aca="false">LN(B303/B302)*100</f>
        <v>-1.98936875021297</v>
      </c>
      <c r="D303" s="7" t="n">
        <f aca="false">STDEV(C301:C303)</f>
        <v>3.08780481926213</v>
      </c>
      <c r="E303" s="7" t="n">
        <f aca="false">STDEV(C292:C303)</f>
        <v>2.74302596662204</v>
      </c>
    </row>
    <row r="304" customFormat="false" ht="15" hidden="false" customHeight="true" outlineLevel="0" collapsed="false">
      <c r="A304" s="7" t="s">
        <v>326</v>
      </c>
      <c r="B304" s="7" t="n">
        <v>1178.62954545454</v>
      </c>
      <c r="C304" s="7" t="n">
        <f aca="false">LN(B304/B303)*100</f>
        <v>-4.03726044199161</v>
      </c>
      <c r="D304" s="7" t="n">
        <f aca="false">STDEV(C302:C304)</f>
        <v>4.19849077641567</v>
      </c>
      <c r="E304" s="7" t="n">
        <f aca="false">STDEV(C293:C304)</f>
        <v>2.72553018283347</v>
      </c>
    </row>
    <row r="305" customFormat="false" ht="15" hidden="false" customHeight="true" outlineLevel="0" collapsed="false">
      <c r="A305" s="7" t="s">
        <v>327</v>
      </c>
      <c r="B305" s="7" t="n">
        <v>1197.91</v>
      </c>
      <c r="C305" s="7" t="n">
        <f aca="false">LN(B305/B304)*100</f>
        <v>1.6226010292261</v>
      </c>
      <c r="D305" s="7" t="n">
        <f aca="false">STDEV(C303:C305)</f>
        <v>2.86572323454923</v>
      </c>
      <c r="E305" s="7" t="n">
        <f aca="false">STDEV(C294:C305)</f>
        <v>2.76431939836122</v>
      </c>
    </row>
    <row r="306" customFormat="false" ht="15" hidden="false" customHeight="true" outlineLevel="0" collapsed="false">
      <c r="A306" s="7" t="s">
        <v>328</v>
      </c>
      <c r="B306" s="7" t="n">
        <v>1199.05263157894</v>
      </c>
      <c r="C306" s="7" t="n">
        <f aca="false">LN(B306/B305)*100</f>
        <v>0.0953399648737062</v>
      </c>
      <c r="D306" s="7" t="n">
        <f aca="false">STDEV(C304:C306)</f>
        <v>2.92816621667569</v>
      </c>
      <c r="E306" s="7" t="n">
        <f aca="false">STDEV(C295:C306)</f>
        <v>2.772006761478</v>
      </c>
    </row>
    <row r="307" customFormat="false" ht="15" hidden="false" customHeight="true" outlineLevel="0" collapsed="false">
      <c r="A307" s="7" t="s">
        <v>329</v>
      </c>
      <c r="B307" s="7" t="n">
        <v>1181.50454545454</v>
      </c>
      <c r="C307" s="7" t="n">
        <f aca="false">LN(B307/B306)*100</f>
        <v>-1.47431064842252</v>
      </c>
      <c r="D307" s="7" t="n">
        <f aca="false">STDEV(C305:C307)</f>
        <v>1.54850418929928</v>
      </c>
      <c r="E307" s="7" t="n">
        <f aca="false">STDEV(C296:C307)</f>
        <v>2.78373151606234</v>
      </c>
    </row>
    <row r="308" customFormat="false" ht="15" hidden="false" customHeight="true" outlineLevel="0" collapsed="false">
      <c r="A308" s="7" t="s">
        <v>330</v>
      </c>
      <c r="B308" s="7" t="n">
        <v>1130.03695652173</v>
      </c>
      <c r="C308" s="7" t="n">
        <f aca="false">LN(B308/B307)*100</f>
        <v>-4.45383277511057</v>
      </c>
      <c r="D308" s="7" t="n">
        <f aca="false">STDEV(C306:C308)</f>
        <v>2.31071157039922</v>
      </c>
      <c r="E308" s="7" t="n">
        <f aca="false">STDEV(C297:C308)</f>
        <v>2.7942806565314</v>
      </c>
    </row>
    <row r="309" customFormat="false" ht="15" hidden="false" customHeight="true" outlineLevel="0" collapsed="false">
      <c r="A309" s="7" t="s">
        <v>331</v>
      </c>
      <c r="B309" s="7" t="n">
        <v>1117.475</v>
      </c>
      <c r="C309" s="7" t="n">
        <f aca="false">LN(B309/B308)*100</f>
        <v>-1.11786611852519</v>
      </c>
      <c r="D309" s="7" t="n">
        <f aca="false">STDEV(C307:C309)</f>
        <v>1.83181505344502</v>
      </c>
      <c r="E309" s="7" t="n">
        <f aca="false">STDEV(C298:C309)</f>
        <v>2.79438554223413</v>
      </c>
    </row>
    <row r="310" customFormat="false" ht="15" hidden="false" customHeight="true" outlineLevel="0" collapsed="false">
      <c r="A310" s="7" t="s">
        <v>332</v>
      </c>
      <c r="B310" s="7" t="n">
        <v>1124.53181818181</v>
      </c>
      <c r="C310" s="7" t="n">
        <f aca="false">LN(B310/B309)*100</f>
        <v>0.629511153024581</v>
      </c>
      <c r="D310" s="7" t="n">
        <f aca="false">STDEV(C308:C310)</f>
        <v>2.58271131289989</v>
      </c>
      <c r="E310" s="7" t="n">
        <f aca="false">STDEV(C299:C310)</f>
        <v>2.63599172869685</v>
      </c>
    </row>
    <row r="311" customFormat="false" ht="15" hidden="false" customHeight="true" outlineLevel="0" collapsed="false">
      <c r="A311" s="7" t="s">
        <v>333</v>
      </c>
      <c r="B311" s="7" t="n">
        <v>1159.24545454545</v>
      </c>
      <c r="C311" s="7" t="n">
        <f aca="false">LN(B311/B310)*100</f>
        <v>3.04025358303586</v>
      </c>
      <c r="D311" s="7" t="n">
        <f aca="false">STDEV(C309:C311)</f>
        <v>2.08786038188603</v>
      </c>
      <c r="E311" s="7" t="n">
        <f aca="false">STDEV(C300:C311)</f>
        <v>2.85037762424464</v>
      </c>
    </row>
    <row r="312" customFormat="false" ht="15" hidden="false" customHeight="true" outlineLevel="0" collapsed="false">
      <c r="A312" s="7" t="s">
        <v>334</v>
      </c>
      <c r="B312" s="7" t="n">
        <v>1085.70238095238</v>
      </c>
      <c r="C312" s="7" t="n">
        <f aca="false">LN(B312/B311)*100</f>
        <v>-6.55421899867197</v>
      </c>
      <c r="D312" s="7" t="n">
        <f aca="false">STDEV(C310:C312)</f>
        <v>4.99118493074531</v>
      </c>
      <c r="E312" s="7" t="n">
        <f aca="false">STDEV(C301:C312)</f>
        <v>3.22621801968314</v>
      </c>
    </row>
    <row r="313" customFormat="false" ht="15" hidden="false" customHeight="true" outlineLevel="0" collapsed="false">
      <c r="A313" s="7" t="s">
        <v>335</v>
      </c>
      <c r="B313" s="7" t="n">
        <v>1068.25263157894</v>
      </c>
      <c r="C313" s="7" t="n">
        <f aca="false">LN(B313/B312)*100</f>
        <v>-1.62028742770377</v>
      </c>
      <c r="D313" s="7" t="n">
        <f aca="false">STDEV(C311:C313)</f>
        <v>4.79788542625683</v>
      </c>
      <c r="E313" s="7" t="n">
        <f aca="false">STDEV(C302:C313)</f>
        <v>3.10501574457544</v>
      </c>
    </row>
    <row r="314" customFormat="false" ht="15" hidden="false" customHeight="true" outlineLevel="0" collapsed="false">
      <c r="A314" s="7" t="s">
        <v>336</v>
      </c>
      <c r="B314" s="7" t="n">
        <v>1097.375</v>
      </c>
      <c r="C314" s="7" t="n">
        <f aca="false">LN(B314/B313)*100</f>
        <v>2.68967052766979</v>
      </c>
      <c r="D314" s="7" t="n">
        <f aca="false">STDEV(C312:C314)</f>
        <v>4.62545334533628</v>
      </c>
      <c r="E314" s="7" t="n">
        <f aca="false">STDEV(C303:C314)</f>
        <v>2.9257808688616</v>
      </c>
    </row>
    <row r="315" customFormat="false" ht="15" hidden="false" customHeight="true" outlineLevel="0" collapsed="false">
      <c r="A315" s="7" t="s">
        <v>337</v>
      </c>
      <c r="B315" s="7" t="n">
        <v>1199.9119047619</v>
      </c>
      <c r="C315" s="7" t="n">
        <f aca="false">LN(B315/B314)*100</f>
        <v>8.9327177136458</v>
      </c>
      <c r="D315" s="7" t="n">
        <f aca="false">STDEV(C313:C315)</f>
        <v>5.30592896762294</v>
      </c>
      <c r="E315" s="7" t="n">
        <f aca="false">STDEV(C304:C315)</f>
        <v>4.09023837635899</v>
      </c>
    </row>
    <row r="316" customFormat="false" ht="15" hidden="false" customHeight="true" outlineLevel="0" collapsed="false">
      <c r="A316" s="7" t="s">
        <v>338</v>
      </c>
      <c r="B316" s="7" t="n">
        <v>1246.33809523809</v>
      </c>
      <c r="C316" s="7" t="n">
        <f aca="false">LN(B316/B315)*100</f>
        <v>3.79615866501579</v>
      </c>
      <c r="D316" s="7" t="n">
        <f aca="false">STDEV(C314:C316)</f>
        <v>3.33127085420548</v>
      </c>
      <c r="E316" s="7" t="n">
        <f aca="false">STDEV(C305:C316)</f>
        <v>4.04478190199533</v>
      </c>
    </row>
    <row r="317" customFormat="false" ht="15" hidden="false" customHeight="true" outlineLevel="0" collapsed="false">
      <c r="A317" s="7" t="s">
        <v>339</v>
      </c>
      <c r="B317" s="7" t="n">
        <v>1242.2619047619</v>
      </c>
      <c r="C317" s="7" t="n">
        <f aca="false">LN(B317/B316)*100</f>
        <v>-0.327589337095945</v>
      </c>
      <c r="D317" s="7" t="n">
        <f aca="false">STDEV(C315:C317)</f>
        <v>4.63937537316898</v>
      </c>
      <c r="E317" s="7" t="n">
        <f aca="false">STDEV(C306:C317)</f>
        <v>4.03322510724997</v>
      </c>
    </row>
    <row r="318" customFormat="false" ht="15" hidden="false" customHeight="true" outlineLevel="0" collapsed="false">
      <c r="A318" s="7" t="s">
        <v>340</v>
      </c>
      <c r="B318" s="7" t="n">
        <v>1259.3975</v>
      </c>
      <c r="C318" s="7" t="n">
        <f aca="false">LN(B318/B317)*100</f>
        <v>1.36995973183861</v>
      </c>
      <c r="D318" s="7" t="n">
        <f aca="false">STDEV(C316:C318)</f>
        <v>2.07257535808758</v>
      </c>
      <c r="E318" s="7" t="n">
        <f aca="false">STDEV(C307:C318)</f>
        <v>4.04402973217697</v>
      </c>
    </row>
    <row r="319" customFormat="false" ht="15" hidden="false" customHeight="true" outlineLevel="0" collapsed="false">
      <c r="A319" s="7" t="s">
        <v>341</v>
      </c>
      <c r="B319" s="7" t="n">
        <v>1276.40454545454</v>
      </c>
      <c r="C319" s="7" t="n">
        <f aca="false">LN(B319/B318)*100</f>
        <v>1.34137445694319</v>
      </c>
      <c r="D319" s="7" t="n">
        <f aca="false">STDEV(C317:C319)</f>
        <v>0.971933648729424</v>
      </c>
      <c r="E319" s="7" t="n">
        <f aca="false">STDEV(C308:C319)</f>
        <v>4.00632130407041</v>
      </c>
    </row>
    <row r="320" customFormat="false" ht="15" hidden="false" customHeight="true" outlineLevel="0" collapsed="false">
      <c r="A320" s="7" t="s">
        <v>342</v>
      </c>
      <c r="B320" s="7" t="n">
        <v>1337.32619047619</v>
      </c>
      <c r="C320" s="7" t="n">
        <f aca="false">LN(B320/B319)*100</f>
        <v>4.66250637301065</v>
      </c>
      <c r="D320" s="7" t="n">
        <f aca="false">STDEV(C318:C320)</f>
        <v>1.90925804551384</v>
      </c>
      <c r="E320" s="7" t="n">
        <f aca="false">STDEV(C309:C320)</f>
        <v>3.81140438272531</v>
      </c>
    </row>
    <row r="321" customFormat="false" ht="15" hidden="false" customHeight="true" outlineLevel="0" collapsed="false">
      <c r="A321" s="7" t="s">
        <v>343</v>
      </c>
      <c r="B321" s="7" t="n">
        <v>1341.08863636363</v>
      </c>
      <c r="C321" s="7" t="n">
        <f aca="false">LN(B321/B320)*100</f>
        <v>0.280945903114374</v>
      </c>
      <c r="D321" s="7" t="n">
        <f aca="false">STDEV(C319:C321)</f>
        <v>2.28591695945176</v>
      </c>
      <c r="E321" s="7" t="n">
        <f aca="false">STDEV(C310:C321)</f>
        <v>3.74814592984081</v>
      </c>
    </row>
    <row r="322" customFormat="false" ht="15" hidden="false" customHeight="true" outlineLevel="0" collapsed="false">
      <c r="A322" s="7" t="s">
        <v>344</v>
      </c>
      <c r="B322" s="7" t="n">
        <v>1326.02954545454</v>
      </c>
      <c r="C322" s="7" t="n">
        <f aca="false">LN(B322/B321)*100</f>
        <v>-1.1292526173597</v>
      </c>
      <c r="D322" s="7" t="n">
        <f aca="false">STDEV(C320:C322)</f>
        <v>3.02024293231082</v>
      </c>
      <c r="E322" s="7" t="n">
        <f aca="false">STDEV(C311:C322)</f>
        <v>3.81983661062051</v>
      </c>
    </row>
    <row r="323" customFormat="false" ht="15" hidden="false" customHeight="true" outlineLevel="0" collapsed="false">
      <c r="A323" s="7" t="s">
        <v>345</v>
      </c>
      <c r="B323" s="7" t="n">
        <v>1266.56904761904</v>
      </c>
      <c r="C323" s="7" t="n">
        <f aca="false">LN(B323/B322)*100</f>
        <v>-4.58774657301773</v>
      </c>
      <c r="D323" s="7" t="n">
        <f aca="false">STDEV(C321:C323)</f>
        <v>2.50512829796586</v>
      </c>
      <c r="E323" s="7" t="n">
        <f aca="false">STDEV(C312:C323)</f>
        <v>4.13864822048988</v>
      </c>
    </row>
    <row r="324" customFormat="false" ht="15" hidden="false" customHeight="true" outlineLevel="0" collapsed="false">
      <c r="A324" s="7" t="s">
        <v>346</v>
      </c>
      <c r="B324" s="7" t="n">
        <v>1235.97954545454</v>
      </c>
      <c r="C324" s="7" t="n">
        <f aca="false">LN(B324/B323)*100</f>
        <v>-2.44478975116231</v>
      </c>
      <c r="D324" s="7" t="n">
        <f aca="false">STDEV(C322:C324)</f>
        <v>1.74566521857588</v>
      </c>
      <c r="E324" s="7" t="n">
        <f aca="false">STDEV(C313:C324)</f>
        <v>3.61763502798748</v>
      </c>
    </row>
    <row r="325" customFormat="false" ht="15" hidden="false" customHeight="true" outlineLevel="0" collapsed="false">
      <c r="A325" s="7" t="s">
        <v>347</v>
      </c>
      <c r="B325" s="7" t="n">
        <v>1151.40277777777</v>
      </c>
      <c r="C325" s="7" t="n">
        <f aca="false">LN(B325/B324)*100</f>
        <v>-7.08828041349537</v>
      </c>
      <c r="D325" s="7" t="n">
        <f aca="false">STDEV(C323:C325)</f>
        <v>2.32403883210833</v>
      </c>
      <c r="E325" s="7" t="n">
        <f aca="false">STDEV(C314:C325)</f>
        <v>4.27360962391868</v>
      </c>
    </row>
    <row r="326" customFormat="false" ht="15" hidden="false" customHeight="true" outlineLevel="0" collapsed="false">
      <c r="A326" s="7" t="s">
        <v>348</v>
      </c>
      <c r="B326" s="7" t="n">
        <v>1192.61666666666</v>
      </c>
      <c r="C326" s="7" t="n">
        <f aca="false">LN(B326/B325)*100</f>
        <v>3.5168766899081</v>
      </c>
      <c r="D326" s="7" t="n">
        <f aca="false">STDEV(C324:C326)</f>
        <v>5.31621465383075</v>
      </c>
      <c r="E326" s="7" t="n">
        <f aca="false">STDEV(C315:C326)</f>
        <v>4.31640413912776</v>
      </c>
    </row>
    <row r="327" customFormat="false" ht="15" hidden="false" customHeight="true" outlineLevel="0" collapsed="false">
      <c r="A327" s="7" t="s">
        <v>349</v>
      </c>
      <c r="B327" s="7" t="n">
        <v>1234.3575</v>
      </c>
      <c r="C327" s="7" t="n">
        <f aca="false">LN(B327/B326)*100</f>
        <v>3.44008191139718</v>
      </c>
      <c r="D327" s="7" t="n">
        <f aca="false">STDEV(C325:C327)</f>
        <v>6.1008423990748</v>
      </c>
      <c r="E327" s="7" t="n">
        <f aca="false">STDEV(C316:C327)</f>
        <v>3.59406726168916</v>
      </c>
    </row>
    <row r="328" customFormat="false" ht="15" hidden="false" customHeight="true" outlineLevel="0" collapsed="false">
      <c r="A328" s="7" t="s">
        <v>350</v>
      </c>
      <c r="B328" s="7" t="n">
        <v>1231.09347826087</v>
      </c>
      <c r="C328" s="7" t="n">
        <f aca="false">LN(B328/B327)*100</f>
        <v>-0.264781062360456</v>
      </c>
      <c r="D328" s="7" t="n">
        <f aca="false">STDEV(C326:C328)</f>
        <v>2.161513453101</v>
      </c>
      <c r="E328" s="7" t="n">
        <f aca="false">STDEV(C317:C328)</f>
        <v>3.41508830129168</v>
      </c>
    </row>
    <row r="329" customFormat="false" ht="15" hidden="false" customHeight="true" outlineLevel="0" collapsed="false">
      <c r="A329" s="7" t="s">
        <v>351</v>
      </c>
      <c r="B329" s="7" t="n">
        <v>1265.62777777777</v>
      </c>
      <c r="C329" s="7" t="n">
        <f aca="false">LN(B329/B328)*100</f>
        <v>2.76654849296746</v>
      </c>
      <c r="D329" s="7" t="n">
        <f aca="false">STDEV(C327:C329)</f>
        <v>1.97351698721962</v>
      </c>
      <c r="E329" s="7" t="n">
        <f aca="false">STDEV(C318:C329)</f>
        <v>3.51198511647031</v>
      </c>
    </row>
    <row r="330" customFormat="false" ht="15" hidden="false" customHeight="true" outlineLevel="0" collapsed="false">
      <c r="A330" s="7" t="s">
        <v>352</v>
      </c>
      <c r="B330" s="7" t="n">
        <v>1245.00476190476</v>
      </c>
      <c r="C330" s="7" t="n">
        <f aca="false">LN(B330/B329)*100</f>
        <v>-1.64289113652755</v>
      </c>
      <c r="D330" s="7" t="n">
        <f aca="false">STDEV(C328:C330)</f>
        <v>2.25578161234957</v>
      </c>
      <c r="E330" s="7" t="n">
        <f aca="false">STDEV(C319:C330)</f>
        <v>3.52492435998039</v>
      </c>
    </row>
    <row r="331" customFormat="false" ht="15" hidden="false" customHeight="true" outlineLevel="0" collapsed="false">
      <c r="A331" s="7" t="s">
        <v>353</v>
      </c>
      <c r="B331" s="7" t="n">
        <v>1260.25681818181</v>
      </c>
      <c r="C331" s="7" t="n">
        <f aca="false">LN(B331/B330)*100</f>
        <v>1.21761694154676</v>
      </c>
      <c r="D331" s="7" t="n">
        <f aca="false">STDEV(C329:C331)</f>
        <v>2.23699401213161</v>
      </c>
      <c r="E331" s="7" t="n">
        <f aca="false">STDEV(C320:C331)</f>
        <v>3.52051559319295</v>
      </c>
    </row>
    <row r="332" customFormat="false" ht="15" hidden="false" customHeight="true" outlineLevel="0" collapsed="false">
      <c r="A332" s="7" t="s">
        <v>354</v>
      </c>
      <c r="B332" s="7" t="n">
        <v>1236.22142857142</v>
      </c>
      <c r="C332" s="7" t="n">
        <f aca="false">LN(B332/B331)*100</f>
        <v>-1.92560318281222</v>
      </c>
      <c r="D332" s="7" t="n">
        <f aca="false">STDEV(C330:C332)</f>
        <v>1.73888207938406</v>
      </c>
      <c r="E332" s="7" t="n">
        <f aca="false">STDEV(C321:C332)</f>
        <v>3.20919731431477</v>
      </c>
    </row>
    <row r="333" customFormat="false" ht="15" hidden="false" customHeight="true" outlineLevel="0" collapsed="false">
      <c r="A333" s="7" t="s">
        <v>355</v>
      </c>
      <c r="B333" s="7" t="n">
        <v>1282.3159090909</v>
      </c>
      <c r="C333" s="7" t="n">
        <f aca="false">LN(B333/B332)*100</f>
        <v>3.66082547701742</v>
      </c>
      <c r="D333" s="7" t="n">
        <f aca="false">STDEV(C331:C333)</f>
        <v>2.80051441314324</v>
      </c>
      <c r="E333" s="7" t="n">
        <f aca="false">STDEV(C322:C333)</f>
        <v>3.43891537941799</v>
      </c>
    </row>
    <row r="334" customFormat="false" ht="15" hidden="false" customHeight="true" outlineLevel="0" collapsed="false">
      <c r="A334" s="7" t="s">
        <v>356</v>
      </c>
      <c r="B334" s="7" t="n">
        <v>1314.97857142857</v>
      </c>
      <c r="C334" s="7" t="n">
        <f aca="false">LN(B334/B333)*100</f>
        <v>2.5152622915397</v>
      </c>
      <c r="D334" s="7" t="n">
        <f aca="false">STDEV(C332:C334)</f>
        <v>2.95075657938149</v>
      </c>
      <c r="E334" s="7" t="n">
        <f aca="false">STDEV(C323:C334)</f>
        <v>3.52593086334268</v>
      </c>
    </row>
    <row r="335" customFormat="false" ht="15" hidden="false" customHeight="true" outlineLevel="0" collapsed="false">
      <c r="A335" s="7" t="s">
        <v>357</v>
      </c>
      <c r="B335" s="7" t="n">
        <v>1279.51363636363</v>
      </c>
      <c r="C335" s="7" t="n">
        <f aca="false">LN(B335/B334)*100</f>
        <v>-2.73403358722581</v>
      </c>
      <c r="D335" s="7" t="n">
        <f aca="false">STDEV(C333:C335)</f>
        <v>3.40983002231001</v>
      </c>
      <c r="E335" s="7" t="n">
        <f aca="false">STDEV(C324:C335)</f>
        <v>3.34601249368345</v>
      </c>
    </row>
    <row r="336" customFormat="false" ht="15" hidden="false" customHeight="true" outlineLevel="0" collapsed="false">
      <c r="A336" s="7" t="s">
        <v>358</v>
      </c>
      <c r="B336" s="7" t="n">
        <v>1282.28409090909</v>
      </c>
      <c r="C336" s="7" t="n">
        <f aca="false">LN(B336/B335)*100</f>
        <v>0.216289958884145</v>
      </c>
      <c r="D336" s="7" t="n">
        <f aca="false">STDEV(C334:C336)</f>
        <v>2.63137448354376</v>
      </c>
      <c r="E336" s="7" t="n">
        <f aca="false">STDEV(C325:C336)</f>
        <v>3.24992991820394</v>
      </c>
    </row>
    <row r="337" customFormat="false" ht="15" hidden="false" customHeight="true" outlineLevel="0" collapsed="false">
      <c r="A337" s="7" t="s">
        <v>359</v>
      </c>
      <c r="B337" s="7" t="n">
        <v>1261.25588235294</v>
      </c>
      <c r="C337" s="7" t="n">
        <f aca="false">LN(B337/B336)*100</f>
        <v>-1.65349771399635</v>
      </c>
      <c r="D337" s="7" t="n">
        <f aca="false">STDEV(C335:C337)</f>
        <v>1.49265271366799</v>
      </c>
      <c r="E337" s="7" t="n">
        <f aca="false">STDEV(C326:C337)</f>
        <v>2.39089137041959</v>
      </c>
    </row>
    <row r="338" customFormat="false" ht="15" hidden="false" customHeight="true" outlineLevel="0" collapsed="false">
      <c r="A338" s="7" t="s">
        <v>360</v>
      </c>
      <c r="B338" s="7" t="n">
        <v>1331.6659090909</v>
      </c>
      <c r="C338" s="7" t="n">
        <f aca="false">LN(B338/B337)*100</f>
        <v>5.43227650750322</v>
      </c>
      <c r="D338" s="7" t="n">
        <f aca="false">STDEV(C336:C338)</f>
        <v>3.67221136680835</v>
      </c>
      <c r="E338" s="7" t="n">
        <f aca="false">STDEV(C327:C338)</f>
        <v>2.64242275098838</v>
      </c>
    </row>
    <row r="339" customFormat="false" ht="15" hidden="false" customHeight="true" outlineLevel="0" collapsed="false">
      <c r="A339" s="7" t="s">
        <v>361</v>
      </c>
      <c r="B339" s="7" t="n">
        <v>1331.525</v>
      </c>
      <c r="C339" s="7" t="n">
        <f aca="false">LN(B339/B338)*100</f>
        <v>-0.0105819744690796</v>
      </c>
      <c r="D339" s="7" t="n">
        <f aca="false">STDEV(C337:C339)</f>
        <v>3.70882004821012</v>
      </c>
      <c r="E339" s="7" t="n">
        <f aca="false">STDEV(C328:C339)</f>
        <v>2.52842826481276</v>
      </c>
    </row>
    <row r="340" customFormat="false" ht="15" hidden="false" customHeight="true" outlineLevel="0" collapsed="false">
      <c r="A340" s="7" t="s">
        <v>362</v>
      </c>
      <c r="B340" s="7" t="n">
        <v>1324.65714285714</v>
      </c>
      <c r="C340" s="7" t="n">
        <f aca="false">LN(B340/B339)*100</f>
        <v>-0.517123606614103</v>
      </c>
      <c r="D340" s="7" t="n">
        <f aca="false">STDEV(C338:C340)</f>
        <v>3.2983999807415</v>
      </c>
      <c r="E340" s="7" t="n">
        <f aca="false">STDEV(C329:C340)</f>
        <v>2.53759246161425</v>
      </c>
    </row>
    <row r="341" customFormat="false" ht="15" hidden="false" customHeight="true" outlineLevel="0" collapsed="false">
      <c r="A341" s="7" t="s">
        <v>363</v>
      </c>
      <c r="B341" s="7" t="n">
        <v>1334.74</v>
      </c>
      <c r="C341" s="7" t="n">
        <f aca="false">LN(B341/B340)*100</f>
        <v>0.758285048419176</v>
      </c>
      <c r="D341" s="7" t="n">
        <f aca="false">STDEV(C339:C341)</f>
        <v>0.642184833376782</v>
      </c>
      <c r="E341" s="7" t="n">
        <f aca="false">STDEV(C330:C341)</f>
        <v>2.44707668315181</v>
      </c>
    </row>
    <row r="342" customFormat="false" ht="15" hidden="false" customHeight="true" outlineLevel="0" collapsed="false">
      <c r="A342" s="7" t="s">
        <v>364</v>
      </c>
      <c r="B342" s="7" t="n">
        <v>1303.02619047619</v>
      </c>
      <c r="C342" s="7" t="n">
        <f aca="false">LN(B342/B341)*100</f>
        <v>-2.40471182544634</v>
      </c>
      <c r="D342" s="7" t="n">
        <f aca="false">STDEV(C340:C342)</f>
        <v>1.59134145431305</v>
      </c>
      <c r="E342" s="7" t="n">
        <f aca="false">STDEV(C331:C342)</f>
        <v>2.51505084994586</v>
      </c>
    </row>
    <row r="343" customFormat="false" ht="15" hidden="false" customHeight="true" outlineLevel="0" collapsed="false">
      <c r="A343" s="7" t="s">
        <v>365</v>
      </c>
      <c r="B343" s="7" t="n">
        <v>1281.56666666666</v>
      </c>
      <c r="C343" s="7" t="n">
        <f aca="false">LN(B343/B342)*100</f>
        <v>-1.6606110237436</v>
      </c>
      <c r="D343" s="7" t="n">
        <f aca="false">STDEV(C341:C343)</f>
        <v>1.6537479370157</v>
      </c>
      <c r="E343" s="7" t="n">
        <f aca="false">STDEV(C332:C343)</f>
        <v>2.5646200079383</v>
      </c>
    </row>
    <row r="344" customFormat="false" ht="15" hidden="false" customHeight="true" outlineLevel="0" collapsed="false">
      <c r="A344" s="7" t="s">
        <v>366</v>
      </c>
      <c r="B344" s="7" t="n">
        <v>1238.525</v>
      </c>
      <c r="C344" s="7" t="n">
        <f aca="false">LN(B344/B343)*100</f>
        <v>-3.41621323864189</v>
      </c>
      <c r="D344" s="7" t="n">
        <f aca="false">STDEV(C342:C344)</f>
        <v>0.881188614783755</v>
      </c>
      <c r="E344" s="7" t="n">
        <f aca="false">STDEV(C333:C344)</f>
        <v>2.70595318446722</v>
      </c>
    </row>
    <row r="345" customFormat="false" ht="15" hidden="false" customHeight="true" outlineLevel="0" collapsed="false">
      <c r="A345" s="7" t="s">
        <v>367</v>
      </c>
      <c r="B345" s="7" t="n">
        <v>1201.24545454545</v>
      </c>
      <c r="C345" s="7" t="n">
        <f aca="false">LN(B345/B344)*100</f>
        <v>-3.05622580940513</v>
      </c>
      <c r="D345" s="7" t="n">
        <f aca="false">STDEV(C343:C345)</f>
        <v>0.927314286539484</v>
      </c>
      <c r="E345" s="7" t="n">
        <f aca="false">STDEV(C334:C345)</f>
        <v>2.57490332811111</v>
      </c>
    </row>
    <row r="346" customFormat="false" ht="15" hidden="false" customHeight="true" outlineLevel="0" collapsed="false">
      <c r="A346" s="7" t="s">
        <v>368</v>
      </c>
      <c r="B346" s="7" t="n">
        <v>1198.4725</v>
      </c>
      <c r="C346" s="7" t="n">
        <f aca="false">LN(B346/B345)*100</f>
        <v>-0.231106807731418</v>
      </c>
      <c r="D346" s="7" t="n">
        <f aca="false">STDEV(C344:C346)</f>
        <v>1.74431415839453</v>
      </c>
      <c r="E346" s="7" t="n">
        <f aca="false">STDEV(C335:C346)</f>
        <v>2.3939383530258</v>
      </c>
    </row>
    <row r="347" customFormat="false" ht="15" hidden="false" customHeight="true" outlineLevel="0" collapsed="false">
      <c r="A347" s="7" t="s">
        <v>369</v>
      </c>
      <c r="B347" s="7" t="n">
        <v>1215.39347826087</v>
      </c>
      <c r="C347" s="7" t="n">
        <f aca="false">LN(B347/B346)*100</f>
        <v>1.40200455040512</v>
      </c>
      <c r="D347" s="7" t="n">
        <f aca="false">STDEV(C345:C347)</f>
        <v>2.25551797535238</v>
      </c>
      <c r="E347" s="7" t="n">
        <f aca="false">STDEV(C336:C347)</f>
        <v>2.38366864197248</v>
      </c>
    </row>
    <row r="348" customFormat="false" ht="15" hidden="false" customHeight="true" outlineLevel="0" collapsed="false">
      <c r="A348" s="7" t="s">
        <v>370</v>
      </c>
      <c r="B348" s="7" t="n">
        <v>1220.94545454545</v>
      </c>
      <c r="C348" s="7" t="n">
        <f aca="false">LN(B348/B347)*100</f>
        <v>0.455764657400789</v>
      </c>
      <c r="D348" s="7" t="n">
        <f aca="false">STDEV(C346:C348)</f>
        <v>0.819981204337461</v>
      </c>
      <c r="E348" s="7" t="n">
        <f aca="false">STDEV(C337:C348)</f>
        <v>2.39054953230244</v>
      </c>
    </row>
    <row r="349" customFormat="false" ht="15" hidden="false" customHeight="true" outlineLevel="0" collapsed="false">
      <c r="A349" s="7" t="s">
        <v>371</v>
      </c>
      <c r="B349" s="7" t="n">
        <v>1247.92352941176</v>
      </c>
      <c r="C349" s="7" t="n">
        <f aca="false">LN(B349/B348)*100</f>
        <v>2.18554722013082</v>
      </c>
      <c r="D349" s="7" t="n">
        <f aca="false">STDEV(C347:C349)</f>
        <v>0.866165569691943</v>
      </c>
      <c r="E349" s="7" t="n">
        <f aca="false">STDEV(C338:C349)</f>
        <v>2.46452475598141</v>
      </c>
    </row>
    <row r="350" customFormat="false" ht="15" hidden="false" customHeight="true" outlineLevel="0" collapsed="false">
      <c r="A350" s="7" t="s">
        <v>372</v>
      </c>
      <c r="B350" s="7" t="n">
        <v>1291.74545454545</v>
      </c>
      <c r="C350" s="7" t="n">
        <f aca="false">LN(B350/B349)*100</f>
        <v>3.45133757843315</v>
      </c>
      <c r="D350" s="7" t="n">
        <f aca="false">STDEV(C348:C350)</f>
        <v>1.50376361566118</v>
      </c>
      <c r="E350" s="7" t="n">
        <f aca="false">STDEV(C339:C350)</f>
        <v>2.10058307984063</v>
      </c>
    </row>
    <row r="351" customFormat="false" ht="15" hidden="false" customHeight="true" outlineLevel="0" collapsed="false">
      <c r="A351" s="7" t="s">
        <v>373</v>
      </c>
      <c r="B351" s="7" t="n">
        <v>1320.065</v>
      </c>
      <c r="C351" s="7" t="n">
        <f aca="false">LN(B351/B350)*100</f>
        <v>2.16866084657532</v>
      </c>
      <c r="D351" s="7" t="n">
        <f aca="false">STDEV(C349:C351)</f>
        <v>0.735727528735163</v>
      </c>
      <c r="E351" s="7" t="n">
        <f aca="false">STDEV(C340:C351)</f>
        <v>2.21461327801787</v>
      </c>
    </row>
    <row r="352" customFormat="false" ht="15" hidden="false" customHeight="true" outlineLevel="0" collapsed="false">
      <c r="A352" s="7" t="s">
        <v>374</v>
      </c>
      <c r="B352" s="7" t="n">
        <v>1300.89761904761</v>
      </c>
      <c r="C352" s="7" t="n">
        <f aca="false">LN(B352/B351)*100</f>
        <v>-1.46264754212049</v>
      </c>
      <c r="D352" s="7" t="n">
        <f aca="false">STDEV(C350:C352)</f>
        <v>2.54882031461892</v>
      </c>
      <c r="E352" s="7" t="n">
        <f aca="false">STDEV(C341:C352)</f>
        <v>2.24845066075915</v>
      </c>
    </row>
    <row r="353" customFormat="false" ht="15" hidden="false" customHeight="true" outlineLevel="0" collapsed="false">
      <c r="A353" s="7" t="s">
        <v>375</v>
      </c>
      <c r="B353" s="7" t="n">
        <v>1286.445</v>
      </c>
      <c r="C353" s="7" t="n">
        <f aca="false">LN(B353/B352)*100</f>
        <v>-1.11719022149331</v>
      </c>
      <c r="D353" s="7" t="n">
        <f aca="false">STDEV(C351:C353)</f>
        <v>2.00426872016185</v>
      </c>
      <c r="E353" s="7" t="n">
        <f aca="false">STDEV(C342:C353)</f>
        <v>2.2446925761109</v>
      </c>
    </row>
    <row r="354" customFormat="false" ht="15" hidden="false" customHeight="true" outlineLevel="0" collapsed="false">
      <c r="A354" s="7" t="s">
        <v>376</v>
      </c>
      <c r="B354" s="7" t="n">
        <v>1283.94761904761</v>
      </c>
      <c r="C354" s="7" t="n">
        <f aca="false">LN(B354/B353)*100</f>
        <v>-0.194319087265032</v>
      </c>
      <c r="D354" s="7" t="n">
        <f aca="false">STDEV(C352:C354)</f>
        <v>0.655704323630036</v>
      </c>
      <c r="E354" s="7" t="n">
        <f aca="false">STDEV(C343:C354)</f>
        <v>2.14541274104805</v>
      </c>
    </row>
    <row r="355" customFormat="false" ht="15" hidden="false" customHeight="true" outlineLevel="0" collapsed="false">
      <c r="A355" s="7" t="s">
        <v>377</v>
      </c>
      <c r="B355" s="7" t="n">
        <v>1359.0425</v>
      </c>
      <c r="C355" s="7" t="n">
        <f aca="false">LN(B355/B354)*100</f>
        <v>5.68409983735007</v>
      </c>
      <c r="D355" s="7" t="n">
        <f aca="false">STDEV(C353:C355)</f>
        <v>3.68928734419415</v>
      </c>
      <c r="E355" s="7" t="n">
        <f aca="false">STDEV(C344:C355)</f>
        <v>2.65419550139508</v>
      </c>
    </row>
    <row r="356" customFormat="false" ht="15" hidden="false" customHeight="true" outlineLevel="0" collapsed="false">
      <c r="A356" s="7" t="s">
        <v>378</v>
      </c>
      <c r="B356" s="7" t="n">
        <v>1412.97826086956</v>
      </c>
      <c r="C356" s="7" t="n">
        <f aca="false">LN(B356/B355)*100</f>
        <v>3.89193108203972</v>
      </c>
      <c r="D356" s="7" t="n">
        <f aca="false">STDEV(C354:C356)</f>
        <v>3.01289225238603</v>
      </c>
      <c r="E356" s="7" t="n">
        <f aca="false">STDEV(C345:C356)</f>
        <v>2.51122403772555</v>
      </c>
    </row>
    <row r="357" customFormat="false" ht="15" hidden="false" customHeight="true" outlineLevel="0" collapsed="false">
      <c r="A357" s="7" t="s">
        <v>379</v>
      </c>
      <c r="B357" s="7" t="n">
        <v>1498.79761904761</v>
      </c>
      <c r="C357" s="7" t="n">
        <f aca="false">LN(B357/B356)*100</f>
        <v>5.8963480868419</v>
      </c>
      <c r="D357" s="7" t="n">
        <f aca="false">STDEV(C355:C357)</f>
        <v>1.1011059361738</v>
      </c>
      <c r="E357" s="7" t="n">
        <f aca="false">STDEV(C346:C357)</f>
        <v>2.49460221035306</v>
      </c>
    </row>
    <row r="358" customFormat="false" ht="15" hidden="false" customHeight="true" outlineLevel="0" collapsed="false">
      <c r="A358" s="7" t="s">
        <v>380</v>
      </c>
      <c r="B358" s="7" t="n">
        <v>1511.31428571428</v>
      </c>
      <c r="C358" s="7" t="n">
        <f aca="false">LN(B358/B357)*100</f>
        <v>0.831646078551411</v>
      </c>
      <c r="D358" s="7" t="n">
        <f aca="false">STDEV(C356:C358)</f>
        <v>2.55062862397022</v>
      </c>
      <c r="E358" s="7" t="n">
        <f aca="false">STDEV(C347:C358)</f>
        <v>2.43231433949249</v>
      </c>
    </row>
    <row r="359" customFormat="false" ht="15" hidden="false" customHeight="true" outlineLevel="0" collapsed="false">
      <c r="A359" s="7" t="s">
        <v>381</v>
      </c>
      <c r="B359" s="7" t="n">
        <v>1494.8</v>
      </c>
      <c r="C359" s="7" t="n">
        <f aca="false">LN(B359/B358)*100</f>
        <v>-1.09872415200045</v>
      </c>
      <c r="D359" s="7" t="n">
        <f aca="false">STDEV(C357:C359)</f>
        <v>3.61267609228038</v>
      </c>
      <c r="E359" s="7" t="n">
        <f aca="false">STDEV(C348:C359)</f>
        <v>2.58430169245576</v>
      </c>
    </row>
    <row r="360" customFormat="false" ht="15" hidden="false" customHeight="true" outlineLevel="0" collapsed="false">
      <c r="A360" s="7" t="s">
        <v>382</v>
      </c>
      <c r="B360" s="7" t="n">
        <v>1470.01666666666</v>
      </c>
      <c r="C360" s="7" t="n">
        <f aca="false">LN(B360/B359)*100</f>
        <v>-1.67186800343437</v>
      </c>
      <c r="D360" s="7" t="n">
        <f aca="false">STDEV(C358:C360)</f>
        <v>1.3116405668817</v>
      </c>
      <c r="E360" s="7" t="n">
        <f aca="false">STDEV(C349:C360)</f>
        <v>2.74710774706464</v>
      </c>
    </row>
    <row r="361" customFormat="false" ht="15" hidden="false" customHeight="true" outlineLevel="0" collapsed="false">
      <c r="A361" s="7" t="s">
        <v>383</v>
      </c>
      <c r="B361" s="7" t="n">
        <v>1476.04444444444</v>
      </c>
      <c r="C361" s="7" t="n">
        <f aca="false">LN(B361/B360)*100</f>
        <v>0.409209854231555</v>
      </c>
      <c r="D361" s="7" t="n">
        <f aca="false">STDEV(C359:C361)</f>
        <v>1.07496076604799</v>
      </c>
      <c r="E361" s="7" t="n">
        <f aca="false">STDEV(C350:C361)</f>
        <v>2.75741529143574</v>
      </c>
    </row>
    <row r="362" customFormat="false" ht="15" hidden="false" customHeight="true" outlineLevel="0" collapsed="false">
      <c r="A362" s="7" t="s">
        <v>384</v>
      </c>
      <c r="B362" s="7" t="n">
        <v>1560.67272727272</v>
      </c>
      <c r="C362" s="7" t="n">
        <f aca="false">LN(B362/B361)*100</f>
        <v>5.57511266002373</v>
      </c>
      <c r="D362" s="7" t="n">
        <f aca="false">STDEV(C360:C362)</f>
        <v>3.73131267306593</v>
      </c>
      <c r="E362" s="7" t="n">
        <f aca="false">STDEV(C351:C362)</f>
        <v>2.96170278985326</v>
      </c>
    </row>
    <row r="363" customFormat="false" ht="15" hidden="false" customHeight="true" outlineLevel="0" collapsed="false">
      <c r="A363" s="7" t="s">
        <v>385</v>
      </c>
      <c r="B363" s="7" t="n">
        <v>1597.1025</v>
      </c>
      <c r="C363" s="7" t="n">
        <f aca="false">LN(B363/B362)*100</f>
        <v>2.30740862786745</v>
      </c>
      <c r="D363" s="7" t="n">
        <f aca="false">STDEV(C361:C363)</f>
        <v>2.61303144594213</v>
      </c>
      <c r="E363" s="7" t="n">
        <f aca="false">STDEV(C352:C363)</f>
        <v>2.96449626299647</v>
      </c>
    </row>
    <row r="364" customFormat="false" ht="15" hidden="false" customHeight="true" outlineLevel="0" collapsed="false">
      <c r="A364" s="7" t="s">
        <v>386</v>
      </c>
      <c r="B364" s="7" t="n">
        <v>1591.92727272727</v>
      </c>
      <c r="C364" s="7" t="n">
        <f aca="false">LN(B364/B363)*100</f>
        <v>-0.324564659763955</v>
      </c>
      <c r="D364" s="7" t="n">
        <f aca="false">STDEV(C362:C364)</f>
        <v>2.9555418427702</v>
      </c>
      <c r="E364" s="7" t="n">
        <f aca="false">STDEV(C353:C364)</f>
        <v>2.87489261707638</v>
      </c>
    </row>
    <row r="365" customFormat="false" ht="15" hidden="false" customHeight="true" outlineLevel="0" collapsed="false">
      <c r="A365" s="7" t="s">
        <v>387</v>
      </c>
      <c r="B365" s="7" t="n">
        <v>1682.93</v>
      </c>
      <c r="C365" s="7" t="n">
        <f aca="false">LN(B365/B364)*100</f>
        <v>5.55909185307122</v>
      </c>
      <c r="D365" s="7" t="n">
        <f aca="false">STDEV(C363:C365)</f>
        <v>2.94726260409284</v>
      </c>
      <c r="E365" s="7" t="n">
        <f aca="false">STDEV(C354:C365)</f>
        <v>2.92934059405653</v>
      </c>
    </row>
    <row r="366" customFormat="false" ht="15" hidden="false" customHeight="true" outlineLevel="0" collapsed="false">
      <c r="A366" s="7" t="s">
        <v>388</v>
      </c>
      <c r="B366" s="7" t="n">
        <v>1716.38157894736</v>
      </c>
      <c r="C366" s="7" t="n">
        <f aca="false">LN(B366/B365)*100</f>
        <v>1.96820197510512</v>
      </c>
      <c r="D366" s="7" t="n">
        <f aca="false">STDEV(C364:C366)</f>
        <v>2.96559951551891</v>
      </c>
      <c r="E366" s="7" t="n">
        <f aca="false">STDEV(C355:C366)</f>
        <v>2.83091582151988</v>
      </c>
    </row>
    <row r="367" customFormat="false" ht="15" hidden="false" customHeight="true" outlineLevel="0" collapsed="false">
      <c r="A367" s="7" t="s">
        <v>389</v>
      </c>
      <c r="B367" s="7" t="n">
        <v>1732.21818181818</v>
      </c>
      <c r="C367" s="7" t="n">
        <f aca="false">LN(B367/B366)*100</f>
        <v>0.918443153302368</v>
      </c>
      <c r="D367" s="7" t="n">
        <f aca="false">STDEV(C365:C367)</f>
        <v>2.4335195381141</v>
      </c>
      <c r="E367" s="7" t="n">
        <f aca="false">STDEV(C356:C367)</f>
        <v>2.66036589662697</v>
      </c>
    </row>
    <row r="368" customFormat="false" ht="15" hidden="false" customHeight="true" outlineLevel="0" collapsed="false">
      <c r="A368" s="7" t="s">
        <v>390</v>
      </c>
      <c r="B368" s="7" t="n">
        <v>1843.31304347826</v>
      </c>
      <c r="C368" s="7" t="n">
        <f aca="false">LN(B368/B367)*100</f>
        <v>6.21617464176807</v>
      </c>
      <c r="D368" s="7" t="n">
        <f aca="false">STDEV(C366:C368)</f>
        <v>2.80515074712422</v>
      </c>
      <c r="E368" s="7" t="n">
        <f aca="false">STDEV(C357:C368)</f>
        <v>2.88409399437955</v>
      </c>
    </row>
    <row r="369" customFormat="false" ht="15" hidden="false" customHeight="true" outlineLevel="0" collapsed="false">
      <c r="A369" s="7" t="s">
        <v>391</v>
      </c>
      <c r="B369" s="7" t="n">
        <v>1968.03095238095</v>
      </c>
      <c r="C369" s="7" t="n">
        <f aca="false">LN(B369/B368)*100</f>
        <v>6.54690066913256</v>
      </c>
      <c r="D369" s="7" t="n">
        <f aca="false">STDEV(C367:C369)</f>
        <v>3.15845090291013</v>
      </c>
      <c r="E369" s="7" t="n">
        <f aca="false">STDEV(C358:C369)</f>
        <v>2.96456418216812</v>
      </c>
    </row>
    <row r="370" customFormat="false" ht="15" hidden="false" customHeight="true" outlineLevel="0" collapsed="false">
      <c r="A370" s="7" t="s">
        <v>392</v>
      </c>
      <c r="B370" s="7" t="n">
        <v>1922.21363636363</v>
      </c>
      <c r="C370" s="7" t="n">
        <f aca="false">LN(B370/B369)*100</f>
        <v>-2.35560688163283</v>
      </c>
      <c r="D370" s="7" t="n">
        <f aca="false">STDEV(C368:C370)</f>
        <v>5.04710245060682</v>
      </c>
      <c r="E370" s="7" t="n">
        <f aca="false">STDEV(C359:C370)</f>
        <v>3.2355173957811</v>
      </c>
    </row>
    <row r="371" customFormat="false" ht="15" hidden="false" customHeight="true" outlineLevel="0" collapsed="false">
      <c r="A371" s="7" t="s">
        <v>393</v>
      </c>
      <c r="B371" s="7" t="n">
        <v>1900.275</v>
      </c>
      <c r="C371" s="7" t="n">
        <f aca="false">LN(B371/B370)*100</f>
        <v>-1.14788449847669</v>
      </c>
      <c r="D371" s="7" t="n">
        <f aca="false">STDEV(C369:C371)</f>
        <v>4.82912954236873</v>
      </c>
      <c r="E371" s="7" t="n">
        <f aca="false">STDEV(C360:C371)</f>
        <v>3.23983154609602</v>
      </c>
    </row>
    <row r="372" customFormat="false" ht="15" hidden="false" customHeight="true" outlineLevel="0" collapsed="false">
      <c r="A372" s="7" t="s">
        <v>394</v>
      </c>
      <c r="B372" s="7" t="n">
        <v>1863.49285714285</v>
      </c>
      <c r="C372" s="7" t="n">
        <f aca="false">LN(B372/B371)*100</f>
        <v>-1.95460056443869</v>
      </c>
      <c r="D372" s="7" t="n">
        <f aca="false">STDEV(C370:C372)</f>
        <v>0.615113842076834</v>
      </c>
      <c r="E372" s="7" t="n">
        <f aca="false">STDEV(C361:C372)</f>
        <v>3.26985142308282</v>
      </c>
    </row>
    <row r="373" customFormat="false" ht="15" hidden="false" customHeight="true" outlineLevel="0" collapsed="false">
      <c r="A373" s="7" t="s">
        <v>395</v>
      </c>
      <c r="B373" s="7" t="n">
        <v>1855.95526315789</v>
      </c>
      <c r="C373" s="7" t="n">
        <f aca="false">LN(B373/B372)*100</f>
        <v>-0.405307672524092</v>
      </c>
      <c r="D373" s="7" t="n">
        <f aca="false">STDEV(C371:C373)</f>
        <v>0.774867689615473</v>
      </c>
      <c r="E373" s="7" t="n">
        <f aca="false">STDEV(C362:C373)</f>
        <v>3.31350568373192</v>
      </c>
    </row>
    <row r="374" customFormat="false" ht="15" hidden="false" customHeight="true" outlineLevel="0" collapsed="false">
      <c r="A374" s="7" t="s">
        <v>396</v>
      </c>
      <c r="B374" s="7" t="n">
        <v>1866.985</v>
      </c>
      <c r="C374" s="7" t="n">
        <f aca="false">LN(B374/B373)*100</f>
        <v>0.592530007621136</v>
      </c>
      <c r="D374" s="7" t="n">
        <f aca="false">STDEV(C372:C374)</f>
        <v>1.28347592186066</v>
      </c>
      <c r="E374" s="7" t="n">
        <f aca="false">STDEV(C363:C374)</f>
        <v>3.11874888454675</v>
      </c>
    </row>
    <row r="375" customFormat="false" ht="15" hidden="false" customHeight="true" outlineLevel="0" collapsed="false">
      <c r="A375" s="7" t="s">
        <v>397</v>
      </c>
      <c r="B375" s="7" t="n">
        <v>1808.175</v>
      </c>
      <c r="C375" s="7" t="n">
        <f aca="false">LN(B375/B374)*100</f>
        <v>-3.20067809263814</v>
      </c>
      <c r="D375" s="7" t="n">
        <f aca="false">STDEV(C373:C375)</f>
        <v>1.96630802577821</v>
      </c>
      <c r="E375" s="7" t="n">
        <f aca="false">STDEV(C364:C375)</f>
        <v>3.38225363118659</v>
      </c>
    </row>
    <row r="376" customFormat="false" ht="15" hidden="false" customHeight="true" outlineLevel="0" collapsed="false">
      <c r="A376" s="7" t="s">
        <v>398</v>
      </c>
      <c r="B376" s="7" t="n">
        <v>1718.22826086956</v>
      </c>
      <c r="C376" s="7" t="n">
        <f aca="false">LN(B376/B375)*100</f>
        <v>-5.10243702836948</v>
      </c>
      <c r="D376" s="7" t="n">
        <f aca="false">STDEV(C374:C376)</f>
        <v>2.89936097219503</v>
      </c>
      <c r="E376" s="7" t="n">
        <f aca="false">STDEV(C365:C376)</f>
        <v>3.8108410103118</v>
      </c>
    </row>
    <row r="377" customFormat="false" ht="15" hidden="false" customHeight="true" outlineLevel="0" collapsed="false">
      <c r="A377" s="7" t="s">
        <v>399</v>
      </c>
      <c r="B377" s="7" t="n">
        <v>1761.6775</v>
      </c>
      <c r="C377" s="7" t="n">
        <f aca="false">LN(B377/B376)*100</f>
        <v>2.49728010772014</v>
      </c>
      <c r="D377" s="7" t="n">
        <f aca="false">STDEV(C375:C377)</f>
        <v>3.95472534341806</v>
      </c>
      <c r="E377" s="7" t="n">
        <f aca="false">STDEV(C366:C377)</f>
        <v>3.54446239232866</v>
      </c>
    </row>
    <row r="378" customFormat="false" ht="15" hidden="false" customHeight="true" outlineLevel="0" collapsed="false">
      <c r="A378" s="7" t="s">
        <v>400</v>
      </c>
      <c r="B378" s="7" t="n">
        <v>1855.56</v>
      </c>
      <c r="C378" s="7" t="n">
        <f aca="false">LN(B378/B377)*100</f>
        <v>5.19200571783596</v>
      </c>
      <c r="D378" s="7" t="n">
        <f aca="false">STDEV(C376:C378)</f>
        <v>5.33842670514591</v>
      </c>
      <c r="E378" s="7" t="n">
        <f aca="false">STDEV(C367:C378)</f>
        <v>3.78940262003945</v>
      </c>
    </row>
    <row r="379" customFormat="false" ht="15" hidden="false" customHeight="true" outlineLevel="0" collapsed="false">
      <c r="A379" s="7" t="s">
        <v>401</v>
      </c>
      <c r="B379" s="7" t="n">
        <v>1834.5659090909</v>
      </c>
      <c r="C379" s="7" t="n">
        <f aca="false">LN(B379/B378)*100</f>
        <v>-1.137864557515</v>
      </c>
      <c r="D379" s="7" t="n">
        <f aca="false">STDEV(C377:C379)</f>
        <v>3.17655685068422</v>
      </c>
      <c r="E379" s="7" t="n">
        <f aca="false">STDEV(C368:C379)</f>
        <v>3.82249603788673</v>
      </c>
    </row>
    <row r="380" customFormat="false" ht="15" hidden="false" customHeight="true" outlineLevel="0" collapsed="false">
      <c r="A380" s="7" t="s">
        <v>402</v>
      </c>
      <c r="B380" s="7" t="n">
        <v>1807.09318181818</v>
      </c>
      <c r="C380" s="7" t="n">
        <f aca="false">LN(B380/B379)*100</f>
        <v>-1.5088314299603</v>
      </c>
      <c r="D380" s="7" t="n">
        <f aca="false">STDEV(C378:C380)</f>
        <v>3.7662114607943</v>
      </c>
      <c r="E380" s="7" t="n">
        <f aca="false">STDEV(C369:C380)</f>
        <v>3.39491489932221</v>
      </c>
    </row>
    <row r="381" customFormat="false" ht="15" hidden="false" customHeight="true" outlineLevel="0" collapsed="false">
      <c r="A381" s="7" t="s">
        <v>403</v>
      </c>
      <c r="B381" s="7" t="n">
        <v>1783.96904761904</v>
      </c>
      <c r="C381" s="7" t="n">
        <f aca="false">LN(B381/B380)*100</f>
        <v>-1.28788934004719</v>
      </c>
      <c r="D381" s="7" t="n">
        <f aca="false">STDEV(C379:C381)</f>
        <v>0.186609781326729</v>
      </c>
      <c r="E381" s="7" t="n">
        <f aca="false">STDEV(C370:C381)</f>
        <v>2.66065597455869</v>
      </c>
    </row>
    <row r="382" customFormat="false" ht="15" hidden="false" customHeight="true" outlineLevel="0" collapsed="false">
      <c r="A382" s="7" t="s">
        <v>404</v>
      </c>
      <c r="B382" s="7" t="n">
        <v>1777.25227272727</v>
      </c>
      <c r="C382" s="7" t="n">
        <f aca="false">LN(B382/B381)*100</f>
        <v>-0.377217940260986</v>
      </c>
      <c r="D382" s="7" t="n">
        <f aca="false">STDEV(C380:C382)</f>
        <v>0.599817596656573</v>
      </c>
      <c r="E382" s="7" t="n">
        <f aca="false">STDEV(C371:C382)</f>
        <v>2.61768392796785</v>
      </c>
    </row>
    <row r="383" customFormat="false" ht="15" hidden="false" customHeight="true" outlineLevel="0" collapsed="false">
      <c r="A383" s="7" t="s">
        <v>405</v>
      </c>
      <c r="B383" s="7" t="n">
        <v>1776.85476190476</v>
      </c>
      <c r="C383" s="7" t="n">
        <f aca="false">LN(B383/B382)*100</f>
        <v>-0.0223690969514605</v>
      </c>
      <c r="D383" s="7" t="n">
        <f aca="false">STDEV(C381:C383)</f>
        <v>0.652786538064798</v>
      </c>
      <c r="E383" s="7" t="n">
        <f aca="false">STDEV(C372:C383)</f>
        <v>2.61851967480686</v>
      </c>
    </row>
    <row r="384" customFormat="false" ht="15" hidden="false" customHeight="true" outlineLevel="0" collapsed="false">
      <c r="A384" s="7" t="s">
        <v>406</v>
      </c>
      <c r="B384" s="7" t="n">
        <v>1820.23409090909</v>
      </c>
      <c r="C384" s="7" t="n">
        <f aca="false">LN(B384/B383)*100</f>
        <v>2.41203005504514</v>
      </c>
      <c r="D384" s="7" t="n">
        <f aca="false">STDEV(C382:C384)</f>
        <v>1.51833907676333</v>
      </c>
      <c r="E384" s="7" t="n">
        <f aca="false">STDEV(C373:C384)</f>
        <v>2.70888827316483</v>
      </c>
    </row>
    <row r="385" customFormat="false" ht="15" hidden="false" customHeight="true" outlineLevel="0" collapsed="false">
      <c r="A385" s="7" t="s">
        <v>407</v>
      </c>
      <c r="B385" s="7" t="n">
        <v>1786.65263157894</v>
      </c>
      <c r="C385" s="7" t="n">
        <f aca="false">LN(B385/B384)*100</f>
        <v>-1.86212832721064</v>
      </c>
      <c r="D385" s="7" t="n">
        <f aca="false">STDEV(C383:C385)</f>
        <v>2.14396218612382</v>
      </c>
      <c r="E385" s="7" t="n">
        <f aca="false">STDEV(C374:C385)</f>
        <v>2.75144482864377</v>
      </c>
    </row>
    <row r="386" customFormat="false" ht="15" hidden="false" customHeight="true" outlineLevel="0" collapsed="false">
      <c r="A386" s="7" t="s">
        <v>408</v>
      </c>
      <c r="B386" s="7" t="n">
        <v>1816.765</v>
      </c>
      <c r="C386" s="7" t="n">
        <f aca="false">LN(B386/B385)*100</f>
        <v>1.67136160583207</v>
      </c>
      <c r="D386" s="7" t="n">
        <f aca="false">STDEV(C384:C386)</f>
        <v>2.28409612812819</v>
      </c>
      <c r="E386" s="7" t="n">
        <f aca="false">STDEV(C375:C386)</f>
        <v>2.80104793078091</v>
      </c>
    </row>
    <row r="387" customFormat="false" ht="15" hidden="false" customHeight="true" outlineLevel="0" collapsed="false">
      <c r="A387" s="7" t="s">
        <v>409</v>
      </c>
      <c r="B387" s="7" t="n">
        <v>1856.295</v>
      </c>
      <c r="C387" s="7" t="n">
        <f aca="false">LN(B387/B386)*100</f>
        <v>2.15251187167534</v>
      </c>
      <c r="D387" s="7" t="n">
        <f aca="false">STDEV(C385:C387)</f>
        <v>2.19219800701436</v>
      </c>
      <c r="E387" s="7" t="n">
        <f aca="false">STDEV(C376:C387)</f>
        <v>2.70921440355674</v>
      </c>
    </row>
    <row r="388" customFormat="false" ht="15" hidden="false" customHeight="true" outlineLevel="0" collapsed="false">
      <c r="A388" s="7" t="s">
        <v>410</v>
      </c>
      <c r="B388" s="7" t="n">
        <v>1947.82826086956</v>
      </c>
      <c r="C388" s="7" t="n">
        <f aca="false">LN(B388/B387)*100</f>
        <v>4.81324738633206</v>
      </c>
      <c r="D388" s="7" t="n">
        <f aca="false">STDEV(C386:C388)</f>
        <v>1.69226009205562</v>
      </c>
      <c r="E388" s="7" t="n">
        <f aca="false">STDEV(C377:C388)</f>
        <v>2.43715269021392</v>
      </c>
    </row>
    <row r="389" customFormat="false" ht="15" hidden="false" customHeight="true" outlineLevel="0" collapsed="false">
      <c r="A389" s="7" t="s">
        <v>411</v>
      </c>
      <c r="B389" s="7" t="n">
        <v>1933.9</v>
      </c>
      <c r="C389" s="7" t="n">
        <f aca="false">LN(B389/B388)*100</f>
        <v>-0.717635017647705</v>
      </c>
      <c r="D389" s="7" t="n">
        <f aca="false">STDEV(C387:C389)</f>
        <v>2.76610185435206</v>
      </c>
      <c r="E389" s="7" t="n">
        <f aca="false">STDEV(C378:C389)</f>
        <v>2.43971772242723</v>
      </c>
    </row>
    <row r="390" customFormat="false" ht="15" hidden="false" customHeight="true" outlineLevel="0" collapsed="false">
      <c r="A390" s="7" t="s">
        <v>412</v>
      </c>
      <c r="B390" s="7" t="n">
        <v>1849.83318181818</v>
      </c>
      <c r="C390" s="7" t="n">
        <f aca="false">LN(B390/B389)*100</f>
        <v>-4.44432263517937</v>
      </c>
      <c r="D390" s="7" t="n">
        <f aca="false">STDEV(C388:C390)</f>
        <v>4.6579942655701</v>
      </c>
      <c r="E390" s="7" t="n">
        <f aca="false">STDEV(C379:C390)</f>
        <v>2.44040459443248</v>
      </c>
    </row>
    <row r="391" customFormat="false" ht="15" hidden="false" customHeight="true" outlineLevel="0" collapsed="false">
      <c r="A391" s="7" t="s">
        <v>413</v>
      </c>
      <c r="B391" s="7" t="n">
        <v>1837.06409090909</v>
      </c>
      <c r="C391" s="7" t="n">
        <f aca="false">LN(B391/B390)*100</f>
        <v>-0.692676851005132</v>
      </c>
      <c r="D391" s="7" t="n">
        <f aca="false">STDEV(C389:C391)</f>
        <v>2.1588449689073</v>
      </c>
      <c r="E391" s="7" t="n">
        <f aca="false">STDEV(C380:C391)</f>
        <v>2.42529857633876</v>
      </c>
    </row>
    <row r="392" customFormat="false" ht="15" hidden="false" customHeight="true" outlineLevel="0" collapsed="false">
      <c r="A392" s="7" t="s">
        <v>414</v>
      </c>
      <c r="B392" s="7" t="n">
        <v>1737.38047619047</v>
      </c>
      <c r="C392" s="7" t="n">
        <f aca="false">LN(B392/B391)*100</f>
        <v>-5.57901891153919</v>
      </c>
      <c r="D392" s="7" t="n">
        <f aca="false">STDEV(C390:C392)</f>
        <v>2.55730067525771</v>
      </c>
      <c r="E392" s="7" t="n">
        <f aca="false">STDEV(C381:C392)</f>
        <v>2.89613317892471</v>
      </c>
    </row>
    <row r="393" customFormat="false" ht="15" hidden="false" customHeight="true" outlineLevel="0" collapsed="false">
      <c r="A393" s="7" t="s">
        <v>415</v>
      </c>
      <c r="B393" s="7" t="n">
        <v>1764.13260869565</v>
      </c>
      <c r="C393" s="7" t="n">
        <f aca="false">LN(B393/B392)*100</f>
        <v>1.52806243477563</v>
      </c>
      <c r="D393" s="7" t="n">
        <f aca="false">STDEV(C391:C393)</f>
        <v>3.63590032342038</v>
      </c>
      <c r="E393" s="7" t="n">
        <f aca="false">STDEV(C382:C393)</f>
        <v>2.9252094636591</v>
      </c>
    </row>
    <row r="394" customFormat="false" ht="15" hidden="false" customHeight="true" outlineLevel="0" collapsed="false">
      <c r="A394" s="7" t="s">
        <v>416</v>
      </c>
      <c r="B394" s="7" t="n">
        <v>1683.20818181818</v>
      </c>
      <c r="C394" s="7" t="n">
        <f aca="false">LN(B394/B393)*100</f>
        <v>-4.69575253361284</v>
      </c>
      <c r="D394" s="7" t="n">
        <f aca="false">STDEV(C392:C394)</f>
        <v>3.87355645194111</v>
      </c>
      <c r="E394" s="7" t="n">
        <f aca="false">STDEV(C383:C394)</f>
        <v>3.21465690309316</v>
      </c>
    </row>
    <row r="395" customFormat="false" ht="15" hidden="false" customHeight="true" outlineLevel="0" collapsed="false">
      <c r="A395" s="7" t="s">
        <v>417</v>
      </c>
      <c r="B395" s="7" t="n">
        <v>1666.62666666666</v>
      </c>
      <c r="C395" s="7" t="n">
        <f aca="false">LN(B395/B394)*100</f>
        <v>-0.989998094252464</v>
      </c>
      <c r="D395" s="7" t="n">
        <f aca="false">STDEV(C393:C395)</f>
        <v>3.13073786705905</v>
      </c>
      <c r="E395" s="7" t="n">
        <f aca="false">STDEV(C384:C395)</f>
        <v>3.21500736969382</v>
      </c>
    </row>
    <row r="396" customFormat="false" ht="15" hidden="false" customHeight="true" outlineLevel="0" collapsed="false">
      <c r="A396" s="7" t="s">
        <v>418</v>
      </c>
      <c r="B396" s="7" t="n">
        <v>1727.89863636363</v>
      </c>
      <c r="C396" s="7" t="n">
        <f aca="false">LN(B396/B395)*100</f>
        <v>3.61043856715571</v>
      </c>
      <c r="D396" s="7" t="n">
        <f aca="false">STDEV(C394:C396)</f>
        <v>4.16111852036113</v>
      </c>
      <c r="E396" s="7" t="n">
        <f aca="false">STDEV(C385:C396)</f>
        <v>3.33133684709551</v>
      </c>
    </row>
    <row r="397" customFormat="false" ht="15" hidden="false" customHeight="true" outlineLevel="0" collapsed="false">
      <c r="A397" s="7" t="s">
        <v>419</v>
      </c>
      <c r="B397" s="7" t="n">
        <v>1797.40818181818</v>
      </c>
      <c r="C397" s="7" t="n">
        <f aca="false">LN(B397/B396)*100</f>
        <v>3.94397191119348</v>
      </c>
      <c r="D397" s="7" t="n">
        <f aca="false">STDEV(C395:C397)</f>
        <v>2.75739375684884</v>
      </c>
      <c r="E397" s="7" t="n">
        <f aca="false">STDEV(C386:C397)</f>
        <v>3.52125609447668</v>
      </c>
    </row>
    <row r="398" customFormat="false" ht="15" hidden="false" customHeight="true" outlineLevel="0" collapsed="false">
      <c r="A398" s="7" t="s">
        <v>420</v>
      </c>
      <c r="B398" s="7" t="n">
        <v>1896.05954545454</v>
      </c>
      <c r="C398" s="7" t="n">
        <f aca="false">LN(B398/B397)*100</f>
        <v>5.34320809086569</v>
      </c>
      <c r="D398" s="7" t="n">
        <f aca="false">STDEV(C396:C398)</f>
        <v>0.919383543503182</v>
      </c>
      <c r="E398" s="7" t="n">
        <f aca="false">STDEV(C387:C398)</f>
        <v>3.82167590064322</v>
      </c>
    </row>
    <row r="399" customFormat="false" ht="15" hidden="false" customHeight="true" outlineLevel="0" collapsed="false">
      <c r="A399" s="7" t="s">
        <v>421</v>
      </c>
      <c r="B399" s="7" t="n">
        <v>1853.409</v>
      </c>
      <c r="C399" s="7" t="n">
        <f aca="false">LN(B399/B398)*100</f>
        <v>-2.27511630710331</v>
      </c>
      <c r="D399" s="7" t="n">
        <f aca="false">STDEV(C397:C399)</f>
        <v>4.05532133511331</v>
      </c>
      <c r="E399" s="7" t="n">
        <f aca="false">STDEV(C388:C399)</f>
        <v>3.84611918717255</v>
      </c>
    </row>
    <row r="400" customFormat="false" ht="15" hidden="false" customHeight="true" outlineLevel="0" collapsed="false">
      <c r="A400" s="7" t="s">
        <v>422</v>
      </c>
      <c r="B400" s="7" t="n">
        <v>1913.64826086956</v>
      </c>
      <c r="C400" s="7" t="n">
        <f aca="false">LN(B400/B399)*100</f>
        <v>3.19848582930764</v>
      </c>
      <c r="D400" s="7" t="n">
        <f aca="false">STDEV(C398:C400)</f>
        <v>3.928507361998</v>
      </c>
      <c r="E400" s="7" t="n">
        <f aca="false">STDEV(C389:C400)</f>
        <v>3.68686563266326</v>
      </c>
    </row>
    <row r="401" customFormat="false" ht="15" hidden="false" customHeight="true" outlineLevel="0" collapsed="false">
      <c r="A401" s="7" t="s">
        <v>423</v>
      </c>
      <c r="B401" s="7" t="n">
        <v>1999.6685</v>
      </c>
      <c r="C401" s="7" t="n">
        <f aca="false">LN(B401/B400)*100</f>
        <v>4.39699124297218</v>
      </c>
      <c r="D401" s="7" t="n">
        <f aca="false">STDEV(C399:C401)</f>
        <v>3.55700610846819</v>
      </c>
      <c r="E401" s="7" t="n">
        <f aca="false">STDEV(C390:C401)</f>
        <v>3.90419888241539</v>
      </c>
    </row>
    <row r="402" customFormat="false" ht="15" hidden="false" customHeight="true" outlineLevel="0" collapsed="false">
      <c r="A402" s="7" t="s">
        <v>424</v>
      </c>
      <c r="B402" s="7" t="n">
        <v>1989.82695652173</v>
      </c>
      <c r="C402" s="7" t="n">
        <f aca="false">LN(B402/B401)*100</f>
        <v>-0.493373838817626</v>
      </c>
      <c r="D402" s="7" t="n">
        <f aca="false">STDEV(C400:C402)</f>
        <v>2.54891851801577</v>
      </c>
      <c r="E402" s="7" t="n">
        <f aca="false">STDEV(C391:C402)</f>
        <v>3.62640397906051</v>
      </c>
    </row>
    <row r="403" customFormat="false" ht="15" hidden="false" customHeight="true" outlineLevel="0" collapsed="false">
      <c r="A403" s="7" t="s">
        <v>425</v>
      </c>
      <c r="B403" s="7" t="n">
        <v>1944.72863636363</v>
      </c>
      <c r="C403" s="7" t="n">
        <f aca="false">LN(B403/B402)*100</f>
        <v>-2.29252296760431</v>
      </c>
      <c r="D403" s="7" t="n">
        <f aca="false">STDEV(C401:C403)</f>
        <v>3.46174832019669</v>
      </c>
      <c r="E403" s="7" t="n">
        <f aca="false">STDEV(C392:C403)</f>
        <v>3.70707722849818</v>
      </c>
    </row>
    <row r="404" customFormat="false" ht="15" hidden="false" customHeight="true" outlineLevel="0" collapsed="false">
      <c r="A404" s="7" t="s">
        <v>426</v>
      </c>
      <c r="B404" s="7" t="n">
        <v>1950.27</v>
      </c>
      <c r="C404" s="7" t="n">
        <f aca="false">LN(B404/B403)*100</f>
        <v>0.284537577152613</v>
      </c>
      <c r="D404" s="7" t="n">
        <f aca="false">STDEV(C402:C404)</f>
        <v>1.32182479991699</v>
      </c>
      <c r="E404" s="7" t="n">
        <f aca="false">STDEV(C393:C404)</f>
        <v>3.18649393864921</v>
      </c>
    </row>
    <row r="405" customFormat="false" ht="15" hidden="false" customHeight="true" outlineLevel="0" collapsed="false">
      <c r="A405" s="7" t="s">
        <v>427</v>
      </c>
      <c r="B405" s="7" t="n">
        <v>1919.30217391304</v>
      </c>
      <c r="C405" s="7" t="n">
        <f aca="false">LN(B405/B404)*100</f>
        <v>-1.60061556408253</v>
      </c>
      <c r="D405" s="7" t="n">
        <f aca="false">STDEV(C403:C405)</f>
        <v>1.33377779710489</v>
      </c>
      <c r="E405" s="7" t="n">
        <f aca="false">STDEV(C394:C405)</f>
        <v>3.26315267294564</v>
      </c>
    </row>
    <row r="406" customFormat="false" ht="15" hidden="false" customHeight="true" outlineLevel="0" collapsed="false">
      <c r="A406" s="7" t="s">
        <v>428</v>
      </c>
      <c r="B406" s="7" t="n">
        <v>1915.43476190476</v>
      </c>
      <c r="C406" s="7" t="n">
        <f aca="false">LN(B406/B405)*100</f>
        <v>-0.201704230783474</v>
      </c>
      <c r="D406" s="7" t="n">
        <f aca="false">STDEV(C404:C406)</f>
        <v>0.978705469836407</v>
      </c>
      <c r="E406" s="7" t="n">
        <f aca="false">STDEV(C395:C406)</f>
        <v>2.81429862970508</v>
      </c>
    </row>
    <row r="407" customFormat="false" ht="15" hidden="false" customHeight="true" outlineLevel="0" collapsed="false">
      <c r="A407" s="7" t="s">
        <v>429</v>
      </c>
      <c r="B407" s="7" t="n">
        <v>1913.98454545454</v>
      </c>
      <c r="C407" s="7" t="n">
        <f aca="false">LN(B407/B406)*100</f>
        <v>-0.0757408057540966</v>
      </c>
      <c r="D407" s="7" t="n">
        <f aca="false">STDEV(C405:C407)</f>
        <v>0.846370952111116</v>
      </c>
      <c r="E407" s="7" t="n">
        <f aca="false">STDEV(C396:C407)</f>
        <v>2.76520052222703</v>
      </c>
    </row>
    <row r="408" customFormat="false" ht="15" hidden="false" customHeight="true" outlineLevel="0" collapsed="false">
      <c r="A408" s="7" t="s">
        <v>430</v>
      </c>
      <c r="B408" s="7" t="n">
        <v>1985.77772727272</v>
      </c>
      <c r="C408" s="7" t="n">
        <f aca="false">LN(B408/B407)*100</f>
        <v>3.6823421034235</v>
      </c>
      <c r="D408" s="7" t="n">
        <f aca="false">STDEV(C406:C408)</f>
        <v>2.20699153687263</v>
      </c>
      <c r="E408" s="7" t="n">
        <f aca="false">STDEV(C397:C408)</f>
        <v>2.77108083373557</v>
      </c>
    </row>
    <row r="409" customFormat="false" ht="15" hidden="false" customHeight="true" outlineLevel="0" collapsed="false">
      <c r="A409" s="7" t="s">
        <v>431</v>
      </c>
      <c r="B409" s="7" t="n">
        <v>2034.70428571428</v>
      </c>
      <c r="C409" s="7" t="n">
        <f aca="false">LN(B409/B408)*100</f>
        <v>2.43398546328813</v>
      </c>
      <c r="D409" s="7" t="n">
        <f aca="false">STDEV(C407:C409)</f>
        <v>1.91399701317877</v>
      </c>
      <c r="E409" s="7" t="n">
        <f aca="false">STDEV(C398:C409)</f>
        <v>2.66539973431381</v>
      </c>
    </row>
    <row r="410" customFormat="false" ht="15" hidden="false" customHeight="true" outlineLevel="0" collapsed="false">
      <c r="A410" s="7" t="s">
        <v>432</v>
      </c>
      <c r="B410" s="7" t="n">
        <v>2034.00608695652</v>
      </c>
      <c r="C410" s="7" t="n">
        <f aca="false">LN(B410/B409)*100</f>
        <v>-0.0343203964235529</v>
      </c>
      <c r="D410" s="7" t="n">
        <f aca="false">STDEV(C408:C410)</f>
        <v>1.89140636634165</v>
      </c>
      <c r="E410" s="7" t="n">
        <f aca="false">STDEV(C399:C410)</f>
        <v>2.30223975275555</v>
      </c>
    </row>
    <row r="411" customFormat="false" ht="15" hidden="false" customHeight="true" outlineLevel="0" collapsed="false">
      <c r="A411" s="7" t="s">
        <v>433</v>
      </c>
      <c r="B411" s="7" t="n">
        <v>2024.44619047619</v>
      </c>
      <c r="C411" s="7" t="n">
        <f aca="false">LN(B411/B410)*100</f>
        <v>-0.471111325614399</v>
      </c>
      <c r="D411" s="7" t="n">
        <f aca="false">STDEV(C409:C411)</f>
        <v>1.56646669747568</v>
      </c>
      <c r="E411" s="7" t="n">
        <f aca="false">STDEV(C400:C411)</f>
        <v>2.1525123435852</v>
      </c>
    </row>
    <row r="412" customFormat="false" ht="15" hidden="false" customHeight="true" outlineLevel="0" collapsed="false">
      <c r="A412" s="7" t="s">
        <v>434</v>
      </c>
      <c r="B412" s="7" t="n">
        <v>2162.34619047619</v>
      </c>
      <c r="C412" s="7" t="n">
        <f aca="false">LN(B412/B411)*100</f>
        <v>6.58976545332425</v>
      </c>
      <c r="D412" s="7" t="n">
        <f aca="false">STDEV(C410:C412)</f>
        <v>3.95654058802231</v>
      </c>
      <c r="E412" s="7" t="n">
        <f aca="false">STDEV(C401:C412)</f>
        <v>2.66651954399004</v>
      </c>
    </row>
    <row r="413" customFormat="false" ht="15" hidden="false" customHeight="true" outlineLevel="0" collapsed="false">
      <c r="A413" s="7" t="s">
        <v>435</v>
      </c>
      <c r="B413" s="7" t="n">
        <v>2333.55045454545</v>
      </c>
      <c r="C413" s="7" t="n">
        <f aca="false">LN(B413/B412)*100</f>
        <v>7.61970765032086</v>
      </c>
      <c r="D413" s="7" t="n">
        <f aca="false">STDEV(C411:C413)</f>
        <v>4.40412900049229</v>
      </c>
      <c r="E413" s="7" t="n">
        <f aca="false">STDEV(C402:C413)</f>
        <v>3.15525337345307</v>
      </c>
    </row>
    <row r="414" customFormat="false" ht="15" hidden="false" customHeight="true" outlineLevel="0" collapsed="false">
      <c r="A414" s="7" t="s">
        <v>436</v>
      </c>
      <c r="B414" s="7" t="n">
        <v>2350.59652173913</v>
      </c>
      <c r="C414" s="7" t="n">
        <f aca="false">LN(B414/B413)*100</f>
        <v>0.727822697612787</v>
      </c>
      <c r="D414" s="7" t="n">
        <f aca="false">STDEV(C412:C414)</f>
        <v>3.71755367595762</v>
      </c>
      <c r="E414" s="7" t="n">
        <f aca="false">STDEV(C403:C414)</f>
        <v>3.11201710110205</v>
      </c>
    </row>
    <row r="415" customFormat="false" ht="15" hidden="false" customHeight="true" outlineLevel="0" collapsed="false">
      <c r="A415" s="7" t="s">
        <v>437</v>
      </c>
      <c r="B415" s="7" t="n">
        <v>2328.2625</v>
      </c>
      <c r="C415" s="7" t="n">
        <f aca="false">LN(B415/B414)*100</f>
        <v>-0.95468537378427</v>
      </c>
      <c r="D415" s="7" t="n">
        <f aca="false">STDEV(C413:C415)</f>
        <v>4.54329409392757</v>
      </c>
      <c r="E415" s="7" t="n">
        <f aca="false">STDEV(C404:C415)</f>
        <v>2.98971812533074</v>
      </c>
    </row>
    <row r="416" customFormat="false" ht="15" hidden="false" customHeight="true" outlineLevel="0" collapsed="false">
      <c r="A416" s="7" t="s">
        <v>438</v>
      </c>
      <c r="B416" s="7" t="n">
        <v>2393.96217391304</v>
      </c>
      <c r="C416" s="7" t="n">
        <f aca="false">LN(B416/B415)*100</f>
        <v>2.78275253959863</v>
      </c>
      <c r="D416" s="7" t="n">
        <f aca="false">STDEV(C414:C416)</f>
        <v>1.87180893888738</v>
      </c>
      <c r="E416" s="7" t="n">
        <f aca="false">STDEV(C405:C416)</f>
        <v>2.98436199175656</v>
      </c>
    </row>
    <row r="417" customFormat="false" ht="15" hidden="false" customHeight="true" outlineLevel="0" collapsed="false">
      <c r="A417" s="7" t="s">
        <v>439</v>
      </c>
      <c r="B417" s="7" t="n">
        <v>2468.32863636363</v>
      </c>
      <c r="C417" s="7" t="n">
        <f aca="false">LN(B417/B416)*100</f>
        <v>3.0591449518211</v>
      </c>
      <c r="D417" s="7" t="n">
        <f aca="false">STDEV(C415:C417)</f>
        <v>2.24186190493064</v>
      </c>
      <c r="E417" s="7" t="n">
        <f aca="false">STDEV(C406:C417)</f>
        <v>2.8129260514119</v>
      </c>
    </row>
    <row r="418" customFormat="false" ht="15" hidden="false" customHeight="true" outlineLevel="0" collapsed="false">
      <c r="A418" s="7" t="s">
        <v>440</v>
      </c>
      <c r="B418" s="7" t="n">
        <v>2569.04904761904</v>
      </c>
      <c r="C418" s="7" t="n">
        <f aca="false">LN(B418/B417)*100</f>
        <v>3.99945538923262</v>
      </c>
      <c r="D418" s="7" t="n">
        <f aca="false">STDEV(C416:C418)</f>
        <v>0.637827341912458</v>
      </c>
      <c r="E418" s="7" t="n">
        <f aca="false">STDEV(C407:C418)</f>
        <v>2.76186360432478</v>
      </c>
    </row>
    <row r="419" customFormat="false" ht="15" hidden="false" customHeight="true" outlineLevel="0" collapsed="false">
      <c r="A419" s="7" t="s">
        <v>441</v>
      </c>
      <c r="B419" s="7" t="n">
        <v>2689.12869565217</v>
      </c>
      <c r="C419" s="7" t="n">
        <f aca="false">LN(B419/B418)*100</f>
        <v>4.56814261321882</v>
      </c>
      <c r="D419" s="7" t="n">
        <f aca="false">STDEV(C417:C419)</f>
        <v>0.762087354959384</v>
      </c>
      <c r="E419" s="7" t="n">
        <f aca="false">STDEV(C408:C419)</f>
        <v>2.70098402283225</v>
      </c>
    </row>
    <row r="420" customFormat="false" ht="15" hidden="false" customHeight="true" outlineLevel="0" collapsed="false">
      <c r="A420" s="7" t="s">
        <v>442</v>
      </c>
      <c r="B420" s="7" t="n">
        <v>2652.19952380952</v>
      </c>
      <c r="C420" s="7" t="n">
        <f aca="false">LN(B420/B419)*100</f>
        <v>-1.38279314673054</v>
      </c>
      <c r="D420" s="7" t="n">
        <f aca="false">STDEV(C418:C420)</f>
        <v>3.2839417595487</v>
      </c>
      <c r="E420" s="7" t="n">
        <f aca="false">STDEV(C409:C420)</f>
        <v>2.94136542213277</v>
      </c>
    </row>
    <row r="421" customFormat="false" ht="15" hidden="false" customHeight="true" outlineLevel="0" collapsed="false">
      <c r="A421" s="7" t="s">
        <v>443</v>
      </c>
      <c r="B421" s="7" t="n">
        <v>2640.60545454545</v>
      </c>
      <c r="C421" s="7" t="n">
        <f aca="false">LN(B421/B420)*100</f>
        <v>-0.438107500881543</v>
      </c>
      <c r="D421" s="7" t="n">
        <f aca="false">STDEV(C419:C421)</f>
        <v>3.19814028234762</v>
      </c>
      <c r="E421" s="7" t="n">
        <f aca="false">STDEV(C410:C421)</f>
        <v>3.05406167103514</v>
      </c>
    </row>
    <row r="422" customFormat="false" ht="15" hidden="false" customHeight="true" outlineLevel="0" collapsed="false">
      <c r="A422" s="7" t="s">
        <v>444</v>
      </c>
      <c r="B422" s="7" t="n">
        <v>2707.46739130434</v>
      </c>
      <c r="C422" s="7" t="n">
        <f aca="false">LN(B422/B421)*100</f>
        <v>2.50054262738362</v>
      </c>
      <c r="D422" s="7" t="n">
        <f aca="false">STDEV(C420:C422)</f>
        <v>2.02519103133263</v>
      </c>
      <c r="E422" s="7" t="n">
        <f aca="false">STDEV(C411:C422)</f>
        <v>2.97419354993852</v>
      </c>
    </row>
    <row r="423" customFormat="false" ht="15" hidden="false" customHeight="true" outlineLevel="0" collapsed="false">
      <c r="A423" s="7" t="s">
        <v>445</v>
      </c>
      <c r="B423" s="7" t="n">
        <v>2894.38</v>
      </c>
      <c r="C423" s="7" t="n">
        <f aca="false">LN(B423/B422)*100</f>
        <v>6.67572697591486</v>
      </c>
      <c r="D423" s="7" t="n">
        <f aca="false">STDEV(C421:C423)</f>
        <v>3.57478367373072</v>
      </c>
      <c r="E423" s="7" t="n">
        <f aca="false">STDEV(C412:C423)</f>
        <v>3.06481037739527</v>
      </c>
    </row>
    <row r="424" customFormat="false" ht="15" hidden="false" customHeight="true" outlineLevel="0" collapsed="false">
      <c r="A424" s="7" t="s">
        <v>446</v>
      </c>
      <c r="B424" s="7" t="n">
        <v>2986.25619047619</v>
      </c>
      <c r="C424" s="7" t="n">
        <f aca="false">LN(B424/B423)*100</f>
        <v>3.12495669089656</v>
      </c>
      <c r="D424" s="7" t="n">
        <f aca="false">STDEV(C422:C424)</f>
        <v>2.25203711055502</v>
      </c>
      <c r="E424" s="7" t="n">
        <f aca="false">STDEV(C413:C424)</f>
        <v>2.84934847074104</v>
      </c>
    </row>
    <row r="425" customFormat="false" ht="15" hidden="false" customHeight="true" outlineLevel="0" collapsed="false">
      <c r="A425" s="7" t="s">
        <v>447</v>
      </c>
      <c r="B425" s="7" t="n">
        <v>3222.01181818181</v>
      </c>
      <c r="C425" s="7" t="n">
        <f aca="false">LN(B425/B424)*100</f>
        <v>7.59854600635988</v>
      </c>
      <c r="D425" s="7" t="n">
        <f aca="false">STDEV(C423:C425)</f>
        <v>2.3619400903829</v>
      </c>
      <c r="E425" s="7" t="n">
        <f aca="false">STDEV(C414:C425)</f>
        <v>2.84602485533569</v>
      </c>
    </row>
    <row r="426" customFormat="false" ht="15" hidden="false" customHeight="true" outlineLevel="0" collapsed="false">
      <c r="A426" s="7" t="s">
        <v>448</v>
      </c>
      <c r="B426" s="7" t="n">
        <v>3288.00954545454</v>
      </c>
      <c r="C426" s="7" t="n">
        <f aca="false">LN(B426/B425)*100</f>
        <v>2.02764275958818</v>
      </c>
      <c r="D426" s="7" t="n">
        <f aca="false">STDEV(C424:C426)</f>
        <v>2.95104676942952</v>
      </c>
      <c r="E426" s="7" t="n">
        <f aca="false">STDEV(C415:C426)</f>
        <v>2.78877982535791</v>
      </c>
    </row>
    <row r="427" customFormat="false" ht="15" hidden="false" customHeight="true" outlineLevel="0" collapsed="false">
      <c r="A427" s="7" t="s">
        <v>449</v>
      </c>
      <c r="B427" s="7" t="n">
        <v>3351.85857142857</v>
      </c>
      <c r="C427" s="7" t="n">
        <f aca="false">LN(B427/B426)*100</f>
        <v>1.92326091266407</v>
      </c>
      <c r="D427" s="7" t="n">
        <f aca="false">STDEV(C425:C427)</f>
        <v>3.24691441858227</v>
      </c>
      <c r="E427" s="7" t="n">
        <f aca="false">STDEV(C416:C427)</f>
        <v>2.55039333233886</v>
      </c>
    </row>
    <row r="428" customFormat="false" ht="15" hidden="false" customHeight="true" outlineLevel="0" collapsed="false">
      <c r="A428" s="7" t="s">
        <v>450</v>
      </c>
      <c r="B428" s="7" t="n">
        <v>3341.64913043478</v>
      </c>
      <c r="C428" s="7" t="n">
        <f aca="false">LN(B428/B427)*100</f>
        <v>-0.305055267457412</v>
      </c>
      <c r="D428" s="7" t="n">
        <f aca="false">STDEV(C426:C428)</f>
        <v>1.31768538568841</v>
      </c>
      <c r="E428" s="7" t="n">
        <f aca="false">STDEV(C417:C428)</f>
        <v>2.72792427021373</v>
      </c>
    </row>
    <row r="429" customFormat="false" ht="15" hidden="false" customHeight="true" outlineLevel="0" collapsed="false">
      <c r="A429" s="7" t="s">
        <v>451</v>
      </c>
      <c r="B429" s="7" t="n">
        <v>3367.25619047619</v>
      </c>
      <c r="C429" s="7" t="n">
        <f aca="false">LN(B429/B428)*100</f>
        <v>0.763378917129707</v>
      </c>
      <c r="D429" s="7" t="n">
        <f aca="false">STDEV(C427:C429)</f>
        <v>1.11447078987819</v>
      </c>
      <c r="E429" s="7" t="n">
        <f aca="false">STDEV(C418:C429)</f>
        <v>2.78638963954445</v>
      </c>
    </row>
    <row r="430" customFormat="false" ht="15" hidden="false" customHeight="true" outlineLevel="0" collapsed="false">
      <c r="A430" s="7" t="s">
        <v>452</v>
      </c>
      <c r="B430" s="7" t="n">
        <v>3666.52363636363</v>
      </c>
      <c r="C430" s="7" t="n">
        <f aca="false">LN(B430/B429)*100</f>
        <v>8.5145749173094</v>
      </c>
      <c r="D430" s="7" t="n">
        <f aca="false">STDEV(C428:C430)</f>
        <v>4.81332296229341</v>
      </c>
      <c r="E430" s="7" t="n">
        <f aca="false">STDEV(C419:C430)</f>
        <v>3.25907254969863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453</v>
      </c>
      <c r="C1" s="1" t="s">
        <v>454</v>
      </c>
      <c r="D1" s="1" t="s">
        <v>455</v>
      </c>
      <c r="E1" s="1" t="s">
        <v>456</v>
      </c>
      <c r="F1" s="1" t="s">
        <v>457</v>
      </c>
      <c r="G1" s="1" t="s">
        <v>458</v>
      </c>
      <c r="H1" s="1" t="s">
        <v>459</v>
      </c>
      <c r="I1" s="1" t="s">
        <v>460</v>
      </c>
      <c r="J1" s="1" t="s">
        <v>461</v>
      </c>
      <c r="K1" s="1" t="s">
        <v>462</v>
      </c>
      <c r="L1" s="1" t="s">
        <v>463</v>
      </c>
      <c r="M1" s="1" t="s">
        <v>464</v>
      </c>
      <c r="N1" s="1" t="s">
        <v>465</v>
      </c>
      <c r="O1" s="1" t="s">
        <v>466</v>
      </c>
      <c r="P1" s="1" t="s">
        <v>467</v>
      </c>
    </row>
    <row r="2" customFormat="false" ht="12.75" hidden="false" customHeight="true" outlineLevel="0" collapsed="false">
      <c r="A2" s="1" t="s">
        <v>468</v>
      </c>
      <c r="C2" s="1" t="s">
        <v>469</v>
      </c>
      <c r="D2" s="1" t="s">
        <v>470</v>
      </c>
      <c r="E2" s="1" t="s">
        <v>471</v>
      </c>
      <c r="F2" s="1" t="s">
        <v>472</v>
      </c>
      <c r="G2" s="1" t="s">
        <v>473</v>
      </c>
      <c r="H2" s="1" t="s">
        <v>474</v>
      </c>
      <c r="I2" s="1" t="s">
        <v>475</v>
      </c>
      <c r="J2" s="1" t="s">
        <v>476</v>
      </c>
      <c r="K2" s="1" t="s">
        <v>477</v>
      </c>
      <c r="L2" s="1" t="s">
        <v>478</v>
      </c>
      <c r="M2" s="1" t="s">
        <v>479</v>
      </c>
      <c r="N2" s="1" t="s">
        <v>480</v>
      </c>
      <c r="O2" s="1" t="s">
        <v>481</v>
      </c>
      <c r="P2" s="1" t="s">
        <v>469</v>
      </c>
    </row>
    <row r="3" customFormat="false" ht="12.75" hidden="false" customHeight="true" outlineLevel="0" collapsed="false">
      <c r="A3" s="1" t="s">
        <v>482</v>
      </c>
      <c r="C3" s="1" t="s">
        <v>483</v>
      </c>
      <c r="D3" s="1" t="s">
        <v>483</v>
      </c>
      <c r="E3" s="1" t="s">
        <v>483</v>
      </c>
      <c r="F3" s="1" t="s">
        <v>483</v>
      </c>
      <c r="G3" s="1" t="s">
        <v>484</v>
      </c>
      <c r="H3" s="1" t="s">
        <v>483</v>
      </c>
      <c r="I3" s="1" t="s">
        <v>483</v>
      </c>
      <c r="J3" s="1" t="s">
        <v>483</v>
      </c>
      <c r="K3" s="1" t="s">
        <v>483</v>
      </c>
      <c r="L3" s="1" t="s">
        <v>484</v>
      </c>
      <c r="M3" s="1" t="s">
        <v>484</v>
      </c>
      <c r="N3" s="1" t="s">
        <v>483</v>
      </c>
      <c r="O3" s="1" t="s">
        <v>485</v>
      </c>
      <c r="P3" s="1" t="s">
        <v>484</v>
      </c>
    </row>
    <row r="4" customFormat="false" ht="12.75" hidden="false" customHeight="true" outlineLevel="0" collapsed="false">
      <c r="A4" s="1" t="s">
        <v>486</v>
      </c>
      <c r="C4" s="1" t="s">
        <v>487</v>
      </c>
      <c r="D4" s="1" t="s">
        <v>488</v>
      </c>
      <c r="E4" s="1" t="s">
        <v>489</v>
      </c>
      <c r="F4" s="1" t="s">
        <v>490</v>
      </c>
      <c r="G4" s="1" t="s">
        <v>491</v>
      </c>
      <c r="H4" s="1" t="s">
        <v>492</v>
      </c>
      <c r="I4" s="1" t="s">
        <v>493</v>
      </c>
      <c r="J4" s="1" t="s">
        <v>494</v>
      </c>
      <c r="K4" s="1" t="s">
        <v>495</v>
      </c>
      <c r="L4" s="1" t="s">
        <v>496</v>
      </c>
      <c r="M4" s="1" t="s">
        <v>497</v>
      </c>
      <c r="N4" s="1" t="s">
        <v>498</v>
      </c>
      <c r="O4" s="1" t="s">
        <v>499</v>
      </c>
      <c r="P4" s="1" t="s">
        <v>500</v>
      </c>
    </row>
    <row r="5" customFormat="false" ht="12.75" hidden="false" customHeight="true" outlineLevel="0" collapsed="false">
      <c r="A5" s="1" t="s">
        <v>501</v>
      </c>
      <c r="C5" s="1" t="s">
        <v>502</v>
      </c>
      <c r="D5" s="1" t="s">
        <v>502</v>
      </c>
      <c r="E5" s="1" t="s">
        <v>502</v>
      </c>
      <c r="F5" s="1" t="s">
        <v>502</v>
      </c>
      <c r="G5" s="1" t="s">
        <v>502</v>
      </c>
      <c r="H5" s="1" t="s">
        <v>502</v>
      </c>
      <c r="I5" s="1" t="s">
        <v>502</v>
      </c>
      <c r="J5" s="1" t="s">
        <v>502</v>
      </c>
      <c r="K5" s="1" t="s">
        <v>502</v>
      </c>
      <c r="L5" s="1" t="s">
        <v>502</v>
      </c>
      <c r="M5" s="1" t="s">
        <v>502</v>
      </c>
      <c r="N5" s="1" t="s">
        <v>502</v>
      </c>
      <c r="O5" s="1" t="s">
        <v>502</v>
      </c>
      <c r="P5" s="1" t="s">
        <v>502</v>
      </c>
    </row>
    <row r="6" customFormat="false" ht="12.75" hidden="false" customHeight="true" outlineLevel="0" collapsed="false">
      <c r="A6" s="1" t="s">
        <v>503</v>
      </c>
      <c r="C6" s="1" t="s">
        <v>504</v>
      </c>
      <c r="D6" s="1" t="s">
        <v>505</v>
      </c>
      <c r="E6" s="1" t="s">
        <v>506</v>
      </c>
      <c r="F6" s="1" t="s">
        <v>507</v>
      </c>
      <c r="G6" s="1" t="s">
        <v>508</v>
      </c>
      <c r="H6" s="1" t="s">
        <v>509</v>
      </c>
      <c r="I6" s="1" t="s">
        <v>510</v>
      </c>
      <c r="J6" s="1" t="s">
        <v>511</v>
      </c>
      <c r="K6" s="1" t="s">
        <v>512</v>
      </c>
      <c r="L6" s="1" t="s">
        <v>513</v>
      </c>
      <c r="M6" s="1" t="s">
        <v>514</v>
      </c>
      <c r="N6" s="1" t="s">
        <v>515</v>
      </c>
      <c r="O6" s="1" t="s">
        <v>516</v>
      </c>
      <c r="P6" s="1" t="s">
        <v>517</v>
      </c>
    </row>
    <row r="7" customFormat="false" ht="12.75" hidden="false" customHeight="true" outlineLevel="0" collapsed="false">
      <c r="A7" s="1" t="s">
        <v>518</v>
      </c>
      <c r="C7" s="1" t="s">
        <v>519</v>
      </c>
      <c r="D7" s="1" t="s">
        <v>519</v>
      </c>
      <c r="E7" s="1" t="s">
        <v>519</v>
      </c>
      <c r="F7" s="1" t="s">
        <v>519</v>
      </c>
      <c r="G7" s="1" t="s">
        <v>519</v>
      </c>
      <c r="H7" s="1" t="s">
        <v>519</v>
      </c>
      <c r="I7" s="1" t="s">
        <v>519</v>
      </c>
      <c r="J7" s="1" t="s">
        <v>519</v>
      </c>
      <c r="K7" s="1" t="s">
        <v>519</v>
      </c>
      <c r="L7" s="1" t="s">
        <v>520</v>
      </c>
      <c r="M7" s="1" t="s">
        <v>519</v>
      </c>
      <c r="N7" s="1" t="s">
        <v>519</v>
      </c>
      <c r="O7" s="1" t="s">
        <v>519</v>
      </c>
      <c r="P7" s="1" t="s">
        <v>521</v>
      </c>
    </row>
    <row r="8" customFormat="false" ht="12.75" hidden="false" customHeight="true" outlineLevel="0" collapsed="false">
      <c r="A8" s="1" t="s">
        <v>522</v>
      </c>
      <c r="C8" s="1" t="s">
        <v>523</v>
      </c>
      <c r="D8" s="1" t="s">
        <v>524</v>
      </c>
      <c r="E8" s="1" t="s">
        <v>525</v>
      </c>
      <c r="F8" s="1" t="s">
        <v>526</v>
      </c>
      <c r="G8" s="1" t="s">
        <v>527</v>
      </c>
      <c r="H8" s="1" t="s">
        <v>528</v>
      </c>
      <c r="I8" s="1" t="s">
        <v>529</v>
      </c>
      <c r="J8" s="1" t="s">
        <v>530</v>
      </c>
      <c r="K8" s="1" t="s">
        <v>531</v>
      </c>
      <c r="L8" s="1" t="s">
        <v>532</v>
      </c>
      <c r="M8" s="1" t="s">
        <v>533</v>
      </c>
      <c r="N8" s="1" t="s">
        <v>534</v>
      </c>
      <c r="O8" s="1" t="s">
        <v>535</v>
      </c>
      <c r="P8" s="1" t="s">
        <v>536</v>
      </c>
    </row>
    <row r="9" customFormat="false" ht="12.75" hidden="false" customHeight="true" outlineLevel="0" collapsed="false">
      <c r="A9" s="1" t="s">
        <v>537</v>
      </c>
      <c r="C9" s="1" t="s">
        <v>538</v>
      </c>
      <c r="D9" s="1" t="s">
        <v>539</v>
      </c>
      <c r="E9" s="1" t="s">
        <v>540</v>
      </c>
      <c r="F9" s="1" t="s">
        <v>541</v>
      </c>
      <c r="G9" s="1" t="s">
        <v>542</v>
      </c>
      <c r="H9" s="1" t="s">
        <v>543</v>
      </c>
      <c r="I9" s="1" t="s">
        <v>544</v>
      </c>
      <c r="J9" s="1" t="s">
        <v>545</v>
      </c>
      <c r="K9" s="1" t="s">
        <v>546</v>
      </c>
      <c r="L9" s="1" t="s">
        <v>547</v>
      </c>
      <c r="M9" s="1" t="s">
        <v>548</v>
      </c>
      <c r="N9" s="1" t="s">
        <v>549</v>
      </c>
      <c r="O9" s="1" t="s">
        <v>550</v>
      </c>
      <c r="P9" s="1" t="s">
        <v>551</v>
      </c>
    </row>
    <row r="10" customFormat="false" ht="12.75" hidden="false" customHeight="true" outlineLevel="0" collapsed="false">
      <c r="A10" s="1" t="s">
        <v>552</v>
      </c>
      <c r="B10" s="8" t="n">
        <v>43100</v>
      </c>
      <c r="C10" s="4" t="n">
        <v>2314.1</v>
      </c>
      <c r="D10" s="4" t="n">
        <v>7315.3</v>
      </c>
      <c r="E10" s="6" t="n">
        <v>3039.26</v>
      </c>
      <c r="F10" s="5" t="n">
        <v>30997</v>
      </c>
      <c r="G10" s="6" t="n">
        <v>2176.49</v>
      </c>
      <c r="H10" s="6" t="n">
        <v>2803.26</v>
      </c>
      <c r="I10" s="6" t="n">
        <v>28076.87</v>
      </c>
      <c r="J10" s="6" t="n">
        <v>147973.78</v>
      </c>
      <c r="K10" s="6" t="n">
        <v>4629.67</v>
      </c>
      <c r="L10" s="6" t="n">
        <v>9961.9</v>
      </c>
      <c r="M10" s="6" t="n">
        <v>1015.84</v>
      </c>
      <c r="N10" s="4" t="n">
        <v>4461.7</v>
      </c>
      <c r="O10" s="6" t="n">
        <v>18822.26</v>
      </c>
      <c r="P10" s="5" t="n">
        <v>394358</v>
      </c>
    </row>
    <row r="11" customFormat="false" ht="12.75" hidden="false" customHeight="true" outlineLevel="0" collapsed="false">
      <c r="A11" s="1" t="s">
        <v>553</v>
      </c>
      <c r="B11" s="8" t="n">
        <v>43465</v>
      </c>
      <c r="C11" s="4" t="n">
        <v>2259.3</v>
      </c>
      <c r="D11" s="4" t="n">
        <v>7157.6</v>
      </c>
      <c r="E11" s="6" t="n">
        <v>3288.83</v>
      </c>
      <c r="F11" s="5" t="n">
        <v>30927</v>
      </c>
      <c r="G11" s="6" t="n">
        <v>2155.46</v>
      </c>
      <c r="H11" s="6" t="n">
        <v>2995.18</v>
      </c>
      <c r="I11" s="6" t="n">
        <v>27081.41</v>
      </c>
      <c r="J11" s="6" t="n">
        <v>142512.29</v>
      </c>
      <c r="K11" s="6" t="n">
        <v>4372.76</v>
      </c>
      <c r="L11" s="6" t="n">
        <v>11261.85</v>
      </c>
      <c r="M11" s="6" t="n">
        <v>1202.38</v>
      </c>
      <c r="N11" s="4" t="n">
        <v>5774.6</v>
      </c>
      <c r="O11" s="6" t="n">
        <v>19995.66</v>
      </c>
      <c r="P11" s="5" t="n">
        <v>439752</v>
      </c>
    </row>
    <row r="12" customFormat="false" ht="12.75" hidden="false" customHeight="true" outlineLevel="0" collapsed="false">
      <c r="A12" s="1" t="s">
        <v>554</v>
      </c>
      <c r="B12" s="8" t="n">
        <v>43830</v>
      </c>
      <c r="C12" s="4" t="n">
        <v>2849.7</v>
      </c>
      <c r="D12" s="4" t="n">
        <v>9393.5</v>
      </c>
      <c r="E12" s="6" t="n">
        <v>3505.85</v>
      </c>
      <c r="F12" s="5" t="n">
        <v>28958</v>
      </c>
      <c r="G12" s="6" t="n">
        <v>2424.11</v>
      </c>
      <c r="H12" s="6" t="n">
        <v>3059.63</v>
      </c>
      <c r="I12" s="6" t="n">
        <v>29172.14</v>
      </c>
      <c r="J12" s="6" t="n">
        <v>149855.13</v>
      </c>
      <c r="K12" s="6" t="n">
        <v>4478.45</v>
      </c>
      <c r="L12" s="6" t="n">
        <v>13378.48</v>
      </c>
      <c r="M12" s="6" t="n">
        <v>1529.22</v>
      </c>
      <c r="N12" s="4" t="n">
        <v>5082.4</v>
      </c>
      <c r="O12" s="6" t="n">
        <v>20775.42</v>
      </c>
      <c r="P12" s="5" t="n">
        <v>487644</v>
      </c>
    </row>
    <row r="13" customFormat="false" ht="12.75" hidden="false" customHeight="true" outlineLevel="0" collapsed="false">
      <c r="A13" s="1" t="s">
        <v>555</v>
      </c>
      <c r="B13" s="8" t="n">
        <v>44196</v>
      </c>
      <c r="C13" s="4" t="n">
        <v>2615.5</v>
      </c>
      <c r="D13" s="4" t="n">
        <v>7468.5</v>
      </c>
      <c r="E13" s="6" t="n">
        <v>3910.75</v>
      </c>
      <c r="F13" s="5" t="n">
        <v>35638</v>
      </c>
      <c r="G13" s="6" t="n">
        <v>2808.11</v>
      </c>
      <c r="H13" s="6" t="n">
        <v>3783.54</v>
      </c>
      <c r="I13" s="6" t="n">
        <v>34903.99</v>
      </c>
      <c r="J13" s="6" t="n">
        <v>166121.4</v>
      </c>
      <c r="K13" s="6" t="n">
        <v>5273.58</v>
      </c>
      <c r="L13" s="6" t="n">
        <v>13491.66</v>
      </c>
      <c r="M13" s="6" t="n">
        <v>2135.02</v>
      </c>
      <c r="N13" s="4" t="n">
        <v>4832.4</v>
      </c>
      <c r="O13" s="6" t="n">
        <v>23258.55</v>
      </c>
      <c r="P13" s="5" t="n">
        <v>579719</v>
      </c>
    </row>
    <row r="14" customFormat="false" ht="12.75" hidden="false" customHeight="true" outlineLevel="0" collapsed="false">
      <c r="A14" s="1" t="s">
        <v>556</v>
      </c>
      <c r="B14" s="8" t="n">
        <v>44561</v>
      </c>
      <c r="C14" s="4" t="n">
        <v>3229.9</v>
      </c>
      <c r="D14" s="4" t="n">
        <v>8425</v>
      </c>
      <c r="E14" s="6" t="n">
        <v>4272.55</v>
      </c>
      <c r="F14" s="5" t="n">
        <v>34378</v>
      </c>
      <c r="G14" s="6" t="n">
        <v>2977.56</v>
      </c>
      <c r="H14" s="6" t="n">
        <v>3901.88</v>
      </c>
      <c r="I14" s="6" t="n">
        <v>35139.18</v>
      </c>
      <c r="J14" s="6" t="n">
        <v>173613.03</v>
      </c>
      <c r="K14" s="6" t="n">
        <v>5486.97</v>
      </c>
      <c r="L14" s="6" t="n">
        <v>16454.51</v>
      </c>
      <c r="M14" s="6" t="n">
        <v>1982.13</v>
      </c>
      <c r="N14" s="4" t="n">
        <v>5576.8</v>
      </c>
      <c r="O14" s="6" t="n">
        <v>28311.94</v>
      </c>
      <c r="P14" s="5" t="n">
        <v>674162</v>
      </c>
    </row>
    <row r="15" customFormat="false" ht="12.75" hidden="false" customHeight="true" outlineLevel="0" collapsed="false">
      <c r="A15" s="1" t="s">
        <v>557</v>
      </c>
      <c r="B15" s="8" t="n">
        <v>44926</v>
      </c>
      <c r="C15" s="4" t="n">
        <v>4111.8</v>
      </c>
      <c r="D15" s="4" t="n">
        <v>7929.5</v>
      </c>
      <c r="E15" s="6" t="n">
        <v>4901.53</v>
      </c>
      <c r="F15" s="5" t="n">
        <v>35076</v>
      </c>
      <c r="G15" s="6" t="n">
        <v>2798.09</v>
      </c>
      <c r="H15" s="6" t="n">
        <v>4474.17</v>
      </c>
      <c r="I15" s="6" t="n">
        <v>35767.5</v>
      </c>
      <c r="J15" s="6" t="n">
        <v>139982.33</v>
      </c>
      <c r="K15" s="6" t="n">
        <v>4476.04</v>
      </c>
      <c r="L15" s="6" t="n">
        <v>19415.65</v>
      </c>
      <c r="M15" s="6" t="n">
        <v>2042.13</v>
      </c>
      <c r="N15" s="4" t="n">
        <v>5385.8</v>
      </c>
      <c r="O15" s="6" t="n">
        <v>29733.46</v>
      </c>
      <c r="P15" s="5" t="n">
        <v>733758</v>
      </c>
    </row>
    <row r="16" customFormat="false" ht="12.75" hidden="false" customHeight="true" outlineLevel="0" collapsed="false">
      <c r="A16" s="1" t="s">
        <v>558</v>
      </c>
      <c r="B16" s="8" t="n">
        <v>45291</v>
      </c>
      <c r="C16" s="4" t="n">
        <v>3607.6</v>
      </c>
      <c r="D16" s="4" t="n">
        <v>8127.4</v>
      </c>
      <c r="E16" s="6" t="n">
        <v>5009.6</v>
      </c>
      <c r="F16" s="5" t="n">
        <v>35944</v>
      </c>
      <c r="G16" s="6" t="n">
        <v>3236.48</v>
      </c>
      <c r="H16" s="6" t="n">
        <v>5453.14</v>
      </c>
      <c r="I16" s="6" t="n">
        <v>34564.65</v>
      </c>
      <c r="J16" s="6" t="n">
        <v>148378.86</v>
      </c>
      <c r="K16" s="6" t="n">
        <v>4963.52</v>
      </c>
      <c r="L16" s="6" t="n">
        <v>24909.1</v>
      </c>
      <c r="M16" s="6" t="n">
        <v>1574.6</v>
      </c>
      <c r="N16" s="4" t="n">
        <v>6197.5</v>
      </c>
      <c r="P16" s="5" t="n">
        <v>762651</v>
      </c>
    </row>
    <row r="17" customFormat="false" ht="12.75" hidden="false" customHeight="true" outlineLevel="0" collapsed="false">
      <c r="A17" s="1" t="s">
        <v>559</v>
      </c>
      <c r="B17" s="8" t="n">
        <v>45657</v>
      </c>
      <c r="C17" s="4" t="n">
        <v>3685.3</v>
      </c>
      <c r="D17" s="4" t="n">
        <v>8922.6</v>
      </c>
      <c r="E17" s="6" t="n">
        <v>4448.55</v>
      </c>
      <c r="F17" s="5" t="n">
        <v>45823</v>
      </c>
      <c r="G17" s="6" t="n">
        <v>5088.08</v>
      </c>
      <c r="H17" s="6" t="n">
        <v>5483.57</v>
      </c>
      <c r="I17" s="6" t="n">
        <v>41181.64</v>
      </c>
      <c r="J17" s="6" t="n">
        <v>146285.64</v>
      </c>
      <c r="K17" s="6" t="n">
        <v>5121.67</v>
      </c>
      <c r="L17" s="6" t="n">
        <v>29294.57</v>
      </c>
      <c r="M17" s="6" t="n">
        <v>1742.94</v>
      </c>
      <c r="N17" s="4" t="n">
        <v>7404.1</v>
      </c>
      <c r="P17" s="5" t="n">
        <v>915250</v>
      </c>
    </row>
    <row r="18" customFormat="false" ht="12.75" hidden="false" customHeight="true" outlineLevel="0" collapsed="false">
      <c r="A18" s="1" t="s">
        <v>560</v>
      </c>
      <c r="B18" s="8" t="n">
        <v>46022</v>
      </c>
      <c r="C18" s="4" t="n">
        <v>5086.3</v>
      </c>
      <c r="D18" s="4" t="n">
        <v>14425.9</v>
      </c>
      <c r="E18" s="6" t="n">
        <v>6158.7</v>
      </c>
      <c r="F18" s="5" t="n">
        <v>65727</v>
      </c>
      <c r="H18" s="6" t="n">
        <v>5999.34</v>
      </c>
      <c r="I18" s="6" t="n">
        <v>66311.75</v>
      </c>
      <c r="J18" s="6" t="n">
        <v>175830.49</v>
      </c>
      <c r="K18" s="6" t="n">
        <v>6076.9</v>
      </c>
      <c r="N18" s="4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453</v>
      </c>
      <c r="C1" s="1" t="s">
        <v>561</v>
      </c>
      <c r="D1" s="1" t="s">
        <v>562</v>
      </c>
      <c r="E1" s="1" t="s">
        <v>563</v>
      </c>
      <c r="F1" s="1" t="s">
        <v>564</v>
      </c>
      <c r="G1" s="1" t="s">
        <v>565</v>
      </c>
      <c r="H1" s="1" t="s">
        <v>566</v>
      </c>
      <c r="I1" s="1" t="s">
        <v>567</v>
      </c>
      <c r="J1" s="1" t="s">
        <v>568</v>
      </c>
      <c r="K1" s="1" t="s">
        <v>569</v>
      </c>
      <c r="L1" s="1" t="s">
        <v>570</v>
      </c>
      <c r="M1" s="1" t="s">
        <v>571</v>
      </c>
      <c r="N1" s="1" t="s">
        <v>572</v>
      </c>
      <c r="O1" s="1" t="s">
        <v>573</v>
      </c>
      <c r="P1" s="1" t="s">
        <v>574</v>
      </c>
      <c r="Q1" s="1" t="s">
        <v>575</v>
      </c>
      <c r="R1" s="1" t="s">
        <v>576</v>
      </c>
    </row>
    <row r="2" customFormat="false" ht="12.75" hidden="false" customHeight="true" outlineLevel="0" collapsed="false">
      <c r="A2" s="1" t="s">
        <v>468</v>
      </c>
      <c r="C2" s="1" t="s">
        <v>469</v>
      </c>
      <c r="D2" s="1" t="s">
        <v>470</v>
      </c>
      <c r="E2" s="1" t="s">
        <v>577</v>
      </c>
      <c r="F2" s="1" t="s">
        <v>471</v>
      </c>
      <c r="G2" s="1" t="s">
        <v>472</v>
      </c>
      <c r="H2" s="1" t="s">
        <v>578</v>
      </c>
      <c r="I2" s="1" t="s">
        <v>579</v>
      </c>
      <c r="J2" s="1" t="s">
        <v>474</v>
      </c>
      <c r="K2" s="1" t="s">
        <v>480</v>
      </c>
      <c r="L2" s="1" t="s">
        <v>469</v>
      </c>
      <c r="M2" s="1" t="s">
        <v>475</v>
      </c>
      <c r="N2" s="1" t="s">
        <v>476</v>
      </c>
      <c r="O2" s="1" t="s">
        <v>477</v>
      </c>
      <c r="P2" s="1" t="s">
        <v>580</v>
      </c>
      <c r="Q2" s="1" t="s">
        <v>581</v>
      </c>
      <c r="R2" s="1" t="s">
        <v>469</v>
      </c>
    </row>
    <row r="3" customFormat="false" ht="12.75" hidden="false" customHeight="true" outlineLevel="0" collapsed="false">
      <c r="A3" s="1" t="s">
        <v>482</v>
      </c>
      <c r="C3" s="1" t="s">
        <v>484</v>
      </c>
      <c r="D3" s="1" t="s">
        <v>483</v>
      </c>
      <c r="E3" s="1" t="s">
        <v>484</v>
      </c>
      <c r="F3" s="1" t="s">
        <v>483</v>
      </c>
      <c r="G3" s="1" t="s">
        <v>484</v>
      </c>
      <c r="H3" s="1" t="s">
        <v>484</v>
      </c>
      <c r="I3" s="1" t="s">
        <v>484</v>
      </c>
      <c r="J3" s="1" t="s">
        <v>483</v>
      </c>
      <c r="K3" s="1" t="s">
        <v>484</v>
      </c>
      <c r="L3" s="1" t="s">
        <v>483</v>
      </c>
      <c r="M3" s="1" t="s">
        <v>483</v>
      </c>
      <c r="N3" s="1" t="s">
        <v>483</v>
      </c>
      <c r="O3" s="1" t="s">
        <v>483</v>
      </c>
      <c r="P3" s="1" t="s">
        <v>484</v>
      </c>
      <c r="Q3" s="1" t="s">
        <v>483</v>
      </c>
      <c r="R3" s="1" t="s">
        <v>484</v>
      </c>
    </row>
    <row r="4" customFormat="false" ht="12.75" hidden="false" customHeight="true" outlineLevel="0" collapsed="false">
      <c r="A4" s="1" t="s">
        <v>486</v>
      </c>
      <c r="C4" s="1" t="s">
        <v>487</v>
      </c>
      <c r="D4" s="1" t="s">
        <v>488</v>
      </c>
      <c r="E4" s="1" t="s">
        <v>582</v>
      </c>
      <c r="F4" s="1" t="s">
        <v>489</v>
      </c>
      <c r="G4" s="1" t="s">
        <v>490</v>
      </c>
      <c r="H4" s="1" t="s">
        <v>491</v>
      </c>
      <c r="I4" s="1" t="s">
        <v>583</v>
      </c>
      <c r="J4" s="1" t="s">
        <v>492</v>
      </c>
      <c r="K4" s="1" t="s">
        <v>584</v>
      </c>
      <c r="L4" s="1" t="s">
        <v>585</v>
      </c>
      <c r="M4" s="1" t="s">
        <v>493</v>
      </c>
      <c r="N4" s="1" t="s">
        <v>494</v>
      </c>
      <c r="O4" s="1" t="s">
        <v>495</v>
      </c>
      <c r="P4" s="1" t="s">
        <v>496</v>
      </c>
      <c r="Q4" s="1" t="s">
        <v>498</v>
      </c>
      <c r="R4" s="1" t="s">
        <v>500</v>
      </c>
    </row>
    <row r="5" customFormat="false" ht="12.75" hidden="false" customHeight="true" outlineLevel="0" collapsed="false">
      <c r="A5" s="1" t="s">
        <v>501</v>
      </c>
      <c r="C5" s="1" t="s">
        <v>502</v>
      </c>
      <c r="D5" s="1" t="s">
        <v>502</v>
      </c>
      <c r="E5" s="1" t="s">
        <v>502</v>
      </c>
      <c r="F5" s="1" t="s">
        <v>502</v>
      </c>
      <c r="G5" s="1" t="s">
        <v>502</v>
      </c>
      <c r="H5" s="1" t="s">
        <v>502</v>
      </c>
      <c r="I5" s="1" t="s">
        <v>502</v>
      </c>
      <c r="J5" s="1" t="s">
        <v>502</v>
      </c>
      <c r="K5" s="1" t="s">
        <v>502</v>
      </c>
      <c r="L5" s="1" t="s">
        <v>502</v>
      </c>
      <c r="M5" s="1" t="s">
        <v>502</v>
      </c>
      <c r="N5" s="1" t="s">
        <v>502</v>
      </c>
      <c r="O5" s="1" t="s">
        <v>502</v>
      </c>
      <c r="P5" s="1" t="s">
        <v>502</v>
      </c>
      <c r="Q5" s="1" t="s">
        <v>502</v>
      </c>
      <c r="R5" s="1" t="s">
        <v>502</v>
      </c>
    </row>
    <row r="6" customFormat="false" ht="12.75" hidden="false" customHeight="true" outlineLevel="0" collapsed="false">
      <c r="A6" s="1" t="s">
        <v>503</v>
      </c>
      <c r="C6" s="1" t="s">
        <v>586</v>
      </c>
      <c r="D6" s="1" t="s">
        <v>505</v>
      </c>
      <c r="E6" s="1" t="s">
        <v>587</v>
      </c>
      <c r="F6" s="1" t="s">
        <v>506</v>
      </c>
      <c r="G6" s="1" t="s">
        <v>588</v>
      </c>
      <c r="H6" s="1" t="s">
        <v>589</v>
      </c>
      <c r="I6" s="1" t="s">
        <v>590</v>
      </c>
      <c r="J6" s="1" t="s">
        <v>509</v>
      </c>
      <c r="K6" s="1" t="s">
        <v>591</v>
      </c>
      <c r="L6" s="1" t="s">
        <v>592</v>
      </c>
      <c r="M6" s="1" t="s">
        <v>510</v>
      </c>
      <c r="N6" s="1" t="s">
        <v>511</v>
      </c>
      <c r="O6" s="1" t="s">
        <v>512</v>
      </c>
      <c r="P6" s="1" t="s">
        <v>513</v>
      </c>
      <c r="Q6" s="1" t="s">
        <v>515</v>
      </c>
      <c r="R6" s="1" t="s">
        <v>517</v>
      </c>
    </row>
    <row r="7" customFormat="false" ht="12.75" hidden="false" customHeight="true" outlineLevel="0" collapsed="false">
      <c r="A7" s="1" t="s">
        <v>518</v>
      </c>
      <c r="C7" s="1" t="s">
        <v>519</v>
      </c>
      <c r="D7" s="1" t="s">
        <v>519</v>
      </c>
      <c r="E7" s="1" t="s">
        <v>519</v>
      </c>
      <c r="F7" s="1" t="s">
        <v>519</v>
      </c>
      <c r="G7" s="1" t="s">
        <v>519</v>
      </c>
      <c r="H7" s="1" t="s">
        <v>519</v>
      </c>
      <c r="I7" s="1" t="s">
        <v>519</v>
      </c>
      <c r="J7" s="1" t="s">
        <v>519</v>
      </c>
      <c r="K7" s="1" t="s">
        <v>519</v>
      </c>
      <c r="L7" s="1" t="s">
        <v>519</v>
      </c>
      <c r="M7" s="1" t="s">
        <v>519</v>
      </c>
      <c r="N7" s="1" t="s">
        <v>519</v>
      </c>
      <c r="O7" s="1" t="s">
        <v>519</v>
      </c>
      <c r="P7" s="1" t="s">
        <v>520</v>
      </c>
      <c r="Q7" s="1" t="s">
        <v>519</v>
      </c>
      <c r="R7" s="1" t="s">
        <v>521</v>
      </c>
    </row>
    <row r="8" customFormat="false" ht="12.75" hidden="false" customHeight="true" outlineLevel="0" collapsed="false">
      <c r="A8" s="1" t="s">
        <v>522</v>
      </c>
      <c r="C8" s="1" t="s">
        <v>523</v>
      </c>
      <c r="D8" s="1" t="s">
        <v>524</v>
      </c>
      <c r="E8" s="1" t="s">
        <v>593</v>
      </c>
      <c r="F8" s="1" t="s">
        <v>525</v>
      </c>
      <c r="G8" s="1" t="s">
        <v>526</v>
      </c>
      <c r="H8" s="1" t="s">
        <v>594</v>
      </c>
      <c r="I8" s="1" t="s">
        <v>595</v>
      </c>
      <c r="J8" s="1" t="s">
        <v>528</v>
      </c>
      <c r="K8" s="1" t="s">
        <v>596</v>
      </c>
      <c r="L8" s="1" t="s">
        <v>597</v>
      </c>
      <c r="M8" s="1" t="s">
        <v>529</v>
      </c>
      <c r="N8" s="1" t="s">
        <v>530</v>
      </c>
      <c r="O8" s="1" t="s">
        <v>531</v>
      </c>
      <c r="P8" s="1" t="s">
        <v>532</v>
      </c>
      <c r="Q8" s="1" t="s">
        <v>534</v>
      </c>
      <c r="R8" s="1" t="s">
        <v>536</v>
      </c>
    </row>
    <row r="9" customFormat="false" ht="12.75" hidden="false" customHeight="true" outlineLevel="0" collapsed="false">
      <c r="A9" s="1" t="s">
        <v>537</v>
      </c>
      <c r="C9" s="1" t="s">
        <v>538</v>
      </c>
      <c r="D9" s="1" t="s">
        <v>539</v>
      </c>
      <c r="E9" s="1" t="s">
        <v>598</v>
      </c>
      <c r="F9" s="1" t="s">
        <v>540</v>
      </c>
      <c r="G9" s="1" t="s">
        <v>541</v>
      </c>
      <c r="H9" s="1" t="s">
        <v>542</v>
      </c>
      <c r="I9" s="1" t="s">
        <v>599</v>
      </c>
      <c r="J9" s="1" t="s">
        <v>543</v>
      </c>
      <c r="K9" s="1" t="s">
        <v>600</v>
      </c>
      <c r="L9" s="1" t="s">
        <v>601</v>
      </c>
      <c r="M9" s="1" t="s">
        <v>544</v>
      </c>
      <c r="N9" s="1" t="s">
        <v>545</v>
      </c>
      <c r="O9" s="1" t="s">
        <v>546</v>
      </c>
      <c r="P9" s="1" t="s">
        <v>547</v>
      </c>
      <c r="Q9" s="1" t="s">
        <v>549</v>
      </c>
      <c r="R9" s="1" t="s">
        <v>551</v>
      </c>
    </row>
    <row r="10" customFormat="false" ht="12.75" hidden="false" customHeight="true" outlineLevel="0" collapsed="false">
      <c r="A10" s="1" t="s">
        <v>552</v>
      </c>
      <c r="B10" s="8" t="n">
        <v>43100</v>
      </c>
      <c r="C10" s="4" t="n">
        <v>0</v>
      </c>
      <c r="D10" s="4" t="n">
        <v>1939.9</v>
      </c>
      <c r="E10" s="6" t="n">
        <v>65.8</v>
      </c>
      <c r="F10" s="5" t="n">
        <v>0</v>
      </c>
      <c r="G10" s="5" t="n">
        <v>12498</v>
      </c>
      <c r="H10" s="6" t="n">
        <v>289.61</v>
      </c>
      <c r="I10" s="6" t="n">
        <v>1689.71</v>
      </c>
      <c r="J10" s="6" t="n">
        <v>3.08</v>
      </c>
      <c r="K10" s="4" t="n">
        <v>76647</v>
      </c>
      <c r="L10" s="6" t="n">
        <v>1060.65</v>
      </c>
      <c r="M10" s="6" t="n">
        <v>14034.06</v>
      </c>
      <c r="N10" s="6" t="n">
        <v>393.44</v>
      </c>
      <c r="O10" s="6" t="n">
        <v>277.54</v>
      </c>
      <c r="P10" s="6" t="n">
        <v>675.1</v>
      </c>
      <c r="Q10" s="4" t="n">
        <v>243.4</v>
      </c>
      <c r="R10" s="5" t="n">
        <v>14942</v>
      </c>
    </row>
    <row r="11" customFormat="false" ht="12.75" hidden="false" customHeight="true" outlineLevel="0" collapsed="false">
      <c r="A11" s="1" t="s">
        <v>553</v>
      </c>
      <c r="B11" s="8" t="n">
        <v>43465</v>
      </c>
      <c r="C11" s="4" t="n">
        <v>0</v>
      </c>
      <c r="D11" s="4" t="n">
        <v>1934.7</v>
      </c>
      <c r="E11" s="6" t="n">
        <v>64.87</v>
      </c>
      <c r="F11" s="5" t="n">
        <v>0</v>
      </c>
      <c r="G11" s="5" t="n">
        <v>14391</v>
      </c>
      <c r="H11" s="6" t="n">
        <v>460.3</v>
      </c>
      <c r="I11" s="6" t="n">
        <v>1668.23</v>
      </c>
      <c r="J11" s="6" t="n">
        <v>3.01</v>
      </c>
      <c r="K11" s="4" t="n">
        <v>86902.8</v>
      </c>
      <c r="L11" s="6" t="n">
        <v>1002.22</v>
      </c>
      <c r="M11" s="6" t="n">
        <v>14640.75</v>
      </c>
      <c r="N11" s="6" t="n">
        <v>361.31</v>
      </c>
      <c r="O11" s="6" t="n">
        <v>274.02</v>
      </c>
      <c r="P11" s="6" t="n">
        <v>736.16</v>
      </c>
      <c r="Q11" s="4" t="n">
        <v>240.3</v>
      </c>
      <c r="R11" s="5" t="n">
        <v>19928</v>
      </c>
    </row>
    <row r="12" customFormat="false" ht="12.75" hidden="false" customHeight="true" outlineLevel="0" collapsed="false">
      <c r="A12" s="1" t="s">
        <v>554</v>
      </c>
      <c r="B12" s="8" t="n">
        <v>43830</v>
      </c>
      <c r="C12" s="4" t="n">
        <v>0</v>
      </c>
      <c r="D12" s="4" t="n">
        <v>2387.2</v>
      </c>
      <c r="E12" s="6" t="n">
        <v>133.56</v>
      </c>
      <c r="F12" s="5" t="n">
        <v>0</v>
      </c>
      <c r="G12" s="5" t="n">
        <v>18875</v>
      </c>
      <c r="H12" s="6" t="n">
        <v>701.19</v>
      </c>
      <c r="I12" s="6" t="n">
        <v>1984.51</v>
      </c>
      <c r="J12" s="6" t="n">
        <v>3.6</v>
      </c>
      <c r="K12" s="4" t="n">
        <v>110376</v>
      </c>
      <c r="L12" s="6" t="n">
        <v>1218.79</v>
      </c>
      <c r="M12" s="6" t="n">
        <v>16329.21</v>
      </c>
      <c r="N12" s="6" t="n">
        <v>390.82</v>
      </c>
      <c r="O12" s="6" t="n">
        <v>324.46</v>
      </c>
      <c r="P12" s="6" t="n">
        <v>1336.76</v>
      </c>
      <c r="Q12" s="4" t="n">
        <v>284.6</v>
      </c>
      <c r="R12" s="5" t="n">
        <v>42519</v>
      </c>
    </row>
    <row r="13" customFormat="false" ht="12.75" hidden="false" customHeight="true" outlineLevel="0" collapsed="false">
      <c r="A13" s="1" t="s">
        <v>555</v>
      </c>
      <c r="B13" s="8" t="n">
        <v>44196</v>
      </c>
      <c r="C13" s="4" t="n">
        <v>0</v>
      </c>
      <c r="D13" s="4" t="n">
        <v>3041.5</v>
      </c>
      <c r="E13" s="6" t="n">
        <v>167.09</v>
      </c>
      <c r="F13" s="5" t="n">
        <v>0</v>
      </c>
      <c r="G13" s="5" t="n">
        <v>23582</v>
      </c>
      <c r="H13" s="6" t="n">
        <v>1017.91</v>
      </c>
      <c r="I13" s="6" t="n">
        <v>2472.06</v>
      </c>
      <c r="J13" s="6" t="n">
        <v>4.47</v>
      </c>
      <c r="K13" s="4" t="n">
        <v>138754.4</v>
      </c>
      <c r="L13" s="6" t="n">
        <v>1583.87</v>
      </c>
      <c r="M13" s="6" t="n">
        <v>20216.74</v>
      </c>
      <c r="N13" s="6" t="n">
        <v>572.64</v>
      </c>
      <c r="O13" s="6" t="n">
        <v>403.59</v>
      </c>
      <c r="P13" s="6" t="n">
        <v>1760.15</v>
      </c>
      <c r="Q13" s="4" t="n">
        <v>353.4</v>
      </c>
      <c r="R13" s="5" t="n">
        <v>52253</v>
      </c>
    </row>
    <row r="14" customFormat="false" ht="12.75" hidden="false" customHeight="true" outlineLevel="0" collapsed="false">
      <c r="A14" s="1" t="s">
        <v>556</v>
      </c>
      <c r="B14" s="8" t="n">
        <v>44561</v>
      </c>
      <c r="C14" s="4" t="n">
        <v>0</v>
      </c>
      <c r="D14" s="4" t="n">
        <v>3123</v>
      </c>
      <c r="E14" s="6" t="n">
        <v>160.66</v>
      </c>
      <c r="F14" s="5" t="n">
        <v>0</v>
      </c>
      <c r="G14" s="5" t="n">
        <v>23546</v>
      </c>
      <c r="H14" s="6" t="n">
        <v>591.79</v>
      </c>
      <c r="I14" s="6" t="n">
        <v>2386.53</v>
      </c>
      <c r="J14" s="6" t="n">
        <v>4.28</v>
      </c>
      <c r="K14" s="4" t="n">
        <v>133069.8</v>
      </c>
      <c r="L14" s="6" t="n">
        <v>1557.76</v>
      </c>
      <c r="M14" s="6" t="n">
        <v>20949.71</v>
      </c>
      <c r="N14" s="6" t="n">
        <v>614.21</v>
      </c>
      <c r="O14" s="6" t="n">
        <v>389.34</v>
      </c>
      <c r="P14" s="6" t="n">
        <v>1931.4</v>
      </c>
      <c r="Q14" s="4" t="n">
        <v>341.4</v>
      </c>
      <c r="R14" s="5" t="n">
        <v>54844</v>
      </c>
    </row>
    <row r="15" customFormat="false" ht="12.75" hidden="false" customHeight="true" outlineLevel="0" collapsed="false">
      <c r="A15" s="1" t="s">
        <v>557</v>
      </c>
      <c r="B15" s="8" t="n">
        <v>44926</v>
      </c>
      <c r="C15" s="4" t="n">
        <v>0</v>
      </c>
      <c r="D15" s="4" t="n">
        <v>3141.4</v>
      </c>
      <c r="E15" s="6" t="n">
        <v>176.12</v>
      </c>
      <c r="F15" s="5" t="n">
        <v>0</v>
      </c>
      <c r="G15" s="5" t="n">
        <v>20491</v>
      </c>
      <c r="H15" s="6" t="n">
        <v>955.11</v>
      </c>
      <c r="I15" s="6" t="n">
        <v>2386.82</v>
      </c>
      <c r="J15" s="6" t="n">
        <v>4.3</v>
      </c>
      <c r="K15" s="4" t="n">
        <v>136077</v>
      </c>
      <c r="L15" s="6" t="n">
        <v>1565.27</v>
      </c>
      <c r="M15" s="6" t="n">
        <v>23064.77</v>
      </c>
      <c r="N15" s="6" t="n">
        <v>697.96</v>
      </c>
      <c r="O15" s="6" t="n">
        <v>390.48</v>
      </c>
      <c r="P15" s="6" t="n">
        <v>2104.6</v>
      </c>
      <c r="Q15" s="4" t="n">
        <v>342.1</v>
      </c>
      <c r="R15" s="5" t="n">
        <v>58650</v>
      </c>
    </row>
    <row r="16" customFormat="false" ht="12.75" hidden="false" customHeight="true" outlineLevel="0" collapsed="false">
      <c r="A16" s="1" t="s">
        <v>558</v>
      </c>
      <c r="B16" s="8" t="n">
        <v>45291</v>
      </c>
      <c r="C16" s="4" t="n">
        <v>0</v>
      </c>
      <c r="D16" s="4" t="n">
        <v>3582.2</v>
      </c>
      <c r="E16" s="6" t="n">
        <v>223.92</v>
      </c>
      <c r="F16" s="5" t="n">
        <v>0</v>
      </c>
      <c r="G16" s="5" t="n">
        <v>19510</v>
      </c>
      <c r="H16" s="6" t="n">
        <v>1430.24</v>
      </c>
      <c r="I16" s="6" t="n">
        <v>2711.06</v>
      </c>
      <c r="J16" s="6" t="n">
        <v>4.91</v>
      </c>
      <c r="K16" s="4" t="n">
        <v>155857.7</v>
      </c>
      <c r="L16" s="6" t="n">
        <v>1798.62</v>
      </c>
      <c r="M16" s="6" t="n">
        <v>24632.16</v>
      </c>
      <c r="N16" s="6" t="n">
        <v>2033.88</v>
      </c>
      <c r="O16" s="6" t="n">
        <v>441.37</v>
      </c>
      <c r="P16" s="6" t="n">
        <v>2393.24</v>
      </c>
      <c r="Q16" s="4" t="n">
        <v>387.3</v>
      </c>
      <c r="R16" s="5" t="n">
        <v>93591</v>
      </c>
    </row>
    <row r="17" customFormat="false" ht="12.75" hidden="false" customHeight="true" outlineLevel="0" collapsed="false">
      <c r="A17" s="1" t="s">
        <v>559</v>
      </c>
      <c r="B17" s="8" t="n">
        <v>45657</v>
      </c>
      <c r="C17" s="4" t="n">
        <v>0</v>
      </c>
      <c r="D17" s="4" t="n">
        <v>4522.9</v>
      </c>
      <c r="E17" s="6" t="n">
        <v>286</v>
      </c>
      <c r="F17" s="5" t="n">
        <v>599</v>
      </c>
      <c r="G17" s="5" t="n">
        <v>23844</v>
      </c>
      <c r="H17" s="6" t="n">
        <v>3198.41</v>
      </c>
      <c r="I17" s="6" t="n">
        <v>3411.66</v>
      </c>
      <c r="J17" s="6" t="n">
        <v>6.26</v>
      </c>
      <c r="K17" s="4" t="n">
        <v>195707.3</v>
      </c>
      <c r="L17" s="6" t="n">
        <v>2310.81</v>
      </c>
      <c r="M17" s="6" t="n">
        <v>32036.68</v>
      </c>
      <c r="N17" s="6" t="n">
        <v>4297.24</v>
      </c>
      <c r="O17" s="6" t="n">
        <v>555.85</v>
      </c>
      <c r="P17" s="6" t="n">
        <v>3883.65</v>
      </c>
      <c r="Q17" s="4" t="n">
        <v>487.1</v>
      </c>
      <c r="R17" s="5" t="n">
        <v>154308</v>
      </c>
    </row>
    <row r="18" customFormat="false" ht="12.75" hidden="false" customHeight="true" outlineLevel="0" collapsed="false">
      <c r="A18" s="1" t="s">
        <v>560</v>
      </c>
      <c r="B18" s="8" t="n">
        <v>46022</v>
      </c>
      <c r="D18" s="4" t="n">
        <v>7471</v>
      </c>
      <c r="F18" s="5" t="n">
        <v>1002</v>
      </c>
      <c r="J18" s="6" t="n">
        <v>10.71</v>
      </c>
      <c r="L18" s="6" t="n">
        <v>3877.64</v>
      </c>
      <c r="M18" s="6" t="n">
        <v>55092.42</v>
      </c>
      <c r="N18" s="6" t="n">
        <v>10121.89</v>
      </c>
      <c r="O18" s="6" t="n">
        <v>921.28</v>
      </c>
      <c r="Q18" s="4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453</v>
      </c>
      <c r="C1" s="1" t="s">
        <v>602</v>
      </c>
      <c r="D1" s="1" t="s">
        <v>603</v>
      </c>
      <c r="E1" s="1" t="s">
        <v>604</v>
      </c>
      <c r="F1" s="1" t="s">
        <v>605</v>
      </c>
      <c r="G1" s="1" t="s">
        <v>606</v>
      </c>
      <c r="H1" s="1" t="s">
        <v>607</v>
      </c>
      <c r="I1" s="1" t="s">
        <v>608</v>
      </c>
      <c r="J1" s="1" t="s">
        <v>609</v>
      </c>
      <c r="K1" s="1" t="s">
        <v>610</v>
      </c>
      <c r="L1" s="1" t="s">
        <v>611</v>
      </c>
    </row>
    <row r="2" customFormat="false" ht="12.75" hidden="false" customHeight="true" outlineLevel="0" collapsed="false">
      <c r="A2" s="1" t="s">
        <v>468</v>
      </c>
      <c r="C2" s="1" t="s">
        <v>612</v>
      </c>
      <c r="D2" s="1" t="s">
        <v>578</v>
      </c>
      <c r="E2" s="1" t="s">
        <v>613</v>
      </c>
      <c r="F2" s="1" t="s">
        <v>475</v>
      </c>
      <c r="G2" s="1" t="s">
        <v>614</v>
      </c>
      <c r="H2" s="1" t="s">
        <v>578</v>
      </c>
      <c r="I2" s="1" t="s">
        <v>615</v>
      </c>
      <c r="J2" s="1" t="s">
        <v>580</v>
      </c>
      <c r="K2" s="1" t="s">
        <v>469</v>
      </c>
      <c r="L2" s="1" t="s">
        <v>616</v>
      </c>
    </row>
    <row r="3" customFormat="false" ht="12.75" hidden="false" customHeight="true" outlineLevel="0" collapsed="false">
      <c r="A3" s="1" t="s">
        <v>482</v>
      </c>
      <c r="C3" s="1" t="s">
        <v>484</v>
      </c>
      <c r="D3" s="1" t="s">
        <v>484</v>
      </c>
      <c r="E3" s="1" t="s">
        <v>484</v>
      </c>
      <c r="F3" s="1" t="s">
        <v>483</v>
      </c>
      <c r="G3" s="1" t="s">
        <v>483</v>
      </c>
      <c r="H3" s="1" t="s">
        <v>483</v>
      </c>
      <c r="I3" s="1" t="s">
        <v>483</v>
      </c>
      <c r="J3" s="1" t="s">
        <v>484</v>
      </c>
      <c r="K3" s="1" t="s">
        <v>484</v>
      </c>
      <c r="L3" s="1" t="s">
        <v>484</v>
      </c>
    </row>
    <row r="4" customFormat="false" ht="12.75" hidden="false" customHeight="true" outlineLevel="0" collapsed="false">
      <c r="A4" s="1" t="s">
        <v>486</v>
      </c>
      <c r="C4" s="1" t="s">
        <v>582</v>
      </c>
      <c r="D4" s="1" t="s">
        <v>491</v>
      </c>
      <c r="E4" s="1" t="s">
        <v>584</v>
      </c>
      <c r="F4" s="1" t="s">
        <v>493</v>
      </c>
      <c r="G4" s="1" t="s">
        <v>494</v>
      </c>
      <c r="H4" s="1" t="s">
        <v>617</v>
      </c>
      <c r="I4" s="1" t="s">
        <v>495</v>
      </c>
      <c r="J4" s="1" t="s">
        <v>496</v>
      </c>
      <c r="K4" s="1" t="s">
        <v>500</v>
      </c>
      <c r="L4" s="1" t="s">
        <v>618</v>
      </c>
    </row>
    <row r="5" customFormat="false" ht="12.75" hidden="false" customHeight="true" outlineLevel="0" collapsed="false">
      <c r="A5" s="1" t="s">
        <v>501</v>
      </c>
      <c r="C5" s="1" t="s">
        <v>502</v>
      </c>
      <c r="D5" s="1" t="s">
        <v>502</v>
      </c>
      <c r="E5" s="1" t="s">
        <v>502</v>
      </c>
      <c r="F5" s="1" t="s">
        <v>502</v>
      </c>
      <c r="G5" s="1" t="s">
        <v>502</v>
      </c>
      <c r="H5" s="1" t="s">
        <v>502</v>
      </c>
      <c r="I5" s="1" t="s">
        <v>502</v>
      </c>
      <c r="J5" s="1" t="s">
        <v>502</v>
      </c>
      <c r="K5" s="1" t="s">
        <v>502</v>
      </c>
      <c r="L5" s="1" t="s">
        <v>502</v>
      </c>
    </row>
    <row r="6" customFormat="false" ht="12.75" hidden="false" customHeight="true" outlineLevel="0" collapsed="false">
      <c r="A6" s="1" t="s">
        <v>503</v>
      </c>
      <c r="C6" s="1" t="s">
        <v>587</v>
      </c>
      <c r="D6" s="1" t="s">
        <v>619</v>
      </c>
      <c r="E6" s="1" t="s">
        <v>591</v>
      </c>
      <c r="F6" s="1" t="s">
        <v>510</v>
      </c>
      <c r="G6" s="1" t="s">
        <v>511</v>
      </c>
      <c r="H6" s="1" t="s">
        <v>620</v>
      </c>
      <c r="I6" s="1" t="s">
        <v>621</v>
      </c>
      <c r="J6" s="1" t="s">
        <v>513</v>
      </c>
      <c r="K6" s="1" t="s">
        <v>517</v>
      </c>
      <c r="L6" s="1" t="s">
        <v>622</v>
      </c>
    </row>
    <row r="7" customFormat="false" ht="12.75" hidden="false" customHeight="true" outlineLevel="0" collapsed="false">
      <c r="A7" s="1" t="s">
        <v>518</v>
      </c>
      <c r="C7" s="1" t="s">
        <v>519</v>
      </c>
      <c r="D7" s="1" t="s">
        <v>623</v>
      </c>
      <c r="E7" s="1" t="s">
        <v>623</v>
      </c>
      <c r="F7" s="1" t="s">
        <v>623</v>
      </c>
      <c r="G7" s="1" t="s">
        <v>623</v>
      </c>
      <c r="H7" s="1" t="s">
        <v>623</v>
      </c>
      <c r="I7" s="1" t="s">
        <v>521</v>
      </c>
      <c r="J7" s="1" t="s">
        <v>623</v>
      </c>
      <c r="K7" s="1" t="s">
        <v>623</v>
      </c>
      <c r="L7" s="1" t="s">
        <v>623</v>
      </c>
    </row>
    <row r="8" customFormat="false" ht="12.75" hidden="false" customHeight="true" outlineLevel="0" collapsed="false">
      <c r="A8" s="1" t="s">
        <v>522</v>
      </c>
      <c r="C8" s="1" t="s">
        <v>593</v>
      </c>
      <c r="D8" s="1" t="s">
        <v>594</v>
      </c>
      <c r="E8" s="1" t="s">
        <v>596</v>
      </c>
      <c r="F8" s="1" t="s">
        <v>529</v>
      </c>
      <c r="G8" s="1" t="s">
        <v>530</v>
      </c>
      <c r="H8" s="1" t="s">
        <v>624</v>
      </c>
      <c r="I8" s="1" t="s">
        <v>531</v>
      </c>
      <c r="J8" s="1" t="s">
        <v>532</v>
      </c>
      <c r="K8" s="1" t="s">
        <v>536</v>
      </c>
      <c r="L8" s="1" t="s">
        <v>625</v>
      </c>
    </row>
    <row r="9" customFormat="false" ht="12.75" hidden="false" customHeight="true" outlineLevel="0" collapsed="false">
      <c r="A9" s="1" t="s">
        <v>537</v>
      </c>
      <c r="C9" s="1" t="s">
        <v>598</v>
      </c>
      <c r="D9" s="1" t="s">
        <v>542</v>
      </c>
      <c r="E9" s="1" t="s">
        <v>600</v>
      </c>
      <c r="F9" s="1" t="s">
        <v>544</v>
      </c>
      <c r="G9" s="1" t="s">
        <v>545</v>
      </c>
      <c r="H9" s="1" t="s">
        <v>626</v>
      </c>
      <c r="I9" s="1" t="s">
        <v>546</v>
      </c>
      <c r="J9" s="1" t="s">
        <v>547</v>
      </c>
      <c r="K9" s="1" t="s">
        <v>551</v>
      </c>
      <c r="L9" s="1" t="s">
        <v>627</v>
      </c>
    </row>
    <row r="10" customFormat="false" ht="12.75" hidden="false" customHeight="true" outlineLevel="0" collapsed="false">
      <c r="A10" s="1" t="s">
        <v>552</v>
      </c>
      <c r="B10" s="8" t="n">
        <v>43100</v>
      </c>
      <c r="C10" s="6" t="n">
        <v>0.05</v>
      </c>
      <c r="D10" s="6" t="n">
        <v>223.38</v>
      </c>
      <c r="E10" s="4" t="n">
        <v>59.1</v>
      </c>
      <c r="F10" s="6" t="n">
        <v>10.82</v>
      </c>
      <c r="G10" s="6" t="n">
        <v>0.3</v>
      </c>
      <c r="H10" s="9" t="n">
        <v>1.019</v>
      </c>
      <c r="I10" s="6" t="n">
        <v>0.21</v>
      </c>
      <c r="J10" s="6" t="n">
        <v>0.62</v>
      </c>
      <c r="K10" s="9" t="n">
        <v>3.311</v>
      </c>
      <c r="L10" s="9" t="n">
        <v>3.334</v>
      </c>
    </row>
    <row r="11" customFormat="false" ht="12.75" hidden="false" customHeight="true" outlineLevel="0" collapsed="false">
      <c r="A11" s="1" t="s">
        <v>553</v>
      </c>
      <c r="B11" s="8" t="n">
        <v>43465</v>
      </c>
      <c r="C11" s="6" t="n">
        <v>0.05</v>
      </c>
      <c r="D11" s="6" t="n">
        <v>359.89</v>
      </c>
      <c r="E11" s="4" t="n">
        <v>67.9</v>
      </c>
      <c r="F11" s="6" t="n">
        <v>11.42</v>
      </c>
      <c r="G11" s="6" t="n">
        <v>0.28</v>
      </c>
      <c r="H11" s="9" t="n">
        <v>1.019</v>
      </c>
      <c r="I11" s="6" t="n">
        <v>0.21</v>
      </c>
      <c r="J11" s="6" t="n">
        <v>0.66</v>
      </c>
      <c r="K11" s="9" t="n">
        <v>4.136</v>
      </c>
      <c r="L11" s="9" t="n">
        <v>3.334</v>
      </c>
    </row>
    <row r="12" customFormat="false" ht="12.75" hidden="false" customHeight="true" outlineLevel="0" collapsed="false">
      <c r="A12" s="1" t="s">
        <v>554</v>
      </c>
      <c r="B12" s="8" t="n">
        <v>43830</v>
      </c>
      <c r="C12" s="6" t="n">
        <v>0.09</v>
      </c>
      <c r="D12" s="6" t="n">
        <v>462.91</v>
      </c>
      <c r="E12" s="4" t="n">
        <v>73</v>
      </c>
      <c r="F12" s="6" t="n">
        <v>10.8</v>
      </c>
      <c r="G12" s="6" t="n">
        <v>0.26</v>
      </c>
      <c r="H12" s="9" t="n">
        <v>1.019</v>
      </c>
      <c r="I12" s="6" t="n">
        <v>0.21</v>
      </c>
      <c r="J12" s="6" t="n">
        <v>0.98</v>
      </c>
      <c r="K12" s="9" t="n">
        <v>7.351</v>
      </c>
      <c r="L12" s="9" t="n">
        <v>3.33</v>
      </c>
    </row>
    <row r="13" customFormat="false" ht="12.75" hidden="false" customHeight="true" outlineLevel="0" collapsed="false">
      <c r="A13" s="1" t="s">
        <v>555</v>
      </c>
      <c r="B13" s="8" t="n">
        <v>44196</v>
      </c>
      <c r="C13" s="6" t="n">
        <v>0.09</v>
      </c>
      <c r="D13" s="6" t="n">
        <v>539.26</v>
      </c>
      <c r="E13" s="4" t="n">
        <v>73.9</v>
      </c>
      <c r="F13" s="6" t="n">
        <v>10.69</v>
      </c>
      <c r="G13" s="6" t="n">
        <v>0.3</v>
      </c>
      <c r="H13" s="9" t="n">
        <v>1.019</v>
      </c>
      <c r="I13" s="6" t="n">
        <v>0.21</v>
      </c>
      <c r="J13" s="6" t="n">
        <v>1.15</v>
      </c>
      <c r="K13" s="9" t="n">
        <v>7.352</v>
      </c>
      <c r="L13" s="9" t="n">
        <v>3.332</v>
      </c>
    </row>
    <row r="14" customFormat="false" ht="12.75" hidden="false" customHeight="true" outlineLevel="0" collapsed="false">
      <c r="A14" s="1" t="s">
        <v>556</v>
      </c>
      <c r="B14" s="8" t="n">
        <v>44561</v>
      </c>
      <c r="C14" s="6" t="n">
        <v>0.09</v>
      </c>
      <c r="D14" s="6" t="n">
        <v>327.71</v>
      </c>
      <c r="E14" s="4" t="n">
        <v>74</v>
      </c>
      <c r="F14" s="6" t="n">
        <v>11.64</v>
      </c>
      <c r="G14" s="6" t="n">
        <v>0.34</v>
      </c>
      <c r="H14" s="9" t="n">
        <v>1.019</v>
      </c>
      <c r="I14" s="6" t="n">
        <v>0.21</v>
      </c>
      <c r="J14" s="6" t="n">
        <v>1.2</v>
      </c>
      <c r="K14" s="9" t="n">
        <v>7.422</v>
      </c>
      <c r="L14" s="9" t="n">
        <v>3.332</v>
      </c>
    </row>
    <row r="15" customFormat="false" ht="12.75" hidden="false" customHeight="true" outlineLevel="0" collapsed="false">
      <c r="A15" s="1" t="s">
        <v>557</v>
      </c>
      <c r="B15" s="8" t="n">
        <v>44926</v>
      </c>
      <c r="C15" s="6" t="n">
        <v>0.1</v>
      </c>
      <c r="D15" s="6" t="n">
        <v>527</v>
      </c>
      <c r="E15" s="4" t="e">
        <f aca="false">#N/A</f>
        <v>#N/A</v>
      </c>
      <c r="F15" s="6" t="n">
        <v>12.73</v>
      </c>
      <c r="G15" s="6" t="n">
        <v>0.38</v>
      </c>
      <c r="H15" s="9" t="n">
        <v>1.019</v>
      </c>
      <c r="I15" s="6" t="n">
        <v>0.21</v>
      </c>
      <c r="J15" s="6" t="n">
        <v>1.24</v>
      </c>
      <c r="K15" s="9" t="n">
        <v>7.352</v>
      </c>
      <c r="L15" s="9" t="n">
        <v>3.332</v>
      </c>
    </row>
    <row r="16" customFormat="false" ht="12.75" hidden="false" customHeight="true" outlineLevel="0" collapsed="false">
      <c r="A16" s="1" t="s">
        <v>558</v>
      </c>
      <c r="B16" s="8" t="n">
        <v>45291</v>
      </c>
      <c r="C16" s="6" t="n">
        <v>0.11</v>
      </c>
      <c r="D16" s="6" t="n">
        <v>693.49</v>
      </c>
      <c r="E16" s="4" t="n">
        <v>75</v>
      </c>
      <c r="F16" s="6" t="n">
        <v>11.94</v>
      </c>
      <c r="G16" s="6" t="n">
        <v>0.99</v>
      </c>
      <c r="H16" s="9" t="n">
        <v>1.019</v>
      </c>
      <c r="I16" s="6" t="n">
        <v>0.21</v>
      </c>
      <c r="J16" s="6" t="n">
        <v>1.28</v>
      </c>
      <c r="K16" s="9" t="n">
        <v>11.532</v>
      </c>
      <c r="L16" s="9" t="n">
        <v>3.332</v>
      </c>
    </row>
    <row r="17" customFormat="false" ht="12.75" hidden="false" customHeight="true" outlineLevel="0" collapsed="false">
      <c r="A17" s="1" t="s">
        <v>559</v>
      </c>
      <c r="B17" s="8" t="n">
        <v>45657</v>
      </c>
      <c r="C17" s="6" t="n">
        <v>0.11</v>
      </c>
      <c r="D17" s="6" t="n">
        <v>1225.87</v>
      </c>
      <c r="E17" s="4" t="n">
        <v>75</v>
      </c>
      <c r="F17" s="6" t="n">
        <v>12.3</v>
      </c>
      <c r="G17" s="6" t="n">
        <v>1.65</v>
      </c>
      <c r="H17" s="9" t="n">
        <v>1.019</v>
      </c>
      <c r="I17" s="6" t="n">
        <v>0.21</v>
      </c>
      <c r="J17" s="6" t="n">
        <v>1.55</v>
      </c>
      <c r="K17" s="9" t="n">
        <v>14.411</v>
      </c>
      <c r="L17" s="9" t="n">
        <v>3.332</v>
      </c>
    </row>
    <row r="18" customFormat="false" ht="12.75" hidden="false" customHeight="true" outlineLevel="0" collapsed="false">
      <c r="A18" s="1" t="s">
        <v>560</v>
      </c>
      <c r="B18" s="8" t="n">
        <v>46022</v>
      </c>
      <c r="F18" s="6" t="n">
        <v>12.55</v>
      </c>
      <c r="G18" s="6" t="n">
        <v>2.3</v>
      </c>
      <c r="H18" s="9" t="n">
        <v>1.019</v>
      </c>
      <c r="I18" s="6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2026-09-22T15:17:54Z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