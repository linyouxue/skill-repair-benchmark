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roduction" sheetId="1" state="visible" r:id="rId3"/>
    <sheet name="Investment" sheetId="2" state="visible" r:id="rId4"/>
    <sheet name="CFC data" sheetId="3" state="visible" r:id="rId5"/>
    <sheet name="PWT" sheetId="4" state="visible" r:id="rId6"/>
    <sheet name="WEO_Data" sheetId="5" state="visible" r:id="rId7"/>
  </sheets>
  <definedNames>
    <definedName function="false" hidden="true" localSheetId="0" name="solver_adj" vbProcedure="false">Production!$L$6:$L$27</definedName>
    <definedName function="false" hidden="true" localSheetId="0" name="solver_cvg" vbProcedure="false">0.0001</definedName>
    <definedName function="false" hidden="true" localSheetId="0" name="solver_drv" vbProcedure="false">2</definedName>
    <definedName function="false" hidden="true" localSheetId="0" name="solver_eng" vbProcedure="false">1</definedName>
    <definedName function="false" hidden="true" localSheetId="0" name="solver_est" vbProcedure="false">1</definedName>
    <definedName function="false" hidden="true" localSheetId="0" name="solver_itr" vbProcedure="false">2147483647</definedName>
    <definedName function="false" hidden="true" localSheetId="0" name="solver_mip" vbProcedure="false">2147483647</definedName>
    <definedName function="false" hidden="true" localSheetId="0" name="solver_mni" vbProcedure="false">30</definedName>
    <definedName function="false" hidden="true" localSheetId="0" name="solver_mrt" vbProcedure="false">0.075</definedName>
    <definedName function="false" hidden="true" localSheetId="0" name="solver_msl" vbProcedure="false">2</definedName>
    <definedName function="false" hidden="true" localSheetId="0" name="solver_neg" vbProcedure="false">1</definedName>
    <definedName function="false" hidden="true" localSheetId="0" name="solver_nod" vbProcedure="false">2147483647</definedName>
    <definedName function="false" hidden="true" localSheetId="0" name="solver_num" vbProcedure="false">0</definedName>
    <definedName function="false" hidden="true" localSheetId="0" name="solver_nwt" vbProcedure="false">1</definedName>
    <definedName function="false" hidden="true" localSheetId="0" name="solver_opt" vbProcedure="false">Production!$P$5</definedName>
    <definedName function="false" hidden="true" localSheetId="0" name="solver_pre" vbProcedure="false">0.000001</definedName>
    <definedName function="false" hidden="true" localSheetId="0" name="solver_rbv" vbProcedure="false">2</definedName>
    <definedName function="false" hidden="true" localSheetId="0" name="solver_rlx" vbProcedure="false">2</definedName>
    <definedName function="false" hidden="true" localSheetId="0" name="solver_rsd" vbProcedure="false">0</definedName>
    <definedName function="false" hidden="true" localSheetId="0" name="solver_scl" vbProcedure="false">2</definedName>
    <definedName function="false" hidden="true" localSheetId="0" name="solver_sho" vbProcedure="false">2</definedName>
    <definedName function="false" hidden="true" localSheetId="0" name="solver_ssz" vbProcedure="false">100</definedName>
    <definedName function="false" hidden="true" localSheetId="0" name="solver_tim" vbProcedure="false">2147483647</definedName>
    <definedName function="false" hidden="true" localSheetId="0" name="solver_tol" vbProcedure="false">0.01</definedName>
    <definedName function="false" hidden="true" localSheetId="0" name="solver_typ" vbProcedure="false">2</definedName>
    <definedName function="false" hidden="true" localSheetId="0" name="solver_val" vbProcedure="false">0</definedName>
    <definedName function="false" hidden="true" localSheetId="0" name="solver_ver" vbProcedure="false">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<sst xmlns="http://schemas.openxmlformats.org/spreadsheetml/2006/main" count="56" uniqueCount="52">
  <si>
    <t xml:space="preserve">Assumption</t>
  </si>
  <si>
    <t xml:space="preserve">capital's share</t>
  </si>
  <si>
    <t xml:space="preserve">annual depreciation rate</t>
  </si>
  <si>
    <t xml:space="preserve">HP Filter</t>
  </si>
  <si>
    <t xml:space="preserve">K</t>
  </si>
  <si>
    <t xml:space="preserve">Real GDP</t>
  </si>
  <si>
    <t xml:space="preserve">LnK</t>
  </si>
  <si>
    <t xml:space="preserve">LnY</t>
  </si>
  <si>
    <t xml:space="preserve">LnZ</t>
  </si>
  <si>
    <t xml:space="preserve">LnZ_HP</t>
  </si>
  <si>
    <t xml:space="preserve">Second-order difference</t>
  </si>
  <si>
    <t xml:space="preserve">LnA-Trend(Check)</t>
  </si>
  <si>
    <t xml:space="preserve">objective</t>
  </si>
  <si>
    <t xml:space="preserve">λ (lambda)</t>
  </si>
  <si>
    <t xml:space="preserve">K/Y</t>
  </si>
  <si>
    <t xml:space="preserve">Y</t>
  </si>
  <si>
    <t xml:space="preserve">LnZ trend</t>
  </si>
  <si>
    <t xml:space="preserve">Ystar_base</t>
  </si>
  <si>
    <t xml:space="preserve">Investment</t>
  </si>
  <si>
    <t xml:space="preserve">ΔK</t>
  </si>
  <si>
    <t xml:space="preserve">K_With</t>
  </si>
  <si>
    <t xml:space="preserve">Ystar_with</t>
  </si>
  <si>
    <t xml:space="preserve">Uplift</t>
  </si>
  <si>
    <t xml:space="preserve">Projected GDP</t>
  </si>
  <si>
    <t xml:space="preserve">Projected GDP Growth</t>
  </si>
  <si>
    <t xml:space="preserve">Baseline GDP Growth</t>
  </si>
  <si>
    <t xml:space="preserve">Year</t>
  </si>
  <si>
    <t xml:space="preserve">Project Investment (Deflated)</t>
  </si>
  <si>
    <t xml:space="preserve">DATE</t>
  </si>
  <si>
    <t xml:space="preserve">TIME PERIOD</t>
  </si>
  <si>
    <t xml:space="preserve">Consumption of fixed capital (IDCM.A.N.GE.W2.S1.S1.D.P51C.N1G._T._Z.XDC.V.N)</t>
  </si>
  <si>
    <t xml:space="preserve">Capital Stock</t>
  </si>
  <si>
    <t xml:space="preserve">Depreciation rate</t>
  </si>
  <si>
    <t xml:space="preserve">year</t>
  </si>
  <si>
    <t xml:space="preserve">rnna</t>
  </si>
  <si>
    <t xml:space="preserve">rgdpna</t>
  </si>
  <si>
    <t xml:space="preserve">WEO Country Code</t>
  </si>
  <si>
    <t xml:space="preserve">WEO Subject Code</t>
  </si>
  <si>
    <t xml:space="preserve">NGDP_R</t>
  </si>
  <si>
    <t xml:space="preserve">NGDP_RPCH</t>
  </si>
  <si>
    <t xml:space="preserve">Country</t>
  </si>
  <si>
    <t xml:space="preserve">Georgia</t>
  </si>
  <si>
    <t xml:space="preserve">Subject Descriptor</t>
  </si>
  <si>
    <t xml:space="preserve">Gross domestic product, constant prices</t>
  </si>
  <si>
    <t xml:space="preserve">Units</t>
  </si>
  <si>
    <t xml:space="preserve">National currency</t>
  </si>
  <si>
    <t xml:space="preserve">Percent change</t>
  </si>
  <si>
    <t xml:space="preserve">Scale</t>
  </si>
  <si>
    <t xml:space="preserve">Billions</t>
  </si>
  <si>
    <t xml:space="preserve">Country/Series-specific Notes</t>
  </si>
  <si>
    <t xml:space="preserve"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</si>
  <si>
    <t xml:space="preserve">See notes for:  Gross domestic product, constant prices (National currency).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</si>
</sst>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(* #,##0.00_);_(* \(#,##0.00\);_(* \-??_);_(@_)"/>
    <numFmt numFmtId="166" formatCode="General"/>
    <numFmt numFmtId="167" formatCode="0"/>
    <numFmt numFmtId="168" formatCode="m/d/yyyy"/>
  </numFmts>
  <fonts count="10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2"/>
      <charset val="1"/>
    </font>
    <font>
      <sz val="12"/>
      <color theme="1"/>
      <name val="Calibri"/>
      <family val="2"/>
      <charset val="1"/>
    </font>
    <font>
      <sz val="10"/>
      <name val="Arial"/>
      <family val="2"/>
      <charset val="1"/>
    </font>
    <font>
      <b val="true"/>
      <sz val="10"/>
      <color theme="7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rgb="FFFF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5" tint="0.7999"/>
        <bgColor rgb="FFDCEAF7"/>
      </patternFill>
    </fill>
    <fill>
      <patternFill patternType="solid">
        <fgColor theme="3" tint="0.8999"/>
        <bgColor rgb="FFCCFFFF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2" xfId="21"/>
    <cellStyle name="Normal 2 2" xfId="22"/>
    <cellStyle name="Style 1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9ED5"/>
      <rgbColor rgb="FFC0C0C0"/>
      <rgbColor rgb="FF808080"/>
      <rgbColor rgb="FF9999FF"/>
      <rgbColor rgb="FF993366"/>
      <rgbColor rgb="FFFBE3D6"/>
      <rgbColor rgb="FFDC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5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S26" activeCellId="0" sqref="S26"/>
    </sheetView>
  </sheetViews>
  <sheetFormatPr defaultColWidth="8.6796875" defaultRowHeight="12" zeroHeight="false" outlineLevelRow="0" outlineLevelCol="0"/>
  <cols>
    <col collapsed="false" customWidth="true" hidden="false" outlineLevel="0" max="1" min="1" style="1" width="21.38"/>
    <col collapsed="false" customWidth="true" hidden="false" outlineLevel="0" max="27" min="27" style="1" width="12.69"/>
  </cols>
  <sheetData>
    <row r="1" customFormat="false" ht="12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4"/>
    </row>
    <row r="2" customFormat="false" ht="12" hidden="false" customHeight="true" outlineLevel="0" collapsed="false">
      <c r="A2" s="5" t="s">
        <v>1</v>
      </c>
      <c r="B2" s="1" t="n">
        <v>0.35</v>
      </c>
      <c r="I2" s="6"/>
    </row>
    <row r="3" customFormat="false" ht="12" hidden="false" customHeight="true" outlineLevel="0" collapsed="false">
      <c r="A3" s="7" t="s">
        <v>2</v>
      </c>
      <c r="B3" s="8" t="n">
        <f aca="false">AVERAGE('CFC data'!E22:E29)</f>
        <v>0.0152067830808053</v>
      </c>
      <c r="C3" s="8"/>
      <c r="D3" s="8"/>
      <c r="E3" s="8"/>
      <c r="F3" s="8"/>
      <c r="G3" s="8"/>
      <c r="H3" s="8"/>
      <c r="I3" s="9"/>
    </row>
    <row r="4" customFormat="false" ht="12" hidden="false" customHeight="true" outlineLevel="0" collapsed="false">
      <c r="K4" s="10" t="s">
        <v>3</v>
      </c>
      <c r="L4" s="11"/>
      <c r="M4" s="11"/>
      <c r="N4" s="12"/>
    </row>
    <row r="5" customFormat="false" ht="12" hidden="false" customHeight="true" outlineLevel="0" collapsed="false">
      <c r="D5" s="1" t="s">
        <v>4</v>
      </c>
      <c r="E5" s="1" t="s">
        <v>5</v>
      </c>
      <c r="F5" s="1" t="s">
        <v>6</v>
      </c>
      <c r="G5" s="1" t="s">
        <v>7</v>
      </c>
      <c r="K5" s="5" t="s">
        <v>8</v>
      </c>
      <c r="L5" s="1" t="s">
        <v>9</v>
      </c>
      <c r="M5" s="1" t="s">
        <v>10</v>
      </c>
      <c r="N5" s="6" t="s">
        <v>11</v>
      </c>
      <c r="O5" s="13" t="s">
        <v>12</v>
      </c>
      <c r="P5" s="14" t="n">
        <f aca="false">SUMSQ(N6:N27)+P6*SUMSQ(M7:M26)</f>
        <v>0.0352547388170305</v>
      </c>
    </row>
    <row r="6" customFormat="false" ht="12" hidden="false" customHeight="true" outlineLevel="0" collapsed="false">
      <c r="C6" s="1" t="n">
        <v>2002</v>
      </c>
      <c r="D6" s="15" t="n">
        <f aca="false">PWT!B14</f>
        <v>303592.625</v>
      </c>
      <c r="E6" s="1" t="n">
        <f aca="false">WEO_Data!C10</f>
        <v>18.747</v>
      </c>
      <c r="F6" s="1" t="n">
        <f aca="false">LN(D6)</f>
        <v>12.6234420323772</v>
      </c>
      <c r="G6" s="1" t="n">
        <f aca="false">LN(E6)</f>
        <v>2.93103373961505</v>
      </c>
      <c r="K6" s="5" t="n">
        <f aca="false">G6-$B$2*F6</f>
        <v>-1.48717097171697</v>
      </c>
      <c r="L6" s="1" t="n">
        <v>-1.43781527581675</v>
      </c>
      <c r="N6" s="6" t="n">
        <f aca="false">K6-L6</f>
        <v>-0.0493556959002217</v>
      </c>
      <c r="O6" s="1" t="s">
        <v>13</v>
      </c>
      <c r="P6" s="1" t="n">
        <v>100</v>
      </c>
    </row>
    <row r="7" customFormat="false" ht="12" hidden="false" customHeight="true" outlineLevel="0" collapsed="false">
      <c r="C7" s="1" t="n">
        <v>2003</v>
      </c>
      <c r="D7" s="15" t="n">
        <f aca="false">PWT!B15</f>
        <v>307310.28125</v>
      </c>
      <c r="E7" s="1" t="n">
        <f aca="false">WEO_Data!C11</f>
        <v>20.852</v>
      </c>
      <c r="F7" s="1" t="n">
        <f aca="false">LN(D7)</f>
        <v>12.6356132042787</v>
      </c>
      <c r="G7" s="1" t="n">
        <f aca="false">LN(E7)</f>
        <v>3.03744986690586</v>
      </c>
      <c r="K7" s="5" t="n">
        <f aca="false">G7-$B$2*F7</f>
        <v>-1.3850147545917</v>
      </c>
      <c r="L7" s="1" t="n">
        <v>-1.37418652220214</v>
      </c>
      <c r="M7" s="1" t="n">
        <f aca="false">L6-2*L7+L8</f>
        <v>-0.000493556959002106</v>
      </c>
      <c r="N7" s="6" t="n">
        <f aca="false">K7-L7</f>
        <v>-0.0108282323895568</v>
      </c>
    </row>
    <row r="8" customFormat="false" ht="12" hidden="false" customHeight="true" outlineLevel="0" collapsed="false">
      <c r="C8" s="1" t="n">
        <v>2004</v>
      </c>
      <c r="D8" s="15" t="n">
        <f aca="false">PWT!B16</f>
        <v>311984.28125</v>
      </c>
      <c r="E8" s="1" t="n">
        <f aca="false">WEO_Data!C12</f>
        <v>22.061</v>
      </c>
      <c r="F8" s="1" t="n">
        <f aca="false">LN(D8)</f>
        <v>12.6507080849135</v>
      </c>
      <c r="G8" s="1" t="n">
        <f aca="false">LN(E8)</f>
        <v>3.09381134371363</v>
      </c>
      <c r="K8" s="5" t="n">
        <f aca="false">G8-$B$2*F8</f>
        <v>-1.3339364860061</v>
      </c>
      <c r="L8" s="1" t="n">
        <v>-1.31105132554654</v>
      </c>
      <c r="M8" s="1" t="n">
        <f aca="false">L7-2*L8+L9</f>
        <v>-0.00109539624190091</v>
      </c>
      <c r="N8" s="6" t="n">
        <f aca="false">K8-L8</f>
        <v>-0.0228851604595639</v>
      </c>
    </row>
    <row r="9" customFormat="false" ht="12" hidden="false" customHeight="true" outlineLevel="0" collapsed="false">
      <c r="C9" s="1" t="n">
        <v>2005</v>
      </c>
      <c r="D9" s="15" t="n">
        <f aca="false">PWT!B17</f>
        <v>317837.8125</v>
      </c>
      <c r="E9" s="1" t="n">
        <f aca="false">WEO_Data!C13</f>
        <v>24.176</v>
      </c>
      <c r="F9" s="1" t="n">
        <f aca="false">LN(D9)</f>
        <v>12.6692965080711</v>
      </c>
      <c r="G9" s="1" t="n">
        <f aca="false">LN(E9)</f>
        <v>3.18536040553038</v>
      </c>
      <c r="K9" s="5" t="n">
        <f aca="false">G9-$B$2*F9</f>
        <v>-1.24889337229452</v>
      </c>
      <c r="L9" s="1" t="n">
        <v>-1.24901152513283</v>
      </c>
      <c r="M9" s="1" t="n">
        <f aca="false">L8-2*L9+L10</f>
        <v>-0.00192608712939513</v>
      </c>
      <c r="N9" s="6" t="n">
        <f aca="false">K9-L9</f>
        <v>0.000118152838316954</v>
      </c>
    </row>
    <row r="10" customFormat="false" ht="12" hidden="false" customHeight="true" outlineLevel="0" collapsed="false">
      <c r="C10" s="1" t="n">
        <v>2006</v>
      </c>
      <c r="D10" s="15" t="n">
        <f aca="false">PWT!B18</f>
        <v>322943.65625</v>
      </c>
      <c r="E10" s="1" t="n">
        <f aca="false">WEO_Data!C14</f>
        <v>26.454</v>
      </c>
      <c r="F10" s="1" t="n">
        <f aca="false">LN(D10)</f>
        <v>12.6852331481341</v>
      </c>
      <c r="G10" s="1" t="n">
        <f aca="false">LN(E10)</f>
        <v>3.27540737560386</v>
      </c>
      <c r="K10" s="5" t="n">
        <f aca="false">G10-$B$2*F10</f>
        <v>-1.16442422624307</v>
      </c>
      <c r="L10" s="1" t="n">
        <v>-1.18889781184852</v>
      </c>
      <c r="M10" s="1" t="n">
        <f aca="false">L9-2*L10+L11</f>
        <v>-0.00275559648850487</v>
      </c>
      <c r="N10" s="6" t="n">
        <f aca="false">K10-L10</f>
        <v>0.0244735856054528</v>
      </c>
    </row>
    <row r="11" customFormat="false" ht="12" hidden="false" customHeight="true" outlineLevel="0" collapsed="false">
      <c r="C11" s="1" t="n">
        <v>2007</v>
      </c>
      <c r="D11" s="15" t="n">
        <f aca="false">PWT!B19</f>
        <v>329445.875</v>
      </c>
      <c r="E11" s="1" t="n">
        <f aca="false">WEO_Data!C15</f>
        <v>29.781</v>
      </c>
      <c r="F11" s="1" t="n">
        <f aca="false">LN(D11)</f>
        <v>12.7051673553955</v>
      </c>
      <c r="G11" s="1" t="n">
        <f aca="false">LN(E11)</f>
        <v>3.39387060627569</v>
      </c>
      <c r="K11" s="5" t="n">
        <f aca="false">G11-$B$2*F11</f>
        <v>-1.05293796811272</v>
      </c>
      <c r="L11" s="1" t="n">
        <v>-1.13153969505272</v>
      </c>
      <c r="M11" s="1" t="n">
        <f aca="false">L10-2*L11+L12</f>
        <v>-0.00334036999156195</v>
      </c>
      <c r="N11" s="6" t="n">
        <f aca="false">K11-L11</f>
        <v>0.078601726940003</v>
      </c>
    </row>
    <row r="12" customFormat="false" ht="12" hidden="false" customHeight="true" outlineLevel="0" collapsed="false">
      <c r="C12" s="1" t="n">
        <v>2008</v>
      </c>
      <c r="D12" s="15" t="n">
        <f aca="false">PWT!B20</f>
        <v>332604.46875</v>
      </c>
      <c r="E12" s="1" t="n">
        <f aca="false">WEO_Data!C16</f>
        <v>30.502</v>
      </c>
      <c r="F12" s="1" t="n">
        <f aca="false">LN(D12)</f>
        <v>12.7147092814595</v>
      </c>
      <c r="G12" s="1" t="n">
        <f aca="false">LN(E12)</f>
        <v>3.41779225523399</v>
      </c>
      <c r="K12" s="5" t="n">
        <f aca="false">G12-$B$2*F12</f>
        <v>-1.03235599327683</v>
      </c>
      <c r="L12" s="1" t="n">
        <v>-1.07752194824848</v>
      </c>
      <c r="M12" s="1" t="n">
        <f aca="false">L11-2*L12+L13</f>
        <v>-0.00313912622521517</v>
      </c>
      <c r="N12" s="6" t="n">
        <f aca="false">K12-L12</f>
        <v>0.0451659549716525</v>
      </c>
    </row>
    <row r="13" customFormat="false" ht="12" hidden="false" customHeight="true" outlineLevel="0" collapsed="false">
      <c r="C13" s="1" t="n">
        <v>2009</v>
      </c>
      <c r="D13" s="15" t="n">
        <f aca="false">PWT!B21</f>
        <v>330608.28125</v>
      </c>
      <c r="E13" s="1" t="n">
        <f aca="false">WEO_Data!C17</f>
        <v>29.388</v>
      </c>
      <c r="F13" s="1" t="n">
        <f aca="false">LN(D13)</f>
        <v>12.7086895132084</v>
      </c>
      <c r="G13" s="1" t="n">
        <f aca="false">LN(E13)</f>
        <v>3.38058642775803</v>
      </c>
      <c r="K13" s="5" t="n">
        <f aca="false">G13-$B$2*F13</f>
        <v>-1.06745490186491</v>
      </c>
      <c r="L13" s="1" t="n">
        <v>-1.02664332766945</v>
      </c>
      <c r="M13" s="1" t="n">
        <f aca="false">L12-2*L13+L14</f>
        <v>-0.00248622290915657</v>
      </c>
      <c r="N13" s="6" t="n">
        <f aca="false">K13-L13</f>
        <v>-0.040811574195452</v>
      </c>
    </row>
    <row r="14" customFormat="false" ht="12" hidden="false" customHeight="true" outlineLevel="0" collapsed="false">
      <c r="C14" s="1" t="n">
        <v>2010</v>
      </c>
      <c r="D14" s="15" t="n">
        <f aca="false">PWT!B22</f>
        <v>332551.53125</v>
      </c>
      <c r="E14" s="1" t="n">
        <f aca="false">WEO_Data!C18</f>
        <v>31.428</v>
      </c>
      <c r="F14" s="1" t="n">
        <f aca="false">LN(D14)</f>
        <v>12.7145501082727</v>
      </c>
      <c r="G14" s="1" t="n">
        <f aca="false">LN(E14)</f>
        <v>3.44769921531358</v>
      </c>
      <c r="K14" s="5" t="n">
        <f aca="false">G14-$B$2*F14</f>
        <v>-1.00239332258187</v>
      </c>
      <c r="L14" s="1" t="n">
        <v>-0.978250929999585</v>
      </c>
      <c r="M14" s="1" t="n">
        <f aca="false">L13-2*L14+L15</f>
        <v>-0.00224143533504884</v>
      </c>
      <c r="N14" s="6" t="n">
        <f aca="false">K14-L14</f>
        <v>-0.0241423925822873</v>
      </c>
    </row>
    <row r="15" customFormat="false" ht="12" hidden="false" customHeight="true" outlineLevel="0" collapsed="false">
      <c r="C15" s="1" t="n">
        <v>2011</v>
      </c>
      <c r="D15" s="15" t="n">
        <f aca="false">PWT!B23</f>
        <v>336560.28125</v>
      </c>
      <c r="E15" s="1" t="n">
        <f aca="false">WEO_Data!C19</f>
        <v>33.927</v>
      </c>
      <c r="F15" s="1" t="n">
        <f aca="false">LN(D15)</f>
        <v>12.7265325539249</v>
      </c>
      <c r="G15" s="1" t="n">
        <f aca="false">LN(E15)</f>
        <v>3.5242111575573</v>
      </c>
      <c r="K15" s="5" t="n">
        <f aca="false">G15-$B$2*F15</f>
        <v>-0.9300752363164</v>
      </c>
      <c r="L15" s="1" t="n">
        <v>-0.932099967664764</v>
      </c>
      <c r="M15" s="1" t="n">
        <f aca="false">L14-2*L15+L16</f>
        <v>-0.00223807168676615</v>
      </c>
      <c r="N15" s="6" t="n">
        <f aca="false">K15-L15</f>
        <v>0.0020247313483639</v>
      </c>
    </row>
    <row r="16" customFormat="false" ht="12" hidden="false" customHeight="true" outlineLevel="0" collapsed="false">
      <c r="C16" s="1" t="n">
        <v>2012</v>
      </c>
      <c r="D16" s="15" t="n">
        <f aca="false">PWT!B24</f>
        <v>341471.1875</v>
      </c>
      <c r="E16" s="1" t="n">
        <f aca="false">WEO_Data!C20</f>
        <v>36.159</v>
      </c>
      <c r="F16" s="1" t="n">
        <f aca="false">LN(D16)</f>
        <v>12.741018584009</v>
      </c>
      <c r="G16" s="1" t="n">
        <f aca="false">LN(E16)</f>
        <v>3.58792588027432</v>
      </c>
      <c r="K16" s="5" t="n">
        <f aca="false">G16-$B$2*F16</f>
        <v>-0.871430624128834</v>
      </c>
      <c r="L16" s="1" t="n">
        <v>-0.88818707701671</v>
      </c>
      <c r="M16" s="1" t="n">
        <f aca="false">L15-2*L16+L17</f>
        <v>-0.00221446072499942</v>
      </c>
      <c r="N16" s="6" t="n">
        <f aca="false">K16-L16</f>
        <v>0.0167564528878761</v>
      </c>
    </row>
    <row r="17" customFormat="false" ht="12" hidden="false" customHeight="true" outlineLevel="0" collapsed="false">
      <c r="C17" s="1" t="n">
        <v>2013</v>
      </c>
      <c r="D17" s="15" t="n">
        <f aca="false">PWT!B25</f>
        <v>344239.03125</v>
      </c>
      <c r="E17" s="1" t="n">
        <f aca="false">WEO_Data!C21</f>
        <v>38.015</v>
      </c>
      <c r="F17" s="1" t="n">
        <f aca="false">LN(D17)</f>
        <v>12.7490915533382</v>
      </c>
      <c r="G17" s="1" t="n">
        <f aca="false">LN(E17)</f>
        <v>3.6379808186804</v>
      </c>
      <c r="K17" s="5" t="n">
        <f aca="false">G17-$B$2*F17</f>
        <v>-0.824201224987961</v>
      </c>
      <c r="L17" s="1" t="n">
        <v>-0.846488647093655</v>
      </c>
      <c r="M17" s="1" t="n">
        <f aca="false">L16-2*L17+L18</f>
        <v>-0.00202328523435369</v>
      </c>
      <c r="N17" s="6" t="n">
        <f aca="false">K17-L17</f>
        <v>0.0222874221056941</v>
      </c>
    </row>
    <row r="18" customFormat="false" ht="12" hidden="false" customHeight="true" outlineLevel="0" collapsed="false">
      <c r="C18" s="1" t="n">
        <v>2014</v>
      </c>
      <c r="D18" s="15" t="n">
        <f aca="false">PWT!B26</f>
        <v>350962.15625</v>
      </c>
      <c r="E18" s="1" t="n">
        <f aca="false">WEO_Data!C22</f>
        <v>39.57</v>
      </c>
      <c r="F18" s="1" t="n">
        <f aca="false">LN(D18)</f>
        <v>12.7684336796838</v>
      </c>
      <c r="G18" s="1" t="n">
        <f aca="false">LN(E18)</f>
        <v>3.67807125539733</v>
      </c>
      <c r="K18" s="5" t="n">
        <f aca="false">G18-$B$2*F18</f>
        <v>-0.790880532491987</v>
      </c>
      <c r="L18" s="1" t="n">
        <v>-0.806813502404954</v>
      </c>
      <c r="M18" s="1" t="n">
        <f aca="false">L17-2*L18+L19</f>
        <v>-0.00160923552265091</v>
      </c>
      <c r="N18" s="6" t="n">
        <f aca="false">K18-L18</f>
        <v>0.015932969912967</v>
      </c>
    </row>
    <row r="19" customFormat="false" ht="12" hidden="false" customHeight="true" outlineLevel="0" collapsed="false">
      <c r="C19" s="1" t="n">
        <v>2015</v>
      </c>
      <c r="D19" s="15" t="n">
        <f aca="false">PWT!B27</f>
        <v>360259.8125</v>
      </c>
      <c r="E19" s="1" t="n">
        <f aca="false">WEO_Data!C23</f>
        <v>40.896</v>
      </c>
      <c r="F19" s="1" t="n">
        <f aca="false">LN(D19)</f>
        <v>12.79458075152</v>
      </c>
      <c r="G19" s="1" t="n">
        <f aca="false">LN(E19)</f>
        <v>3.71103225875507</v>
      </c>
      <c r="K19" s="5" t="n">
        <f aca="false">G19-$B$2*F19</f>
        <v>-0.767071004276918</v>
      </c>
      <c r="L19" s="1" t="n">
        <v>-0.768747593238903</v>
      </c>
      <c r="M19" s="1" t="n">
        <f aca="false">L18-2*L19+L20</f>
        <v>-0.00103585611181856</v>
      </c>
      <c r="N19" s="6" t="n">
        <f aca="false">K19-L19</f>
        <v>0.00167658896198475</v>
      </c>
    </row>
    <row r="20" customFormat="false" ht="12" hidden="false" customHeight="true" outlineLevel="0" collapsed="false">
      <c r="C20" s="1" t="n">
        <v>2016</v>
      </c>
      <c r="D20" s="15" t="n">
        <f aca="false">PWT!B28</f>
        <v>370547.65625</v>
      </c>
      <c r="E20" s="1" t="n">
        <f aca="false">WEO_Data!C24</f>
        <v>42.307</v>
      </c>
      <c r="F20" s="1" t="n">
        <f aca="false">LN(D20)</f>
        <v>12.8227373423022</v>
      </c>
      <c r="G20" s="1" t="n">
        <f aca="false">LN(E20)</f>
        <v>3.74495255699473</v>
      </c>
      <c r="K20" s="5" t="n">
        <f aca="false">G20-$B$2*F20</f>
        <v>-0.743005512811024</v>
      </c>
      <c r="L20" s="1" t="n">
        <v>-0.731717540184671</v>
      </c>
      <c r="M20" s="1" t="n">
        <f aca="false">L19-2*L20+L21</f>
        <v>-0.000445710811366018</v>
      </c>
      <c r="N20" s="6" t="n">
        <f aca="false">K20-L20</f>
        <v>-0.0112879726263522</v>
      </c>
    </row>
    <row r="21" customFormat="false" ht="12" hidden="false" customHeight="true" outlineLevel="0" collapsed="false">
      <c r="C21" s="1" t="n">
        <v>2017</v>
      </c>
      <c r="D21" s="15" t="n">
        <f aca="false">PWT!B29</f>
        <v>380655.78125</v>
      </c>
      <c r="E21" s="1" t="n">
        <f aca="false">WEO_Data!C25</f>
        <v>44.49</v>
      </c>
      <c r="F21" s="1" t="n">
        <f aca="false">LN(D21)</f>
        <v>12.8496507844556</v>
      </c>
      <c r="G21" s="1" t="n">
        <f aca="false">LN(E21)</f>
        <v>3.79526444481795</v>
      </c>
      <c r="K21" s="5" t="n">
        <f aca="false">G21-$B$2*F21</f>
        <v>-0.702113329741516</v>
      </c>
      <c r="L21" s="1" t="n">
        <v>-0.695133197941806</v>
      </c>
      <c r="M21" s="1" t="n">
        <f aca="false">L20-2*L21+L22</f>
        <v>3.155476282235E-005</v>
      </c>
      <c r="N21" s="6" t="n">
        <f aca="false">K21-L21</f>
        <v>-0.00698013179971047</v>
      </c>
    </row>
    <row r="22" customFormat="false" ht="12" hidden="false" customHeight="true" outlineLevel="0" collapsed="false">
      <c r="C22" s="1" t="n">
        <v>2018</v>
      </c>
      <c r="D22" s="15" t="n">
        <f aca="false">PWT!B30</f>
        <v>390625.1875</v>
      </c>
      <c r="E22" s="1" t="n">
        <f aca="false">WEO_Data!C26</f>
        <v>47.187</v>
      </c>
      <c r="F22" s="1" t="n">
        <f aca="false">LN(D22)</f>
        <v>12.8755037794727</v>
      </c>
      <c r="G22" s="1" t="n">
        <f aca="false">LN(E22)</f>
        <v>3.85411843092662</v>
      </c>
      <c r="K22" s="5" t="n">
        <f aca="false">G22-$B$2*F22</f>
        <v>-0.652307891888825</v>
      </c>
      <c r="L22" s="1" t="n">
        <v>-0.658517300936118</v>
      </c>
      <c r="M22" s="1" t="n">
        <f aca="false">L21-2*L22+L23</f>
        <v>0.000439019019013664</v>
      </c>
      <c r="N22" s="6" t="n">
        <f aca="false">K22-L22</f>
        <v>0.00620940904729206</v>
      </c>
    </row>
    <row r="23" customFormat="false" ht="12" hidden="false" customHeight="true" outlineLevel="0" collapsed="false">
      <c r="C23" s="1" t="n">
        <v>2019</v>
      </c>
      <c r="D23" s="15" t="n">
        <f aca="false">PWT!B31</f>
        <v>399934.28125</v>
      </c>
      <c r="E23" s="1" t="n">
        <f aca="false">WEO_Data!C27</f>
        <v>49.726</v>
      </c>
      <c r="F23" s="1" t="n">
        <f aca="false">LN(D23)</f>
        <v>12.8990555157169</v>
      </c>
      <c r="G23" s="1" t="n">
        <f aca="false">LN(E23)</f>
        <v>3.90652793514617</v>
      </c>
      <c r="K23" s="5" t="n">
        <f aca="false">G23-$B$2*F23</f>
        <v>-0.608141495354752</v>
      </c>
      <c r="L23" s="1" t="n">
        <v>-0.621462384911416</v>
      </c>
      <c r="M23" s="1" t="n">
        <f aca="false">L22-2*L23+L24</f>
        <v>0.000908577365677843</v>
      </c>
      <c r="N23" s="6" t="n">
        <f aca="false">K23-L23</f>
        <v>0.013320889556664</v>
      </c>
    </row>
    <row r="24" customFormat="false" ht="12" hidden="false" customHeight="true" outlineLevel="0" collapsed="false">
      <c r="C24" s="1" t="n">
        <v>2020</v>
      </c>
      <c r="D24" s="15" t="n">
        <f aca="false">PWT!B32</f>
        <v>405156.15625</v>
      </c>
      <c r="E24" s="1" t="n">
        <f aca="false">WEO_Data!C28</f>
        <v>46.598</v>
      </c>
      <c r="F24" s="1" t="n">
        <f aca="false">LN(D24)</f>
        <v>12.9120278427629</v>
      </c>
      <c r="G24" s="1" t="n">
        <f aca="false">LN(E24)</f>
        <v>3.84155762175564</v>
      </c>
      <c r="K24" s="5" t="n">
        <f aca="false">G24-$B$2*F24</f>
        <v>-0.677652123211387</v>
      </c>
      <c r="L24" s="1" t="n">
        <v>-0.583498891521036</v>
      </c>
      <c r="M24" s="1" t="n">
        <f aca="false">L23-2*L24+L25</f>
        <v>0.00151134460790836</v>
      </c>
      <c r="N24" s="6" t="n">
        <f aca="false">K24-L24</f>
        <v>-0.094153231690351</v>
      </c>
    </row>
    <row r="25" customFormat="false" ht="12" hidden="false" customHeight="true" outlineLevel="0" collapsed="false">
      <c r="C25" s="1" t="n">
        <v>2021</v>
      </c>
      <c r="D25" s="15" t="n">
        <f aca="false">PWT!B33</f>
        <v>409189.75</v>
      </c>
      <c r="E25" s="1" t="n">
        <f aca="false">WEO_Data!C29</f>
        <v>51.558</v>
      </c>
      <c r="F25" s="1" t="n">
        <f aca="false">LN(D25)</f>
        <v>12.92193426387</v>
      </c>
      <c r="G25" s="1" t="n">
        <f aca="false">LN(E25)</f>
        <v>3.94270738755914</v>
      </c>
      <c r="K25" s="5" t="n">
        <f aca="false">G25-$B$2*F25</f>
        <v>-0.579969604795367</v>
      </c>
      <c r="L25" s="1" t="n">
        <v>-0.544024053522748</v>
      </c>
      <c r="M25" s="1" t="n">
        <f aca="false">L24-2*L25+L26</f>
        <v>0.00117257953323535</v>
      </c>
      <c r="N25" s="6" t="n">
        <f aca="false">K25-L25</f>
        <v>-0.0359455512726192</v>
      </c>
    </row>
    <row r="26" customFormat="false" ht="12" hidden="false" customHeight="true" outlineLevel="0" collapsed="false">
      <c r="C26" s="1" t="n">
        <v>2022</v>
      </c>
      <c r="D26" s="15" t="n">
        <f aca="false">PWT!B34</f>
        <v>415085.84375</v>
      </c>
      <c r="E26" s="1" t="n">
        <f aca="false">WEO_Data!C30</f>
        <v>57.208</v>
      </c>
      <c r="F26" s="1" t="n">
        <f aca="false">LN(D26)</f>
        <v>12.9362406302315</v>
      </c>
      <c r="G26" s="1" t="n">
        <f aca="false">LN(E26)</f>
        <v>4.0466937487461</v>
      </c>
      <c r="K26" s="5" t="n">
        <f aca="false">G26-$B$2*F26</f>
        <v>-0.480990471834917</v>
      </c>
      <c r="L26" s="1" t="n">
        <v>-0.503376635991225</v>
      </c>
      <c r="M26" s="1" t="n">
        <f aca="false">L25-2*L26+L27</f>
        <v>0.000474358945836195</v>
      </c>
      <c r="N26" s="6" t="n">
        <f aca="false">K26-L26</f>
        <v>0.0223861641563076</v>
      </c>
    </row>
    <row r="27" customFormat="false" ht="12" hidden="false" customHeight="true" outlineLevel="0" collapsed="false">
      <c r="C27" s="1" t="n">
        <v>2023</v>
      </c>
      <c r="D27" s="15" t="n">
        <f aca="false">PWT!B35</f>
        <v>426190.5</v>
      </c>
      <c r="E27" s="1" t="n">
        <f aca="false">WEO_Data!C31</f>
        <v>61.689</v>
      </c>
      <c r="F27" s="1" t="n">
        <f aca="false">LN(D27)</f>
        <v>12.9626417083935</v>
      </c>
      <c r="G27" s="1" t="n">
        <f aca="false">LN(E27)</f>
        <v>4.12210563300749</v>
      </c>
      <c r="K27" s="7" t="n">
        <f aca="false">G27-$B$2*F27</f>
        <v>-0.414818964930246</v>
      </c>
      <c r="L27" s="8" t="n">
        <v>-0.462254859513865</v>
      </c>
      <c r="M27" s="8"/>
      <c r="N27" s="9" t="n">
        <f aca="false">K27-L27</f>
        <v>0.0474358945836189</v>
      </c>
    </row>
    <row r="35" customFormat="false" ht="12" hidden="false" customHeight="true" outlineLevel="0" collapsed="false">
      <c r="D35" s="1" t="s">
        <v>14</v>
      </c>
      <c r="E35" s="1" t="s">
        <v>4</v>
      </c>
      <c r="F35" s="1" t="s">
        <v>15</v>
      </c>
      <c r="G35" s="1" t="s">
        <v>16</v>
      </c>
      <c r="H35" s="1" t="s">
        <v>17</v>
      </c>
      <c r="I35" s="1" t="s">
        <v>18</v>
      </c>
      <c r="J35" s="1" t="s">
        <v>19</v>
      </c>
      <c r="K35" s="1" t="s">
        <v>20</v>
      </c>
      <c r="L35" s="1" t="s">
        <v>21</v>
      </c>
      <c r="M35" s="1" t="s">
        <v>22</v>
      </c>
      <c r="N35" s="1" t="s">
        <v>23</v>
      </c>
      <c r="O35" s="1" t="s">
        <v>24</v>
      </c>
      <c r="P35" s="1" t="s">
        <v>25</v>
      </c>
    </row>
    <row r="36" customFormat="false" ht="12" hidden="false" customHeight="true" outlineLevel="0" collapsed="false">
      <c r="C36" s="1" t="n">
        <v>2002</v>
      </c>
      <c r="D36" s="1" t="n">
        <f aca="false">E36/F36</f>
        <v>16194.1977383048</v>
      </c>
      <c r="E36" s="15" t="n">
        <f aca="false">PWT!B14</f>
        <v>303592.625</v>
      </c>
      <c r="F36" s="1" t="n">
        <f aca="false">WEO_Data!C10</f>
        <v>18.747</v>
      </c>
      <c r="G36" s="1" t="n">
        <f aca="false">L6</f>
        <v>-1.43781527581675</v>
      </c>
      <c r="H36" s="1" t="n">
        <f aca="false">EXP(G36)*E36^$B$2</f>
        <v>19.6954852729033</v>
      </c>
      <c r="I36" s="1" t="n">
        <v>0</v>
      </c>
      <c r="J36" s="1" t="n">
        <v>0</v>
      </c>
      <c r="K36" s="15" t="n">
        <f aca="false">E36+J36</f>
        <v>303592.625</v>
      </c>
      <c r="L36" s="1" t="n">
        <f aca="false">EXP(G36)*K36^$B$2</f>
        <v>19.6954852729033</v>
      </c>
      <c r="M36" s="1" t="n">
        <f aca="false">L36/H36-1</f>
        <v>0</v>
      </c>
      <c r="N36" s="1" t="n">
        <f aca="false">F36*(1+M36)</f>
        <v>18.747</v>
      </c>
    </row>
    <row r="37" customFormat="false" ht="12" hidden="false" customHeight="true" outlineLevel="0" collapsed="false">
      <c r="C37" s="1" t="n">
        <v>2003</v>
      </c>
      <c r="D37" s="1" t="n">
        <f aca="false">E37/F37</f>
        <v>14737.6885310762</v>
      </c>
      <c r="E37" s="15" t="n">
        <f aca="false">PWT!B15</f>
        <v>307310.28125</v>
      </c>
      <c r="F37" s="1" t="n">
        <f aca="false">WEO_Data!C11</f>
        <v>20.852</v>
      </c>
      <c r="G37" s="1" t="n">
        <f aca="false">L7</f>
        <v>-1.37418652220214</v>
      </c>
      <c r="H37" s="1" t="n">
        <f aca="false">EXP(G37)*E37^$B$2</f>
        <v>21.079017181029</v>
      </c>
      <c r="I37" s="1" t="n">
        <v>0</v>
      </c>
      <c r="J37" s="1" t="n">
        <v>0</v>
      </c>
      <c r="K37" s="15" t="n">
        <f aca="false">E37+J37</f>
        <v>307310.28125</v>
      </c>
      <c r="L37" s="1" t="n">
        <f aca="false">EXP(G37)*K37^$B$2</f>
        <v>21.079017181029</v>
      </c>
      <c r="M37" s="1" t="n">
        <f aca="false">L37/H37-1</f>
        <v>0</v>
      </c>
      <c r="N37" s="1" t="n">
        <f aca="false">F37*(1+M37)</f>
        <v>20.852</v>
      </c>
      <c r="O37" s="1" t="n">
        <f aca="false">N37/N36-1</f>
        <v>0.11228463220782</v>
      </c>
      <c r="P37" s="1" t="n">
        <f aca="false">F37/F36-1</f>
        <v>0.11228463220782</v>
      </c>
    </row>
    <row r="38" customFormat="false" ht="12" hidden="false" customHeight="true" outlineLevel="0" collapsed="false">
      <c r="C38" s="1" t="n">
        <v>2004</v>
      </c>
      <c r="D38" s="1" t="n">
        <f aca="false">E38/F38</f>
        <v>14141.8920833144</v>
      </c>
      <c r="E38" s="15" t="n">
        <f aca="false">PWT!B16</f>
        <v>311984.28125</v>
      </c>
      <c r="F38" s="1" t="n">
        <f aca="false">WEO_Data!C12</f>
        <v>22.061</v>
      </c>
      <c r="G38" s="1" t="n">
        <f aca="false">L8</f>
        <v>-1.31105132554654</v>
      </c>
      <c r="H38" s="1" t="n">
        <f aca="false">EXP(G38)*E38^$B$2</f>
        <v>22.5716908575014</v>
      </c>
      <c r="I38" s="1" t="n">
        <v>0</v>
      </c>
      <c r="J38" s="1" t="n">
        <v>0</v>
      </c>
      <c r="K38" s="15" t="n">
        <f aca="false">E38+J38</f>
        <v>311984.28125</v>
      </c>
      <c r="L38" s="1" t="n">
        <f aca="false">EXP(G38)*K38^$B$2</f>
        <v>22.5716908575014</v>
      </c>
      <c r="M38" s="1" t="n">
        <f aca="false">L38/H38-1</f>
        <v>0</v>
      </c>
      <c r="N38" s="1" t="n">
        <f aca="false">F38*(1+M38)</f>
        <v>22.061</v>
      </c>
      <c r="O38" s="1" t="n">
        <f aca="false">N38/N37-1</f>
        <v>0.0579800498753118</v>
      </c>
      <c r="P38" s="1" t="n">
        <f aca="false">F38/F37-1</f>
        <v>0.0579800498753118</v>
      </c>
    </row>
    <row r="39" customFormat="false" ht="12" hidden="false" customHeight="true" outlineLevel="0" collapsed="false">
      <c r="C39" s="1" t="n">
        <v>2005</v>
      </c>
      <c r="D39" s="1" t="n">
        <f aca="false">E39/F39</f>
        <v>13146.8320855394</v>
      </c>
      <c r="E39" s="15" t="n">
        <f aca="false">PWT!B17</f>
        <v>317837.8125</v>
      </c>
      <c r="F39" s="1" t="n">
        <f aca="false">WEO_Data!C13</f>
        <v>24.176</v>
      </c>
      <c r="G39" s="1" t="n">
        <f aca="false">L9</f>
        <v>-1.24901152513283</v>
      </c>
      <c r="H39" s="1" t="n">
        <f aca="false">EXP(G39)*E39^$B$2</f>
        <v>24.1731437057238</v>
      </c>
      <c r="I39" s="1" t="n">
        <v>0</v>
      </c>
      <c r="J39" s="1" t="n">
        <v>0</v>
      </c>
      <c r="K39" s="15" t="n">
        <f aca="false">E39+J39</f>
        <v>317837.8125</v>
      </c>
      <c r="L39" s="1" t="n">
        <f aca="false">EXP(G39)*K39^$B$2</f>
        <v>24.1731437057238</v>
      </c>
      <c r="M39" s="1" t="n">
        <f aca="false">L39/H39-1</f>
        <v>0</v>
      </c>
      <c r="N39" s="1" t="n">
        <f aca="false">F39*(1+M39)</f>
        <v>24.176</v>
      </c>
      <c r="O39" s="1" t="n">
        <f aca="false">N39/N38-1</f>
        <v>0.0958705407733103</v>
      </c>
      <c r="P39" s="1" t="n">
        <f aca="false">F39/F38-1</f>
        <v>0.0958705407733103</v>
      </c>
    </row>
    <row r="40" customFormat="false" ht="12" hidden="false" customHeight="true" outlineLevel="0" collapsed="false">
      <c r="C40" s="1" t="n">
        <v>2006</v>
      </c>
      <c r="D40" s="1" t="n">
        <f aca="false">E40/F40</f>
        <v>12207.743866712</v>
      </c>
      <c r="E40" s="15" t="n">
        <f aca="false">PWT!B18</f>
        <v>322943.65625</v>
      </c>
      <c r="F40" s="1" t="n">
        <f aca="false">WEO_Data!C14</f>
        <v>26.454</v>
      </c>
      <c r="G40" s="1" t="n">
        <f aca="false">L10</f>
        <v>-1.18889781184852</v>
      </c>
      <c r="H40" s="1" t="n">
        <f aca="false">EXP(G40)*E40^$B$2</f>
        <v>25.8144339262847</v>
      </c>
      <c r="I40" s="1" t="n">
        <v>0</v>
      </c>
      <c r="J40" s="1" t="n">
        <v>0</v>
      </c>
      <c r="K40" s="15" t="n">
        <f aca="false">E40+J40</f>
        <v>322943.65625</v>
      </c>
      <c r="L40" s="1" t="n">
        <f aca="false">EXP(G40)*K40^$B$2</f>
        <v>25.8144339262847</v>
      </c>
      <c r="M40" s="1" t="n">
        <f aca="false">L40/H40-1</f>
        <v>0</v>
      </c>
      <c r="N40" s="1" t="n">
        <f aca="false">F40*(1+M40)</f>
        <v>26.454</v>
      </c>
      <c r="O40" s="1" t="n">
        <f aca="false">N40/N39-1</f>
        <v>0.094225678358703</v>
      </c>
      <c r="P40" s="1" t="n">
        <f aca="false">F40/F39-1</f>
        <v>0.094225678358703</v>
      </c>
    </row>
    <row r="41" customFormat="false" ht="12" hidden="false" customHeight="true" outlineLevel="0" collapsed="false">
      <c r="C41" s="1" t="n">
        <v>2007</v>
      </c>
      <c r="D41" s="1" t="n">
        <f aca="false">E41/F41</f>
        <v>11062.2838386891</v>
      </c>
      <c r="E41" s="15" t="n">
        <f aca="false">PWT!B19</f>
        <v>329445.875</v>
      </c>
      <c r="F41" s="1" t="n">
        <f aca="false">WEO_Data!C15</f>
        <v>29.781</v>
      </c>
      <c r="G41" s="1" t="n">
        <f aca="false">L11</f>
        <v>-1.13153969505272</v>
      </c>
      <c r="H41" s="1" t="n">
        <f aca="false">EXP(G41)*E41^$B$2</f>
        <v>27.5297951825497</v>
      </c>
      <c r="I41" s="1" t="n">
        <v>0</v>
      </c>
      <c r="J41" s="1" t="n">
        <v>0</v>
      </c>
      <c r="K41" s="15" t="n">
        <f aca="false">E41+J41</f>
        <v>329445.875</v>
      </c>
      <c r="L41" s="1" t="n">
        <f aca="false">EXP(G41)*K41^$B$2</f>
        <v>27.5297951825497</v>
      </c>
      <c r="M41" s="1" t="n">
        <f aca="false">L41/H41-1</f>
        <v>0</v>
      </c>
      <c r="N41" s="1" t="n">
        <f aca="false">F41*(1+M41)</f>
        <v>29.781</v>
      </c>
      <c r="O41" s="1" t="n">
        <f aca="false">N41/N40-1</f>
        <v>0.125765479700612</v>
      </c>
      <c r="P41" s="1" t="n">
        <f aca="false">F41/F40-1</f>
        <v>0.125765479700612</v>
      </c>
    </row>
    <row r="42" customFormat="false" ht="12" hidden="false" customHeight="true" outlineLevel="0" collapsed="false">
      <c r="C42" s="1" t="n">
        <v>2008</v>
      </c>
      <c r="D42" s="1" t="n">
        <f aca="false">E42/F42</f>
        <v>10904.3495098682</v>
      </c>
      <c r="E42" s="15" t="n">
        <f aca="false">PWT!B20</f>
        <v>332604.46875</v>
      </c>
      <c r="F42" s="1" t="n">
        <f aca="false">WEO_Data!C16</f>
        <v>30.502</v>
      </c>
      <c r="G42" s="1" t="n">
        <f aca="false">L12</f>
        <v>-1.07752194824848</v>
      </c>
      <c r="H42" s="1" t="n">
        <f aca="false">EXP(G42)*E42^$B$2</f>
        <v>29.1549963727748</v>
      </c>
      <c r="I42" s="1" t="n">
        <v>0</v>
      </c>
      <c r="J42" s="1" t="n">
        <v>0</v>
      </c>
      <c r="K42" s="15" t="n">
        <f aca="false">E42+J42</f>
        <v>332604.46875</v>
      </c>
      <c r="L42" s="1" t="n">
        <f aca="false">EXP(G42)*K42^$B$2</f>
        <v>29.1549963727748</v>
      </c>
      <c r="M42" s="1" t="n">
        <f aca="false">L42/H42-1</f>
        <v>0</v>
      </c>
      <c r="N42" s="1" t="n">
        <f aca="false">F42*(1+M42)</f>
        <v>30.502</v>
      </c>
      <c r="O42" s="1" t="n">
        <f aca="false">N42/N41-1</f>
        <v>0.0242100668211276</v>
      </c>
      <c r="P42" s="1" t="n">
        <f aca="false">F42/F41-1</f>
        <v>0.0242100668211276</v>
      </c>
    </row>
    <row r="43" customFormat="false" ht="12" hidden="false" customHeight="true" outlineLevel="0" collapsed="false">
      <c r="C43" s="1" t="n">
        <v>2009</v>
      </c>
      <c r="D43" s="1" t="n">
        <f aca="false">E43/F43</f>
        <v>11249.7713777732</v>
      </c>
      <c r="E43" s="15" t="n">
        <f aca="false">PWT!B21</f>
        <v>330608.28125</v>
      </c>
      <c r="F43" s="1" t="n">
        <f aca="false">WEO_Data!C17</f>
        <v>29.388</v>
      </c>
      <c r="G43" s="1" t="n">
        <f aca="false">L13</f>
        <v>-1.02664332766945</v>
      </c>
      <c r="H43" s="1" t="n">
        <f aca="false">EXP(G43)*E43^$B$2</f>
        <v>30.612181009469</v>
      </c>
      <c r="I43" s="1" t="n">
        <v>0</v>
      </c>
      <c r="J43" s="1" t="n">
        <v>0</v>
      </c>
      <c r="K43" s="15" t="n">
        <f aca="false">E43+J43</f>
        <v>330608.28125</v>
      </c>
      <c r="L43" s="1" t="n">
        <f aca="false">EXP(G43)*K43^$B$2</f>
        <v>30.612181009469</v>
      </c>
      <c r="M43" s="1" t="n">
        <f aca="false">L43/H43-1</f>
        <v>0</v>
      </c>
      <c r="N43" s="1" t="n">
        <f aca="false">F43*(1+M43)</f>
        <v>29.388</v>
      </c>
      <c r="O43" s="1" t="n">
        <f aca="false">N43/N42-1</f>
        <v>-0.0365221952658841</v>
      </c>
      <c r="P43" s="1" t="n">
        <f aca="false">F43/F42-1</f>
        <v>-0.0365221952658841</v>
      </c>
    </row>
    <row r="44" customFormat="false" ht="12" hidden="false" customHeight="true" outlineLevel="0" collapsed="false">
      <c r="C44" s="1" t="n">
        <v>2010</v>
      </c>
      <c r="D44" s="1" t="n">
        <f aca="false">E44/F44</f>
        <v>10581.3774739086</v>
      </c>
      <c r="E44" s="15" t="n">
        <f aca="false">PWT!B22</f>
        <v>332551.53125</v>
      </c>
      <c r="F44" s="1" t="n">
        <f aca="false">WEO_Data!C18</f>
        <v>31.428</v>
      </c>
      <c r="G44" s="1" t="n">
        <f aca="false">L14</f>
        <v>-0.978250929999585</v>
      </c>
      <c r="H44" s="1" t="n">
        <f aca="false">EXP(G44)*E44^$B$2</f>
        <v>32.1959802530523</v>
      </c>
      <c r="I44" s="1" t="n">
        <v>0</v>
      </c>
      <c r="J44" s="1" t="n">
        <v>0</v>
      </c>
      <c r="K44" s="15" t="n">
        <f aca="false">E44+J44</f>
        <v>332551.53125</v>
      </c>
      <c r="L44" s="1" t="n">
        <f aca="false">EXP(G44)*K44^$B$2</f>
        <v>32.1959802530523</v>
      </c>
      <c r="M44" s="1" t="n">
        <f aca="false">L44/H44-1</f>
        <v>0</v>
      </c>
      <c r="N44" s="1" t="n">
        <f aca="false">F44*(1+M44)</f>
        <v>31.428</v>
      </c>
      <c r="O44" s="1" t="n">
        <f aca="false">N44/N43-1</f>
        <v>0.0694160881992649</v>
      </c>
      <c r="P44" s="1" t="n">
        <f aca="false">F44/F43-1</f>
        <v>0.0694160881992649</v>
      </c>
    </row>
    <row r="45" customFormat="false" ht="12" hidden="false" customHeight="true" outlineLevel="0" collapsed="false">
      <c r="C45" s="1" t="n">
        <v>2011</v>
      </c>
      <c r="D45" s="1" t="n">
        <f aca="false">E45/F45</f>
        <v>9920.13090606302</v>
      </c>
      <c r="E45" s="15" t="n">
        <f aca="false">PWT!B23</f>
        <v>336560.28125</v>
      </c>
      <c r="F45" s="1" t="n">
        <f aca="false">WEO_Data!C19</f>
        <v>33.927</v>
      </c>
      <c r="G45" s="1" t="n">
        <f aca="false">L15</f>
        <v>-0.932099967664764</v>
      </c>
      <c r="H45" s="1" t="n">
        <f aca="false">EXP(G45)*E45^$B$2</f>
        <v>33.8583764351293</v>
      </c>
      <c r="I45" s="1" t="n">
        <v>0</v>
      </c>
      <c r="J45" s="1" t="n">
        <v>0</v>
      </c>
      <c r="K45" s="15" t="n">
        <f aca="false">E45+J45</f>
        <v>336560.28125</v>
      </c>
      <c r="L45" s="1" t="n">
        <f aca="false">EXP(G45)*K45^$B$2</f>
        <v>33.8583764351293</v>
      </c>
      <c r="M45" s="1" t="n">
        <f aca="false">L45/H45-1</f>
        <v>0</v>
      </c>
      <c r="N45" s="1" t="n">
        <f aca="false">F45*(1+M45)</f>
        <v>33.927</v>
      </c>
      <c r="O45" s="1" t="n">
        <f aca="false">N45/N44-1</f>
        <v>0.0795150820924016</v>
      </c>
      <c r="P45" s="1" t="n">
        <f aca="false">F45/F44-1</f>
        <v>0.0795150820924016</v>
      </c>
    </row>
    <row r="46" customFormat="false" ht="12" hidden="false" customHeight="true" outlineLevel="0" collapsed="false">
      <c r="C46" s="1" t="n">
        <v>2012</v>
      </c>
      <c r="D46" s="1" t="n">
        <f aca="false">E46/F46</f>
        <v>9443.60152382533</v>
      </c>
      <c r="E46" s="15" t="n">
        <f aca="false">PWT!B24</f>
        <v>341471.1875</v>
      </c>
      <c r="F46" s="1" t="n">
        <f aca="false">WEO_Data!C20</f>
        <v>36.159</v>
      </c>
      <c r="G46" s="1" t="n">
        <f aca="false">L16</f>
        <v>-0.88818707701671</v>
      </c>
      <c r="H46" s="1" t="n">
        <f aca="false">EXP(G46)*E46^$B$2</f>
        <v>35.5581515233459</v>
      </c>
      <c r="I46" s="1" t="n">
        <v>0</v>
      </c>
      <c r="J46" s="1" t="n">
        <v>0</v>
      </c>
      <c r="K46" s="15" t="n">
        <f aca="false">E46+J46</f>
        <v>341471.1875</v>
      </c>
      <c r="L46" s="1" t="n">
        <f aca="false">EXP(G46)*K46^$B$2</f>
        <v>35.5581515233459</v>
      </c>
      <c r="M46" s="1" t="n">
        <f aca="false">L46/H46-1</f>
        <v>0</v>
      </c>
      <c r="N46" s="1" t="n">
        <f aca="false">F46*(1+M46)</f>
        <v>36.159</v>
      </c>
      <c r="O46" s="1" t="n">
        <f aca="false">N46/N45-1</f>
        <v>0.0657883101954195</v>
      </c>
      <c r="P46" s="1" t="n">
        <f aca="false">F46/F45-1</f>
        <v>0.0657883101954195</v>
      </c>
    </row>
    <row r="47" customFormat="false" ht="12" hidden="false" customHeight="true" outlineLevel="0" collapsed="false">
      <c r="C47" s="1" t="n">
        <v>2013</v>
      </c>
      <c r="D47" s="1" t="n">
        <f aca="false">E47/F47</f>
        <v>9055.34739576483</v>
      </c>
      <c r="E47" s="15" t="n">
        <f aca="false">PWT!B25</f>
        <v>344239.03125</v>
      </c>
      <c r="F47" s="1" t="n">
        <f aca="false">WEO_Data!C21</f>
        <v>38.015</v>
      </c>
      <c r="G47" s="1" t="n">
        <f aca="false">L17</f>
        <v>-0.846488647093655</v>
      </c>
      <c r="H47" s="1" t="n">
        <f aca="false">EXP(G47)*E47^$B$2</f>
        <v>37.1771154748832</v>
      </c>
      <c r="I47" s="1" t="n">
        <v>0</v>
      </c>
      <c r="J47" s="1" t="n">
        <v>0</v>
      </c>
      <c r="K47" s="15" t="n">
        <f aca="false">E47+J47</f>
        <v>344239.03125</v>
      </c>
      <c r="L47" s="1" t="n">
        <f aca="false">EXP(G47)*K47^$B$2</f>
        <v>37.1771154748832</v>
      </c>
      <c r="M47" s="1" t="n">
        <f aca="false">L47/H47-1</f>
        <v>0</v>
      </c>
      <c r="N47" s="1" t="n">
        <f aca="false">F47*(1+M47)</f>
        <v>38.015</v>
      </c>
      <c r="O47" s="1" t="n">
        <f aca="false">N47/N46-1</f>
        <v>0.0513288531209382</v>
      </c>
      <c r="P47" s="1" t="n">
        <f aca="false">F47/F46-1</f>
        <v>0.0513288531209382</v>
      </c>
    </row>
    <row r="48" customFormat="false" ht="12" hidden="false" customHeight="true" outlineLevel="0" collapsed="false">
      <c r="C48" s="1" t="n">
        <v>2014</v>
      </c>
      <c r="D48" s="1" t="n">
        <f aca="false">E48/F48</f>
        <v>8869.39995577458</v>
      </c>
      <c r="E48" s="15" t="n">
        <f aca="false">PWT!B26</f>
        <v>350962.15625</v>
      </c>
      <c r="F48" s="1" t="n">
        <f aca="false">WEO_Data!C22</f>
        <v>39.57</v>
      </c>
      <c r="G48" s="1" t="n">
        <f aca="false">L18</f>
        <v>-0.806813502404954</v>
      </c>
      <c r="H48" s="1" t="n">
        <f aca="false">EXP(G48)*E48^$B$2</f>
        <v>38.9445284222297</v>
      </c>
      <c r="I48" s="1" t="n">
        <v>0</v>
      </c>
      <c r="J48" s="1" t="n">
        <v>0</v>
      </c>
      <c r="K48" s="15" t="n">
        <f aca="false">E48+J48</f>
        <v>350962.15625</v>
      </c>
      <c r="L48" s="1" t="n">
        <f aca="false">EXP(G48)*K48^$B$2</f>
        <v>38.9445284222297</v>
      </c>
      <c r="M48" s="1" t="n">
        <f aca="false">L48/H48-1</f>
        <v>0</v>
      </c>
      <c r="N48" s="1" t="n">
        <f aca="false">F48*(1+M48)</f>
        <v>39.57</v>
      </c>
      <c r="O48" s="1" t="n">
        <f aca="false">N48/N47-1</f>
        <v>0.0409049059581743</v>
      </c>
      <c r="P48" s="1" t="n">
        <f aca="false">F48/F47-1</f>
        <v>0.0409049059581743</v>
      </c>
    </row>
    <row r="49" customFormat="false" ht="12" hidden="false" customHeight="true" outlineLevel="0" collapsed="false">
      <c r="C49" s="1" t="n">
        <v>2015</v>
      </c>
      <c r="D49" s="1" t="n">
        <f aca="false">E49/F49</f>
        <v>8809.16990659233</v>
      </c>
      <c r="E49" s="15" t="n">
        <f aca="false">PWT!B27</f>
        <v>360259.8125</v>
      </c>
      <c r="F49" s="1" t="n">
        <f aca="false">WEO_Data!C23</f>
        <v>40.896</v>
      </c>
      <c r="G49" s="1" t="n">
        <f aca="false">L19</f>
        <v>-0.768747593238903</v>
      </c>
      <c r="H49" s="1" t="n">
        <f aca="false">EXP(G49)*E49^$B$2</f>
        <v>40.8274916640184</v>
      </c>
      <c r="I49" s="1" t="n">
        <v>0</v>
      </c>
      <c r="J49" s="1" t="n">
        <v>0</v>
      </c>
      <c r="K49" s="15" t="n">
        <f aca="false">E49+J49</f>
        <v>360259.8125</v>
      </c>
      <c r="L49" s="1" t="n">
        <f aca="false">EXP(G49)*K49^$B$2</f>
        <v>40.8274916640184</v>
      </c>
      <c r="M49" s="1" t="n">
        <f aca="false">L49/H49-1</f>
        <v>0</v>
      </c>
      <c r="N49" s="1" t="n">
        <f aca="false">F49*(1+M49)</f>
        <v>40.896</v>
      </c>
      <c r="O49" s="1" t="n">
        <f aca="false">N49/N48-1</f>
        <v>0.0335102350265353</v>
      </c>
      <c r="P49" s="1" t="n">
        <f aca="false">F49/F48-1</f>
        <v>0.0335102350265353</v>
      </c>
    </row>
    <row r="50" customFormat="false" ht="12" hidden="false" customHeight="true" outlineLevel="0" collapsed="false">
      <c r="C50" s="1" t="n">
        <v>2016</v>
      </c>
      <c r="D50" s="1" t="n">
        <f aca="false">E50/F50</f>
        <v>8758.54246933132</v>
      </c>
      <c r="E50" s="15" t="n">
        <f aca="false">PWT!B28</f>
        <v>370547.65625</v>
      </c>
      <c r="F50" s="1" t="n">
        <f aca="false">WEO_Data!C24</f>
        <v>42.307</v>
      </c>
      <c r="G50" s="1" t="n">
        <f aca="false">L20</f>
        <v>-0.731717540184671</v>
      </c>
      <c r="H50" s="1" t="n">
        <f aca="false">EXP(G50)*E50^$B$2</f>
        <v>42.7872657718016</v>
      </c>
      <c r="I50" s="1" t="n">
        <v>0</v>
      </c>
      <c r="J50" s="1" t="n">
        <v>0</v>
      </c>
      <c r="K50" s="15" t="n">
        <f aca="false">E50+J50</f>
        <v>370547.65625</v>
      </c>
      <c r="L50" s="1" t="n">
        <f aca="false">EXP(G50)*K50^$B$2</f>
        <v>42.7872657718016</v>
      </c>
      <c r="M50" s="1" t="n">
        <f aca="false">L50/H50-1</f>
        <v>0</v>
      </c>
      <c r="N50" s="1" t="n">
        <f aca="false">F50*(1+M50)</f>
        <v>42.307</v>
      </c>
      <c r="O50" s="1" t="n">
        <f aca="false">N50/N49-1</f>
        <v>0.0345021517996871</v>
      </c>
      <c r="P50" s="1" t="n">
        <f aca="false">F50/F49-1</f>
        <v>0.0345021517996871</v>
      </c>
    </row>
    <row r="51" customFormat="false" ht="12" hidden="false" customHeight="true" outlineLevel="0" collapsed="false">
      <c r="C51" s="1" t="n">
        <v>2017</v>
      </c>
      <c r="D51" s="1" t="n">
        <f aca="false">E51/F51</f>
        <v>8555.98519330187</v>
      </c>
      <c r="E51" s="15" t="n">
        <f aca="false">PWT!B29</f>
        <v>380655.78125</v>
      </c>
      <c r="F51" s="1" t="n">
        <f aca="false">WEO_Data!C25</f>
        <v>44.49</v>
      </c>
      <c r="G51" s="1" t="n">
        <f aca="false">L21</f>
        <v>-0.695133197941806</v>
      </c>
      <c r="H51" s="1" t="n">
        <f aca="false">EXP(G51)*E51^$B$2</f>
        <v>44.8016324161533</v>
      </c>
      <c r="I51" s="1" t="n">
        <v>0</v>
      </c>
      <c r="J51" s="1" t="n">
        <v>0</v>
      </c>
      <c r="K51" s="15" t="n">
        <f aca="false">E51+J51</f>
        <v>380655.78125</v>
      </c>
      <c r="L51" s="1" t="n">
        <f aca="false">EXP(G51)*K51^$B$2</f>
        <v>44.8016324161533</v>
      </c>
      <c r="M51" s="1" t="n">
        <f aca="false">L51/H51-1</f>
        <v>0</v>
      </c>
      <c r="N51" s="1" t="n">
        <f aca="false">F51*(1+M51)</f>
        <v>44.49</v>
      </c>
      <c r="O51" s="1" t="n">
        <f aca="false">N51/N50-1</f>
        <v>0.0515990261658827</v>
      </c>
      <c r="P51" s="1" t="n">
        <f aca="false">F51/F50-1</f>
        <v>0.0515990261658827</v>
      </c>
    </row>
    <row r="52" customFormat="false" ht="12" hidden="false" customHeight="true" outlineLevel="0" collapsed="false">
      <c r="C52" s="1" t="n">
        <v>2018</v>
      </c>
      <c r="D52" s="1" t="n">
        <f aca="false">E52/F52</f>
        <v>8278.2373852968</v>
      </c>
      <c r="E52" s="15" t="n">
        <f aca="false">PWT!B30</f>
        <v>390625.1875</v>
      </c>
      <c r="F52" s="1" t="n">
        <f aca="false">WEO_Data!C26</f>
        <v>47.187</v>
      </c>
      <c r="G52" s="1" t="n">
        <f aca="false">L22</f>
        <v>-0.658517300936118</v>
      </c>
      <c r="H52" s="1" t="n">
        <f aca="false">EXP(G52)*E52^$B$2</f>
        <v>46.8949044242618</v>
      </c>
      <c r="I52" s="1" t="n">
        <v>0</v>
      </c>
      <c r="J52" s="1" t="n">
        <v>0</v>
      </c>
      <c r="K52" s="15" t="n">
        <f aca="false">E52+J52</f>
        <v>390625.1875</v>
      </c>
      <c r="L52" s="1" t="n">
        <f aca="false">EXP(G52)*K52^$B$2</f>
        <v>46.8949044242618</v>
      </c>
      <c r="M52" s="1" t="n">
        <f aca="false">L52/H52-1</f>
        <v>0</v>
      </c>
      <c r="N52" s="1" t="n">
        <f aca="false">F52*(1+M52)</f>
        <v>47.187</v>
      </c>
      <c r="O52" s="1" t="n">
        <f aca="false">N52/N51-1</f>
        <v>0.06062036412677</v>
      </c>
      <c r="P52" s="1" t="n">
        <f aca="false">F52/F51-1</f>
        <v>0.06062036412677</v>
      </c>
    </row>
    <row r="53" customFormat="false" ht="12" hidden="false" customHeight="true" outlineLevel="0" collapsed="false">
      <c r="C53" s="1" t="n">
        <v>2019</v>
      </c>
      <c r="D53" s="1" t="n">
        <f aca="false">E53/F53</f>
        <v>8042.75994952339</v>
      </c>
      <c r="E53" s="15" t="n">
        <f aca="false">PWT!B31</f>
        <v>399934.28125</v>
      </c>
      <c r="F53" s="1" t="n">
        <f aca="false">WEO_Data!C27</f>
        <v>49.726</v>
      </c>
      <c r="G53" s="1" t="n">
        <f aca="false">L23</f>
        <v>-0.621462384911416</v>
      </c>
      <c r="H53" s="1" t="n">
        <f aca="false">EXP(G53)*E53^$B$2</f>
        <v>49.0679977634314</v>
      </c>
      <c r="I53" s="1" t="n">
        <v>0</v>
      </c>
      <c r="J53" s="1" t="n">
        <v>0</v>
      </c>
      <c r="K53" s="15" t="n">
        <f aca="false">E53+J53</f>
        <v>399934.28125</v>
      </c>
      <c r="L53" s="1" t="n">
        <f aca="false">EXP(G53)*K53^$B$2</f>
        <v>49.0679977634314</v>
      </c>
      <c r="M53" s="1" t="n">
        <f aca="false">L53/H53-1</f>
        <v>0</v>
      </c>
      <c r="N53" s="1" t="n">
        <f aca="false">F53*(1+M53)</f>
        <v>49.726</v>
      </c>
      <c r="O53" s="1" t="n">
        <f aca="false">N53/N52-1</f>
        <v>0.0538071926589951</v>
      </c>
      <c r="P53" s="1" t="n">
        <f aca="false">F53/F52-1</f>
        <v>0.0538071926589951</v>
      </c>
    </row>
    <row r="54" customFormat="false" ht="12" hidden="false" customHeight="true" outlineLevel="0" collapsed="false">
      <c r="C54" s="1" t="n">
        <v>2020</v>
      </c>
      <c r="D54" s="1" t="n">
        <f aca="false">E54/F54</f>
        <v>8694.71128052706</v>
      </c>
      <c r="E54" s="15" t="n">
        <f aca="false">PWT!B32</f>
        <v>405156.15625</v>
      </c>
      <c r="F54" s="1" t="n">
        <f aca="false">WEO_Data!C28</f>
        <v>46.598</v>
      </c>
      <c r="G54" s="1" t="n">
        <f aca="false">L24</f>
        <v>-0.583498891521036</v>
      </c>
      <c r="H54" s="1" t="n">
        <f aca="false">EXP(G54)*E54^$B$2</f>
        <v>51.198531676762</v>
      </c>
      <c r="I54" s="1" t="n">
        <v>0</v>
      </c>
      <c r="J54" s="1" t="n">
        <v>0</v>
      </c>
      <c r="K54" s="15" t="n">
        <f aca="false">E54+J54</f>
        <v>405156.15625</v>
      </c>
      <c r="L54" s="1" t="n">
        <f aca="false">EXP(G54)*K54^$B$2</f>
        <v>51.198531676762</v>
      </c>
      <c r="M54" s="1" t="n">
        <f aca="false">L54/H54-1</f>
        <v>0</v>
      </c>
      <c r="N54" s="1" t="n">
        <f aca="false">F54*(1+M54)</f>
        <v>46.598</v>
      </c>
      <c r="O54" s="1" t="n">
        <f aca="false">N54/N53-1</f>
        <v>-0.062904717853839</v>
      </c>
      <c r="P54" s="1" t="n">
        <f aca="false">F54/F53-1</f>
        <v>-0.062904717853839</v>
      </c>
    </row>
    <row r="55" customFormat="false" ht="12" hidden="false" customHeight="true" outlineLevel="0" collapsed="false">
      <c r="C55" s="1" t="n">
        <v>2021</v>
      </c>
      <c r="D55" s="1" t="n">
        <f aca="false">E55/F55</f>
        <v>7936.49385158462</v>
      </c>
      <c r="E55" s="15" t="n">
        <f aca="false">PWT!B33</f>
        <v>409189.75</v>
      </c>
      <c r="F55" s="1" t="n">
        <f aca="false">WEO_Data!C29</f>
        <v>51.558</v>
      </c>
      <c r="G55" s="1" t="n">
        <f aca="false">L25</f>
        <v>-0.544024053522748</v>
      </c>
      <c r="H55" s="1" t="n">
        <f aca="false">EXP(G55)*E55^$B$2</f>
        <v>53.4449920423528</v>
      </c>
      <c r="I55" s="1" t="n">
        <v>0</v>
      </c>
      <c r="J55" s="1" t="n">
        <v>0</v>
      </c>
      <c r="K55" s="15" t="n">
        <f aca="false">E55+J55</f>
        <v>409189.75</v>
      </c>
      <c r="L55" s="1" t="n">
        <f aca="false">EXP(G55)*K55^$B$2</f>
        <v>53.4449920423528</v>
      </c>
      <c r="M55" s="1" t="n">
        <f aca="false">L55/H55-1</f>
        <v>0</v>
      </c>
      <c r="N55" s="1" t="n">
        <f aca="false">F55*(1+M55)</f>
        <v>51.558</v>
      </c>
      <c r="O55" s="1" t="n">
        <f aca="false">N55/N54-1</f>
        <v>0.106442336580969</v>
      </c>
      <c r="P55" s="1" t="n">
        <f aca="false">F55/F54-1</f>
        <v>0.106442336580969</v>
      </c>
    </row>
    <row r="56" customFormat="false" ht="12" hidden="false" customHeight="true" outlineLevel="0" collapsed="false">
      <c r="C56" s="1" t="n">
        <v>2022</v>
      </c>
      <c r="D56" s="1" t="n">
        <f aca="false">E56/F56</f>
        <v>7255.73073258985</v>
      </c>
      <c r="E56" s="15" t="n">
        <f aca="false">PWT!B34</f>
        <v>415085.84375</v>
      </c>
      <c r="F56" s="1" t="n">
        <f aca="false">WEO_Data!C30</f>
        <v>57.208</v>
      </c>
      <c r="G56" s="1" t="n">
        <f aca="false">L26</f>
        <v>-0.503376635991225</v>
      </c>
      <c r="H56" s="1" t="n">
        <f aca="false">EXP(G56)*E56^$B$2</f>
        <v>55.9415605696529</v>
      </c>
      <c r="I56" s="1" t="n">
        <v>0</v>
      </c>
      <c r="J56" s="1" t="n">
        <v>0</v>
      </c>
      <c r="K56" s="15" t="n">
        <f aca="false">E56+J56</f>
        <v>415085.84375</v>
      </c>
      <c r="L56" s="1" t="n">
        <f aca="false">EXP(G56)*K56^$B$2</f>
        <v>55.9415605696529</v>
      </c>
      <c r="M56" s="1" t="n">
        <f aca="false">L56/H56-1</f>
        <v>0</v>
      </c>
      <c r="N56" s="1" t="n">
        <f aca="false">F56*(1+M56)</f>
        <v>57.208</v>
      </c>
      <c r="O56" s="1" t="n">
        <f aca="false">N56/N55-1</f>
        <v>0.109585321385624</v>
      </c>
      <c r="P56" s="1" t="n">
        <f aca="false">F56/F55-1</f>
        <v>0.109585321385624</v>
      </c>
    </row>
    <row r="57" customFormat="false" ht="12" hidden="false" customHeight="true" outlineLevel="0" collapsed="false">
      <c r="C57" s="1" t="n">
        <v>2023</v>
      </c>
      <c r="D57" s="1" t="n">
        <f aca="false">E57/F57</f>
        <v>6908.69522929534</v>
      </c>
      <c r="E57" s="15" t="n">
        <f aca="false">PWT!B35</f>
        <v>426190.5</v>
      </c>
      <c r="F57" s="1" t="n">
        <f aca="false">WEO_Data!C31</f>
        <v>61.689</v>
      </c>
      <c r="G57" s="1" t="n">
        <f aca="false">L27</f>
        <v>-0.462254859513865</v>
      </c>
      <c r="H57" s="1" t="n">
        <f aca="false">EXP(G57)*E57^$B$2</f>
        <v>58.8310477450098</v>
      </c>
      <c r="I57" s="1" t="n">
        <v>0</v>
      </c>
      <c r="J57" s="1" t="n">
        <v>0</v>
      </c>
      <c r="K57" s="15" t="n">
        <f aca="false">E57+J57</f>
        <v>426190.5</v>
      </c>
      <c r="L57" s="1" t="n">
        <f aca="false">EXP(G57)*K57^$B$2</f>
        <v>58.8310477450098</v>
      </c>
      <c r="M57" s="1" t="n">
        <f aca="false">L57/H57-1</f>
        <v>0</v>
      </c>
      <c r="N57" s="1" t="n">
        <f aca="false">F57*(1+M57)</f>
        <v>61.689</v>
      </c>
      <c r="O57" s="1" t="n">
        <f aca="false">N57/N56-1</f>
        <v>0.0783282058453363</v>
      </c>
      <c r="P57" s="1" t="n">
        <f aca="false">F57/F56-1</f>
        <v>0.0783282058453363</v>
      </c>
    </row>
    <row r="58" customFormat="false" ht="12" hidden="false" customHeight="true" outlineLevel="0" collapsed="false">
      <c r="C58" s="1" t="n">
        <v>2024</v>
      </c>
      <c r="D58" s="1" t="n">
        <f aca="false">E58/F58</f>
        <v>8137.81399978251</v>
      </c>
      <c r="E58" s="16" t="n">
        <f aca="false">AVERAGE($D$49:$D$57)*F58</f>
        <v>549343.134055318</v>
      </c>
      <c r="F58" s="1" t="n">
        <f aca="false">WEO_Data!C32</f>
        <v>67.505</v>
      </c>
      <c r="G58" s="17" t="n">
        <f aca="false">TREND($G$36:$G$57,$C$36:$C$57,C58)</f>
        <v>-0.383866296916483</v>
      </c>
      <c r="H58" s="1" t="n">
        <f aca="false">EXP(G58)*E58^$B$2</f>
        <v>69.5399350576219</v>
      </c>
      <c r="I58" s="1" t="n">
        <v>0</v>
      </c>
      <c r="J58" s="1" t="n">
        <v>0</v>
      </c>
      <c r="K58" s="15" t="n">
        <f aca="false">E58+J58</f>
        <v>549343.134055318</v>
      </c>
      <c r="L58" s="1" t="n">
        <f aca="false">EXP(G58)*K58^$B$2</f>
        <v>69.5399350576219</v>
      </c>
      <c r="M58" s="1" t="n">
        <f aca="false">L58/H58-1</f>
        <v>0</v>
      </c>
      <c r="N58" s="1" t="n">
        <f aca="false">F58*(1+M58)</f>
        <v>67.505</v>
      </c>
      <c r="O58" s="1" t="n">
        <f aca="false">N58/N57-1</f>
        <v>0.0942793690933552</v>
      </c>
      <c r="P58" s="1" t="n">
        <f aca="false">F58/F57-1</f>
        <v>0.0942793690933552</v>
      </c>
    </row>
    <row r="59" customFormat="false" ht="12" hidden="false" customHeight="true" outlineLevel="0" collapsed="false">
      <c r="C59" s="1" t="n">
        <v>2025</v>
      </c>
      <c r="D59" s="1" t="n">
        <f aca="false">E59/F59</f>
        <v>8137.81399978251</v>
      </c>
      <c r="E59" s="16" t="n">
        <f aca="false">AVERAGE($D$49:$D$57)*F59</f>
        <v>582179.213544441</v>
      </c>
      <c r="F59" s="1" t="n">
        <f aca="false">WEO_Data!C33</f>
        <v>71.54</v>
      </c>
      <c r="G59" s="17" t="n">
        <f aca="false">TREND($G$36:$G$57,$C$36:$C$57,C59)</f>
        <v>-0.338916962998317</v>
      </c>
      <c r="H59" s="1" t="n">
        <f aca="false">EXP(G59)*E59^$B$2</f>
        <v>74.2301052656639</v>
      </c>
      <c r="I59" s="1" t="n">
        <v>0</v>
      </c>
      <c r="J59" s="1" t="n">
        <v>0</v>
      </c>
      <c r="K59" s="15" t="n">
        <f aca="false">E59+J59</f>
        <v>582179.213544441</v>
      </c>
      <c r="L59" s="1" t="n">
        <f aca="false">EXP(G59)*K59^$B$2</f>
        <v>74.2301052656639</v>
      </c>
      <c r="M59" s="1" t="n">
        <f aca="false">L59/H59-1</f>
        <v>0</v>
      </c>
      <c r="N59" s="1" t="n">
        <f aca="false">F59*(1+M59)</f>
        <v>71.54</v>
      </c>
      <c r="O59" s="1" t="n">
        <f aca="false">N59/N58-1</f>
        <v>0.0597733501222133</v>
      </c>
      <c r="P59" s="1" t="n">
        <f aca="false">F59/F58-1</f>
        <v>0.0597733501222133</v>
      </c>
    </row>
    <row r="60" customFormat="false" ht="12" hidden="false" customHeight="true" outlineLevel="0" collapsed="false">
      <c r="C60" s="1" t="n">
        <v>2026</v>
      </c>
      <c r="D60" s="1" t="n">
        <f aca="false">E60/F60</f>
        <v>8137.81399978251</v>
      </c>
      <c r="E60" s="16" t="n">
        <f aca="false">AVERAGE($D$49:$D$57)*F60</f>
        <v>611288.174221663</v>
      </c>
      <c r="F60" s="17" t="n">
        <f aca="false">WEO_Data!C34</f>
        <v>75.117</v>
      </c>
      <c r="G60" s="17" t="n">
        <f aca="false">TREND($G$36:$G$57,$C$36:$C$57,C60)</f>
        <v>-0.29396762908015</v>
      </c>
      <c r="H60" s="1" t="n">
        <f aca="false">EXP(G60)*E60^$B$2</f>
        <v>78.9800817245004</v>
      </c>
      <c r="I60" s="18" t="n">
        <f aca="false">Investment!C2</f>
        <v>648.589313756442</v>
      </c>
      <c r="J60" s="1" t="n">
        <f aca="false">(1-$B$3)*J59+I60</f>
        <v>648.589313756442</v>
      </c>
      <c r="K60" s="15" t="n">
        <f aca="false">E60+J60</f>
        <v>611936.763535419</v>
      </c>
      <c r="L60" s="1" t="n">
        <f aca="false">EXP(G60)*K60^$B$2</f>
        <v>79.0094014379113</v>
      </c>
      <c r="M60" s="1" t="n">
        <f aca="false">L60/H60-1</f>
        <v>0.00037122921084265</v>
      </c>
      <c r="N60" s="1" t="n">
        <f aca="false">F60*(1+M60)</f>
        <v>75.1448856246309</v>
      </c>
      <c r="O60" s="1" t="n">
        <f aca="false">N60/N59-1</f>
        <v>0.0503897906713848</v>
      </c>
      <c r="P60" s="1" t="n">
        <f aca="false">F60/F59-1</f>
        <v>0.05</v>
      </c>
    </row>
    <row r="61" customFormat="false" ht="12" hidden="false" customHeight="true" outlineLevel="0" collapsed="false">
      <c r="C61" s="1" t="n">
        <v>2027</v>
      </c>
      <c r="D61" s="1" t="n">
        <f aca="false">E61/F61</f>
        <v>8137.81399978251</v>
      </c>
      <c r="E61" s="16" t="n">
        <f aca="false">AVERAGE($D$49:$D$57)*F61</f>
        <v>641853.803604846</v>
      </c>
      <c r="F61" s="17" t="n">
        <f aca="false">WEO_Data!C35</f>
        <v>78.873</v>
      </c>
      <c r="G61" s="17" t="n">
        <f aca="false">TREND($G$36:$G$57,$C$36:$C$57,C61)</f>
        <v>-0.249018295161983</v>
      </c>
      <c r="H61" s="1" t="n">
        <f aca="false">EXP(G61)*E61^$B$2</f>
        <v>84.034064601862</v>
      </c>
      <c r="I61" s="18" t="n">
        <f aca="false">Investment!C3</f>
        <v>1220.08019689654</v>
      </c>
      <c r="J61" s="1" t="n">
        <f aca="false">(1-$B$3)*J60+I61</f>
        <v>1858.80655365016</v>
      </c>
      <c r="K61" s="15" t="n">
        <f aca="false">E61+J61</f>
        <v>643712.610158496</v>
      </c>
      <c r="L61" s="1" t="n">
        <f aca="false">EXP(G61)*K61^$B$2</f>
        <v>84.1191613943742</v>
      </c>
      <c r="M61" s="1" t="n">
        <f aca="false">L61/H61-1</f>
        <v>0.00101264639423815</v>
      </c>
      <c r="N61" s="1" t="n">
        <f aca="false">F61*(1+M61)</f>
        <v>78.9528704590528</v>
      </c>
      <c r="O61" s="1" t="n">
        <f aca="false">N61/N60-1</f>
        <v>0.050675236282131</v>
      </c>
      <c r="P61" s="1" t="n">
        <f aca="false">F61/F60-1</f>
        <v>0.0500019968848595</v>
      </c>
    </row>
    <row r="62" customFormat="false" ht="12" hidden="false" customHeight="true" outlineLevel="0" collapsed="false">
      <c r="C62" s="1" t="n">
        <v>2028</v>
      </c>
      <c r="D62" s="1" t="n">
        <f aca="false">E62/F62</f>
        <v>8137.81399978251</v>
      </c>
      <c r="E62" s="16" t="n">
        <f aca="false">AVERAGE($D$49:$D$57)*F62</f>
        <v>673946.493785088</v>
      </c>
      <c r="F62" s="17" t="n">
        <f aca="false">WEO_Data!C36</f>
        <v>82.81665</v>
      </c>
      <c r="G62" s="17" t="n">
        <f aca="false">TREND($G$36:$G$57,$C$36:$C$57,C62)</f>
        <v>-0.204068961243816</v>
      </c>
      <c r="H62" s="1" t="n">
        <f aca="false">EXP(G62)*E62^$B$2</f>
        <v>89.4113953650426</v>
      </c>
      <c r="I62" s="18" t="n">
        <f aca="false">Investment!C4</f>
        <v>1756.17368014315</v>
      </c>
      <c r="J62" s="1" t="n">
        <f aca="false">(1-$B$3)*J61+I62</f>
        <v>3586.71376574277</v>
      </c>
      <c r="K62" s="15" t="n">
        <f aca="false">E62+J62</f>
        <v>677533.207550831</v>
      </c>
      <c r="L62" s="1" t="n">
        <f aca="false">EXP(G62)*K62^$B$2</f>
        <v>89.5776533802037</v>
      </c>
      <c r="M62" s="1" t="n">
        <f aca="false">L62/H62-1</f>
        <v>0.00185947232432993</v>
      </c>
      <c r="N62" s="1" t="n">
        <f aca="false">F62*(1+M62)</f>
        <v>82.9706452686687</v>
      </c>
      <c r="O62" s="1" t="n">
        <f aca="false">N62/N61-1</f>
        <v>0.0508882677254872</v>
      </c>
      <c r="P62" s="1" t="n">
        <f aca="false">F62/F61-1</f>
        <v>0.05</v>
      </c>
    </row>
    <row r="63" customFormat="false" ht="12" hidden="false" customHeight="true" outlineLevel="0" collapsed="false">
      <c r="C63" s="1" t="n">
        <v>2029</v>
      </c>
      <c r="D63" s="1" t="n">
        <f aca="false">E63/F63</f>
        <v>8137.81399978251</v>
      </c>
      <c r="E63" s="16" t="n">
        <f aca="false">AVERAGE($D$49:$D$57)*F63</f>
        <v>707643.818474343</v>
      </c>
      <c r="F63" s="17" t="n">
        <f aca="false">WEO_Data!C37</f>
        <v>86.9574825</v>
      </c>
      <c r="G63" s="17" t="n">
        <f aca="false">TREND($G$36:$G$57,$C$36:$C$57,C63)</f>
        <v>-0.159119627325649</v>
      </c>
      <c r="H63" s="1" t="n">
        <f aca="false">EXP(G63)*E63^$B$2</f>
        <v>95.1328209458862</v>
      </c>
      <c r="I63" s="18" t="n">
        <f aca="false">Investment!C5</f>
        <v>2221.19470098522</v>
      </c>
      <c r="J63" s="1" t="n">
        <f aca="false">(1-$B$3)*J62+I63</f>
        <v>5753.3660885194</v>
      </c>
      <c r="K63" s="15" t="n">
        <f aca="false">E63+J63</f>
        <v>713397.184562862</v>
      </c>
      <c r="L63" s="1" t="n">
        <f aca="false">EXP(G63)*K63^$B$2</f>
        <v>95.4028196943562</v>
      </c>
      <c r="M63" s="1" t="n">
        <f aca="false">L63/H63-1</f>
        <v>0.00283812406470707</v>
      </c>
      <c r="N63" s="1" t="n">
        <f aca="false">F63*(1+M63)</f>
        <v>87.2042786236896</v>
      </c>
      <c r="O63" s="1" t="n">
        <f aca="false">N63/N62-1</f>
        <v>0.0510256771091977</v>
      </c>
      <c r="P63" s="1" t="n">
        <f aca="false">F63/F62-1</f>
        <v>0.05</v>
      </c>
    </row>
    <row r="64" customFormat="false" ht="12" hidden="false" customHeight="true" outlineLevel="0" collapsed="false">
      <c r="C64" s="1" t="n">
        <v>2030</v>
      </c>
      <c r="D64" s="1" t="n">
        <f aca="false">E64/F64</f>
        <v>8137.81399978251</v>
      </c>
      <c r="E64" s="16" t="n">
        <f aca="false">AVERAGE($D$49:$D$57)*F64</f>
        <v>743026.00939806</v>
      </c>
      <c r="F64" s="17" t="n">
        <f aca="false">WEO_Data!C38</f>
        <v>91.305356625</v>
      </c>
      <c r="G64" s="17" t="n">
        <f aca="false">TREND($G$36:$G$57,$C$36:$C$57,C64)</f>
        <v>-0.114170293407482</v>
      </c>
      <c r="H64" s="1" t="n">
        <f aca="false">EXP(G64)*E64^$B$2</f>
        <v>101.220359934797</v>
      </c>
      <c r="I64" s="18" t="n">
        <f aca="false">Investment!C6</f>
        <v>2122.46787645573</v>
      </c>
      <c r="J64" s="1" t="n">
        <f aca="false">(1-$B$3)*J63+I64</f>
        <v>7788.34377488256</v>
      </c>
      <c r="K64" s="15" t="n">
        <f aca="false">E64+J64</f>
        <v>750814.353172942</v>
      </c>
      <c r="L64" s="1" t="n">
        <f aca="false">EXP(G64)*K64^$B$2</f>
        <v>101.590446664628</v>
      </c>
      <c r="M64" s="1" t="n">
        <f aca="false">L64/H64-1</f>
        <v>0.00365624791365349</v>
      </c>
      <c r="N64" s="1" t="n">
        <f aca="false">F64*(1+M64)</f>
        <v>91.6391916446656</v>
      </c>
      <c r="O64" s="1" t="n">
        <f aca="false">N64/N63-1</f>
        <v>0.0508565989074208</v>
      </c>
      <c r="P64" s="1" t="n">
        <f aca="false">F64/F63-1</f>
        <v>0.05</v>
      </c>
    </row>
    <row r="65" customFormat="false" ht="12" hidden="false" customHeight="true" outlineLevel="0" collapsed="false">
      <c r="C65" s="1" t="n">
        <v>2031</v>
      </c>
      <c r="D65" s="1" t="n">
        <f aca="false">E65/F65</f>
        <v>8137.81399978251</v>
      </c>
      <c r="E65" s="16" t="n">
        <f aca="false">AVERAGE($D$49:$D$57)*F65</f>
        <v>780177.309867963</v>
      </c>
      <c r="F65" s="17" t="n">
        <f aca="false">WEO_Data!C39</f>
        <v>95.87062445625</v>
      </c>
      <c r="G65" s="17" t="n">
        <f aca="false">TREND($G$36:$G$57,$C$36:$C$57,C65)</f>
        <v>-0.0692209594893149</v>
      </c>
      <c r="H65" s="1" t="n">
        <f aca="false">EXP(G65)*E65^$B$2</f>
        <v>107.697439889413</v>
      </c>
      <c r="I65" s="18" t="n">
        <f aca="false">Investment!C7</f>
        <v>1524.52458527675</v>
      </c>
      <c r="J65" s="1" t="n">
        <f aca="false">(1-$B$3)*J64+I65</f>
        <v>9194.43270581593</v>
      </c>
      <c r="K65" s="15" t="n">
        <f aca="false">E65+J65</f>
        <v>789371.742573779</v>
      </c>
      <c r="L65" s="1" t="n">
        <f aca="false">EXP(G65)*K65^$B$2</f>
        <v>108.139976477184</v>
      </c>
      <c r="M65" s="1" t="n">
        <f aca="false">L65/H65-1</f>
        <v>0.00410907249258208</v>
      </c>
      <c r="N65" s="1" t="n">
        <f aca="false">F65*(1+M65)</f>
        <v>96.2645638020499</v>
      </c>
      <c r="O65" s="1" t="n">
        <f aca="false">N65/N64-1</f>
        <v>0.0504737337199501</v>
      </c>
      <c r="P65" s="1" t="n">
        <f aca="false">F65/F64-1</f>
        <v>0.05</v>
      </c>
    </row>
    <row r="66" customFormat="false" ht="12" hidden="false" customHeight="true" outlineLevel="0" collapsed="false">
      <c r="C66" s="1" t="n">
        <v>2032</v>
      </c>
      <c r="D66" s="1" t="n">
        <f aca="false">E66/F66</f>
        <v>8137.81399978251</v>
      </c>
      <c r="E66" s="16" t="n">
        <f aca="false">AVERAGE($D$49:$D$57)*F66</f>
        <v>819186.175361361</v>
      </c>
      <c r="F66" s="17" t="n">
        <f aca="false">WEO_Data!C40</f>
        <v>100.664155679063</v>
      </c>
      <c r="G66" s="17" t="n">
        <f aca="false">TREND($G$36:$G$57,$C$36:$C$57,C66)</f>
        <v>-0.0242716255711479</v>
      </c>
      <c r="H66" s="1" t="n">
        <f aca="false">EXP(G66)*E66^$B$2</f>
        <v>114.588987494267</v>
      </c>
      <c r="I66" s="18" t="n">
        <f aca="false">Investment!C8</f>
        <v>738.176310559893</v>
      </c>
      <c r="J66" s="1" t="n">
        <f aca="false">(1-$B$3)*J65+I66</f>
        <v>9792.79127266742</v>
      </c>
      <c r="K66" s="15" t="n">
        <f aca="false">E66+J66</f>
        <v>828978.966634028</v>
      </c>
      <c r="L66" s="1" t="n">
        <f aca="false">EXP(G66)*K66^$B$2</f>
        <v>115.066577550494</v>
      </c>
      <c r="M66" s="1" t="n">
        <f aca="false">L66/H66-1</f>
        <v>0.00416785300813727</v>
      </c>
      <c r="N66" s="1" t="n">
        <f aca="false">F66*(1+M66)</f>
        <v>101.083709083121</v>
      </c>
      <c r="O66" s="1" t="n">
        <f aca="false">N66/N65-1</f>
        <v>0.0500614669691009</v>
      </c>
      <c r="P66" s="1" t="n">
        <f aca="false">F66/F65-1</f>
        <v>0.05</v>
      </c>
    </row>
    <row r="67" customFormat="false" ht="12" hidden="false" customHeight="true" outlineLevel="0" collapsed="false">
      <c r="C67" s="1" t="n">
        <v>2033</v>
      </c>
      <c r="D67" s="1" t="n">
        <f aca="false">E67/F67</f>
        <v>8137.81399978251</v>
      </c>
      <c r="E67" s="16" t="n">
        <f aca="false">AVERAGE($D$49:$D$57)*F67</f>
        <v>860145.484129429</v>
      </c>
      <c r="F67" s="17" t="n">
        <f aca="false">WEO_Data!C41</f>
        <v>105.697363463016</v>
      </c>
      <c r="G67" s="17" t="n">
        <f aca="false">TREND($G$36:$G$57,$C$36:$C$57,C67)</f>
        <v>0.020677708347019</v>
      </c>
      <c r="H67" s="1" t="n">
        <f aca="false">EXP(G67)*E67^$B$2</f>
        <v>121.921524489758</v>
      </c>
      <c r="I67" s="18" t="n">
        <f aca="false">Investment!C9</f>
        <v>352.605976897002</v>
      </c>
      <c r="J67" s="1" t="n">
        <f aca="false">(1-$B$3)*J66+I67</f>
        <v>9996.48039692536</v>
      </c>
      <c r="K67" s="15" t="n">
        <f aca="false">E67+J67</f>
        <v>870141.964526354</v>
      </c>
      <c r="L67" s="1" t="n">
        <f aca="false">EXP(G67)*K67^$B$2</f>
        <v>122.415596895164</v>
      </c>
      <c r="M67" s="1" t="n">
        <f aca="false">L67/H67-1</f>
        <v>0.00405238047566425</v>
      </c>
      <c r="N67" s="1" t="n">
        <f aca="false">F67*(1+M67)</f>
        <v>106.125689395042</v>
      </c>
      <c r="O67" s="1" t="n">
        <f aca="false">N67/N66-1</f>
        <v>0.0498792570796471</v>
      </c>
      <c r="P67" s="1" t="n">
        <f aca="false">F67/F66-1</f>
        <v>0.05</v>
      </c>
    </row>
    <row r="68" customFormat="false" ht="12" hidden="false" customHeight="true" outlineLevel="0" collapsed="false">
      <c r="C68" s="1" t="n">
        <v>2034</v>
      </c>
      <c r="D68" s="1" t="n">
        <f aca="false">E68/F68</f>
        <v>8137.81399978251</v>
      </c>
      <c r="E68" s="16" t="n">
        <f aca="false">AVERAGE($D$49:$D$57)*F68</f>
        <v>903152.7583359</v>
      </c>
      <c r="F68" s="17" t="n">
        <f aca="false">WEO_Data!C42</f>
        <v>110.982231636166</v>
      </c>
      <c r="G68" s="17" t="n">
        <f aca="false">TREND($G$36:$G$57,$C$36:$C$57,C68)</f>
        <v>0.065627042265186</v>
      </c>
      <c r="H68" s="1" t="n">
        <f aca="false">EXP(G68)*E68^$B$2</f>
        <v>129.723269739602</v>
      </c>
      <c r="I68" s="1" t="n">
        <v>0</v>
      </c>
      <c r="J68" s="1" t="n">
        <f aca="false">(1-$B$3)*J67+I68</f>
        <v>9844.4660879578</v>
      </c>
      <c r="K68" s="15" t="n">
        <f aca="false">E68+J68</f>
        <v>912997.224423858</v>
      </c>
      <c r="L68" s="1" t="n">
        <f aca="false">EXP(G68)*K68^$B$2</f>
        <v>130.216426328512</v>
      </c>
      <c r="M68" s="1" t="n">
        <f aca="false">L68/H68-1</f>
        <v>0.00380160467662627</v>
      </c>
      <c r="N68" s="1" t="n">
        <f aca="false">F68*(1+M68)</f>
        <v>111.404142206977</v>
      </c>
      <c r="O68" s="1" t="n">
        <f aca="false">N68/N67-1</f>
        <v>0.0497377481552654</v>
      </c>
      <c r="P68" s="1" t="n">
        <f aca="false">F68/F67-1</f>
        <v>0.05</v>
      </c>
    </row>
    <row r="69" customFormat="false" ht="12" hidden="false" customHeight="true" outlineLevel="0" collapsed="false">
      <c r="C69" s="1" t="n">
        <v>2035</v>
      </c>
      <c r="D69" s="1" t="n">
        <f aca="false">E69/F69</f>
        <v>8137.81399978251</v>
      </c>
      <c r="E69" s="16" t="n">
        <f aca="false">AVERAGE($D$49:$D$57)*F69</f>
        <v>948310.396252696</v>
      </c>
      <c r="F69" s="17" t="n">
        <f aca="false">WEO_Data!C43</f>
        <v>116.531343217975</v>
      </c>
      <c r="G69" s="17" t="n">
        <f aca="false">TREND($G$36:$G$57,$C$36:$C$57,C69)</f>
        <v>0.110576376183353</v>
      </c>
      <c r="H69" s="1" t="n">
        <f aca="false">EXP(G69)*E69^$B$2</f>
        <v>138.024247829572</v>
      </c>
      <c r="I69" s="1" t="n">
        <v>0</v>
      </c>
      <c r="J69" s="1" t="n">
        <f aca="false">(1-$B$3)*J68+I69</f>
        <v>9694.76342761188</v>
      </c>
      <c r="K69" s="15" t="n">
        <f aca="false">E69+J69</f>
        <v>958005.159680307</v>
      </c>
      <c r="L69" s="1" t="n">
        <f aca="false">EXP(G69)*K69^$B$2</f>
        <v>138.516483248774</v>
      </c>
      <c r="M69" s="1" t="n">
        <f aca="false">L69/H69-1</f>
        <v>0.00356629669744657</v>
      </c>
      <c r="N69" s="1" t="n">
        <f aca="false">F69*(1+M69)</f>
        <v>116.946928562442</v>
      </c>
      <c r="O69" s="1" t="n">
        <f aca="false">N69/N68-1</f>
        <v>0.0497538623399409</v>
      </c>
      <c r="P69" s="1" t="n">
        <f aca="false">F69/F68-1</f>
        <v>0.05</v>
      </c>
    </row>
    <row r="70" customFormat="false" ht="12" hidden="false" customHeight="true" outlineLevel="0" collapsed="false">
      <c r="C70" s="1" t="n">
        <v>2036</v>
      </c>
      <c r="D70" s="1" t="n">
        <f aca="false">E70/F70</f>
        <v>8137.81399978251</v>
      </c>
      <c r="E70" s="16" t="n">
        <f aca="false">AVERAGE($D$49:$D$57)*F70</f>
        <v>995725.91606533</v>
      </c>
      <c r="F70" s="17" t="n">
        <f aca="false">WEO_Data!C44</f>
        <v>122.357910378874</v>
      </c>
      <c r="G70" s="17" t="n">
        <f aca="false">TREND($G$36:$G$57,$C$36:$C$57,C70)</f>
        <v>0.15552571010152</v>
      </c>
      <c r="H70" s="1" t="n">
        <f aca="false">EXP(G70)*E70^$B$2</f>
        <v>146.856404615457</v>
      </c>
      <c r="I70" s="1" t="n">
        <v>0</v>
      </c>
      <c r="J70" s="1" t="n">
        <f aca="false">(1-$B$3)*J69+I70</f>
        <v>9547.33726314846</v>
      </c>
      <c r="K70" s="15" t="n">
        <f aca="false">E70+J70</f>
        <v>1005273.25332848</v>
      </c>
      <c r="L70" s="1" t="n">
        <f aca="false">EXP(G70)*K70^$B$2</f>
        <v>147.347713978281</v>
      </c>
      <c r="M70" s="1" t="n">
        <f aca="false">L70/H70-1</f>
        <v>0.00334550858786331</v>
      </c>
      <c r="N70" s="1" t="n">
        <f aca="false">F70*(1+M70)</f>
        <v>122.767259818839</v>
      </c>
      <c r="O70" s="1" t="n">
        <f aca="false">N70/N69-1</f>
        <v>0.0497689963126251</v>
      </c>
      <c r="P70" s="1" t="n">
        <f aca="false">F70/F69-1</f>
        <v>0.05</v>
      </c>
    </row>
    <row r="71" customFormat="false" ht="12" hidden="false" customHeight="true" outlineLevel="0" collapsed="false">
      <c r="C71" s="1" t="n">
        <v>2037</v>
      </c>
      <c r="D71" s="1" t="n">
        <f aca="false">E71/F71</f>
        <v>8137.81399978251</v>
      </c>
      <c r="E71" s="16" t="n">
        <f aca="false">AVERAGE($D$49:$D$57)*F71</f>
        <v>1045512.2118686</v>
      </c>
      <c r="F71" s="17" t="n">
        <f aca="false">WEO_Data!C45</f>
        <v>128.475805897817</v>
      </c>
      <c r="G71" s="17" t="n">
        <f aca="false">TREND($G$36:$G$57,$C$36:$C$57,C71)</f>
        <v>0.200475044019687</v>
      </c>
      <c r="H71" s="1" t="n">
        <f aca="false">EXP(G71)*E71^$B$2</f>
        <v>156.253730164926</v>
      </c>
      <c r="I71" s="1" t="n">
        <v>0</v>
      </c>
      <c r="J71" s="1" t="n">
        <f aca="false">(1-$B$3)*J70+I71</f>
        <v>9402.15297638848</v>
      </c>
      <c r="K71" s="15" t="n">
        <f aca="false">E71+J71</f>
        <v>1054914.36484499</v>
      </c>
      <c r="L71" s="1" t="n">
        <f aca="false">EXP(G71)*K71^$B$2</f>
        <v>156.744109022289</v>
      </c>
      <c r="M71" s="1" t="n">
        <f aca="false">L71/H71-1</f>
        <v>0.00313834976512495</v>
      </c>
      <c r="N71" s="1" t="n">
        <f aca="false">F71*(1+M71)</f>
        <v>128.879007913081</v>
      </c>
      <c r="O71" s="1" t="n">
        <f aca="false">N71/N70-1</f>
        <v>0.0497832085139032</v>
      </c>
      <c r="P71" s="1" t="n">
        <f aca="false">F71/F70-1</f>
        <v>0.05</v>
      </c>
    </row>
    <row r="72" customFormat="false" ht="12" hidden="false" customHeight="true" outlineLevel="0" collapsed="false">
      <c r="C72" s="1" t="n">
        <v>2038</v>
      </c>
      <c r="D72" s="1" t="n">
        <f aca="false">E72/F72</f>
        <v>8137.81399978251</v>
      </c>
      <c r="E72" s="16" t="n">
        <f aca="false">AVERAGE($D$49:$D$57)*F72</f>
        <v>1097787.82246203</v>
      </c>
      <c r="F72" s="17" t="n">
        <f aca="false">WEO_Data!C46</f>
        <v>134.899596192708</v>
      </c>
      <c r="G72" s="17" t="n">
        <f aca="false">TREND($G$36:$G$57,$C$36:$C$57,C72)</f>
        <v>0.245424377937854</v>
      </c>
      <c r="H72" s="1" t="n">
        <f aca="false">EXP(G72)*E72^$B$2</f>
        <v>166.252389566425</v>
      </c>
      <c r="I72" s="1" t="n">
        <v>0</v>
      </c>
      <c r="J72" s="1" t="n">
        <f aca="false">(1-$B$3)*J71+I72</f>
        <v>9259.17647558399</v>
      </c>
      <c r="K72" s="15" t="n">
        <f aca="false">E72+J72</f>
        <v>1107046.99893761</v>
      </c>
      <c r="L72" s="1" t="n">
        <f aca="false">EXP(G72)*K72^$B$2</f>
        <v>166.741833879593</v>
      </c>
      <c r="M72" s="1" t="n">
        <f aca="false">L72/H72-1</f>
        <v>0.00294398362901238</v>
      </c>
      <c r="N72" s="1" t="n">
        <f aca="false">F72*(1+M72)</f>
        <v>135.29673839546</v>
      </c>
      <c r="O72" s="1" t="n">
        <f aca="false">N72/N71-1</f>
        <v>0.0497965540416576</v>
      </c>
      <c r="P72" s="1" t="n">
        <f aca="false">F72/F71-1</f>
        <v>0.05</v>
      </c>
    </row>
    <row r="73" customFormat="false" ht="12" hidden="false" customHeight="true" outlineLevel="0" collapsed="false">
      <c r="C73" s="1" t="n">
        <v>2039</v>
      </c>
      <c r="D73" s="1" t="n">
        <f aca="false">E73/F73</f>
        <v>8137.81399978251</v>
      </c>
      <c r="E73" s="16" t="n">
        <f aca="false">AVERAGE($D$49:$D$57)*F73</f>
        <v>1152677.21358513</v>
      </c>
      <c r="F73" s="17" t="n">
        <f aca="false">WEO_Data!C47</f>
        <v>141.644576002343</v>
      </c>
      <c r="G73" s="17" t="n">
        <f aca="false">TREND($G$36:$G$57,$C$36:$C$57,C73)</f>
        <v>0.290373711856021</v>
      </c>
      <c r="H73" s="1" t="n">
        <f aca="false">EXP(G73)*E73^$B$2</f>
        <v>176.890862108524</v>
      </c>
      <c r="I73" s="1" t="n">
        <v>0</v>
      </c>
      <c r="J73" s="1" t="n">
        <f aca="false">(1-$B$3)*J72+I73</f>
        <v>9118.37418741289</v>
      </c>
      <c r="K73" s="15" t="n">
        <f aca="false">E73+J73</f>
        <v>1161795.58777254</v>
      </c>
      <c r="L73" s="1" t="n">
        <f aca="false">EXP(G73)*K73^$B$2</f>
        <v>177.379368223486</v>
      </c>
      <c r="M73" s="1" t="n">
        <f aca="false">L73/H73-1</f>
        <v>0.00276162436623051</v>
      </c>
      <c r="N73" s="1" t="n">
        <f aca="false">F73*(1+M73)</f>
        <v>142.035745114776</v>
      </c>
      <c r="O73" s="1" t="n">
        <f aca="false">N73/N72-1</f>
        <v>0.0498090848252279</v>
      </c>
      <c r="P73" s="1" t="n">
        <f aca="false">F73/F72-1</f>
        <v>0.05</v>
      </c>
    </row>
    <row r="74" customFormat="false" ht="12" hidden="false" customHeight="true" outlineLevel="0" collapsed="false">
      <c r="C74" s="1" t="n">
        <v>2040</v>
      </c>
      <c r="D74" s="1" t="n">
        <f aca="false">E74/F74</f>
        <v>8137.81399978251</v>
      </c>
      <c r="E74" s="16" t="n">
        <f aca="false">AVERAGE($D$49:$D$57)*F74</f>
        <v>1210311.07426438</v>
      </c>
      <c r="F74" s="17" t="n">
        <f aca="false">WEO_Data!C48</f>
        <v>148.726804802461</v>
      </c>
      <c r="G74" s="17" t="n">
        <f aca="false">TREND($G$36:$G$57,$C$36:$C$57,C74)</f>
        <v>0.335323045774188</v>
      </c>
      <c r="H74" s="1" t="n">
        <f aca="false">EXP(G74)*E74^$B$2</f>
        <v>188.210089365331</v>
      </c>
      <c r="I74" s="1" t="n">
        <v>0</v>
      </c>
      <c r="J74" s="1" t="n">
        <f aca="false">(1-$B$3)*J73+I74</f>
        <v>8979.71304909529</v>
      </c>
      <c r="K74" s="15" t="n">
        <f aca="false">E74+J74</f>
        <v>1219290.78731348</v>
      </c>
      <c r="L74" s="1" t="n">
        <f aca="false">EXP(G74)*K74^$B$2</f>
        <v>188.697653988708</v>
      </c>
      <c r="M74" s="1" t="n">
        <f aca="false">L74/H74-1</f>
        <v>0.00259053393482267</v>
      </c>
      <c r="N74" s="1" t="n">
        <f aca="false">F74*(1+M74)</f>
        <v>149.112086637319</v>
      </c>
      <c r="O74" s="1" t="n">
        <f aca="false">N74/N73-1</f>
        <v>0.0498208497925998</v>
      </c>
      <c r="P74" s="1" t="n">
        <f aca="false">F74/F73-1</f>
        <v>0.05</v>
      </c>
    </row>
    <row r="75" customFormat="false" ht="12" hidden="false" customHeight="true" outlineLevel="0" collapsed="false">
      <c r="C75" s="1" t="n">
        <v>2041</v>
      </c>
      <c r="D75" s="1" t="n">
        <f aca="false">E75/F75</f>
        <v>8137.81399978251</v>
      </c>
      <c r="E75" s="16" t="n">
        <f aca="false">AVERAGE($D$49:$D$57)*F75</f>
        <v>1270826.6279776</v>
      </c>
      <c r="F75" s="17" t="n">
        <f aca="false">WEO_Data!C49</f>
        <v>156.163145042584</v>
      </c>
      <c r="G75" s="17" t="n">
        <f aca="false">TREND($G$36:$G$57,$C$36:$C$57,C75)</f>
        <v>0.380272379692355</v>
      </c>
      <c r="H75" s="1" t="n">
        <f aca="false">EXP(G75)*E75^$B$2</f>
        <v>200.253632757885</v>
      </c>
      <c r="I75" s="1" t="n">
        <v>0</v>
      </c>
      <c r="J75" s="1" t="n">
        <f aca="false">(1-$B$3)*J74+I75</f>
        <v>8843.16050062982</v>
      </c>
      <c r="K75" s="15" t="n">
        <f aca="false">E75+J75</f>
        <v>1279669.78847823</v>
      </c>
      <c r="L75" s="1" t="n">
        <f aca="false">EXP(G75)*K75^$B$2</f>
        <v>200.740252934276</v>
      </c>
      <c r="M75" s="1" t="n">
        <f aca="false">L75/H75-1</f>
        <v>0.0024300192195752</v>
      </c>
      <c r="N75" s="1" t="n">
        <f aca="false">F75*(1+M75)</f>
        <v>156.542624486426</v>
      </c>
      <c r="O75" s="1" t="n">
        <f aca="false">N75/N74-1</f>
        <v>0.049831895030618</v>
      </c>
      <c r="P75" s="1" t="n">
        <f aca="false">F75/F74-1</f>
        <v>0.05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8.6796875" defaultRowHeight="12" zeroHeight="false" outlineLevelRow="0" outlineLevelCol="0"/>
  <cols>
    <col collapsed="false" customWidth="true" hidden="false" outlineLevel="0" max="3" min="3" style="1" width="11"/>
  </cols>
  <sheetData>
    <row r="1" s="19" customFormat="true" ht="36.75" hidden="false" customHeight="true" outlineLevel="0" collapsed="false">
      <c r="B1" s="20" t="s">
        <v>26</v>
      </c>
      <c r="C1" s="20" t="s">
        <v>27</v>
      </c>
    </row>
    <row r="2" customFormat="false" ht="12" hidden="false" customHeight="true" outlineLevel="0" collapsed="false">
      <c r="B2" s="21" t="n">
        <v>2026</v>
      </c>
      <c r="C2" s="1" t="n">
        <v>648.589313756442</v>
      </c>
    </row>
    <row r="3" customFormat="false" ht="12" hidden="false" customHeight="true" outlineLevel="0" collapsed="false">
      <c r="B3" s="21" t="n">
        <v>2027</v>
      </c>
      <c r="C3" s="1" t="n">
        <v>1220.08019689654</v>
      </c>
    </row>
    <row r="4" customFormat="false" ht="12" hidden="false" customHeight="true" outlineLevel="0" collapsed="false">
      <c r="B4" s="21" t="n">
        <v>2028</v>
      </c>
      <c r="C4" s="1" t="n">
        <v>1756.17368014315</v>
      </c>
    </row>
    <row r="5" customFormat="false" ht="12" hidden="false" customHeight="true" outlineLevel="0" collapsed="false">
      <c r="B5" s="21" t="n">
        <v>2029</v>
      </c>
      <c r="C5" s="1" t="n">
        <v>2221.19470098522</v>
      </c>
    </row>
    <row r="6" customFormat="false" ht="12" hidden="false" customHeight="true" outlineLevel="0" collapsed="false">
      <c r="B6" s="21" t="n">
        <v>2030</v>
      </c>
      <c r="C6" s="1" t="n">
        <v>2122.46787645573</v>
      </c>
    </row>
    <row r="7" customFormat="false" ht="12" hidden="false" customHeight="true" outlineLevel="0" collapsed="false">
      <c r="B7" s="21" t="n">
        <v>2031</v>
      </c>
      <c r="C7" s="1" t="n">
        <v>1524.52458527675</v>
      </c>
    </row>
    <row r="8" customFormat="false" ht="12" hidden="false" customHeight="true" outlineLevel="0" collapsed="false">
      <c r="B8" s="21" t="n">
        <v>2032</v>
      </c>
      <c r="C8" s="1" t="n">
        <v>738.176310559893</v>
      </c>
    </row>
    <row r="9" customFormat="false" ht="12" hidden="false" customHeight="true" outlineLevel="0" collapsed="false">
      <c r="B9" s="21" t="n">
        <v>2033</v>
      </c>
      <c r="C9" s="1" t="n">
        <v>352.605976897002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6796875" defaultRowHeight="12" zeroHeight="false" outlineLevelRow="0" outlineLevelCol="0"/>
  <cols>
    <col collapsed="false" customWidth="true" hidden="false" outlineLevel="0" max="1" min="1" style="1" width="12.38"/>
    <col collapsed="false" customWidth="true" hidden="false" outlineLevel="0" max="3" min="3" style="1" width="18.31"/>
  </cols>
  <sheetData>
    <row r="1" customFormat="false" ht="12" hidden="false" customHeight="true" outlineLevel="0" collapsed="false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customFormat="false" ht="12" hidden="false" customHeight="true" outlineLevel="0" collapsed="false">
      <c r="A2" s="22" t="n">
        <v>35430</v>
      </c>
      <c r="B2" s="1" t="n">
        <v>1996</v>
      </c>
      <c r="C2" s="1" t="n">
        <v>304.5150917602</v>
      </c>
      <c r="D2" s="15" t="n">
        <f aca="false">PWT!B8</f>
        <v>301706.46875</v>
      </c>
      <c r="E2" s="1" t="n">
        <f aca="false">C2/D2</f>
        <v>0.00100930912426849</v>
      </c>
    </row>
    <row r="3" customFormat="false" ht="12" hidden="false" customHeight="true" outlineLevel="0" collapsed="false">
      <c r="A3" s="22" t="n">
        <v>35795</v>
      </c>
      <c r="B3" s="1" t="n">
        <v>1997</v>
      </c>
      <c r="C3" s="1" t="n">
        <v>383.641663608596</v>
      </c>
      <c r="D3" s="15" t="n">
        <f aca="false">PWT!B9</f>
        <v>298764.625</v>
      </c>
      <c r="E3" s="1" t="n">
        <f aca="false">C3/D3</f>
        <v>0.00128409333470653</v>
      </c>
    </row>
    <row r="4" customFormat="false" ht="12" hidden="false" customHeight="true" outlineLevel="0" collapsed="false">
      <c r="A4" s="22" t="n">
        <v>36160</v>
      </c>
      <c r="B4" s="1" t="n">
        <v>1998</v>
      </c>
      <c r="C4" s="1" t="n">
        <v>516.397121222809</v>
      </c>
      <c r="D4" s="15" t="n">
        <f aca="false">PWT!B10</f>
        <v>298990.5</v>
      </c>
      <c r="E4" s="1" t="n">
        <f aca="false">C4/D4</f>
        <v>0.00172713554853017</v>
      </c>
    </row>
    <row r="5" customFormat="false" ht="12" hidden="false" customHeight="true" outlineLevel="0" collapsed="false">
      <c r="A5" s="22" t="n">
        <v>36525</v>
      </c>
      <c r="B5" s="1" t="n">
        <v>1999</v>
      </c>
      <c r="C5" s="1" t="n">
        <v>661.603834429231</v>
      </c>
      <c r="D5" s="15" t="n">
        <f aca="false">PWT!B11</f>
        <v>299754.78125</v>
      </c>
      <c r="E5" s="1" t="n">
        <f aca="false">C5/D5</f>
        <v>0.00220715023016578</v>
      </c>
    </row>
    <row r="6" customFormat="false" ht="12" hidden="false" customHeight="true" outlineLevel="0" collapsed="false">
      <c r="A6" s="22" t="n">
        <v>36891</v>
      </c>
      <c r="B6" s="1" t="n">
        <v>2000</v>
      </c>
      <c r="C6" s="1" t="n">
        <v>631.70100088782</v>
      </c>
      <c r="D6" s="15" t="n">
        <f aca="false">PWT!B12</f>
        <v>300383.3125</v>
      </c>
      <c r="E6" s="1" t="n">
        <f aca="false">C6/D6</f>
        <v>0.00210298300405027</v>
      </c>
    </row>
    <row r="7" customFormat="false" ht="12" hidden="false" customHeight="true" outlineLevel="0" collapsed="false">
      <c r="A7" s="22" t="n">
        <v>37256</v>
      </c>
      <c r="B7" s="1" t="n">
        <v>2001</v>
      </c>
      <c r="C7" s="1" t="n">
        <v>706.983726789065</v>
      </c>
      <c r="D7" s="15" t="n">
        <f aca="false">PWT!B13</f>
        <v>302284.0625</v>
      </c>
      <c r="E7" s="1" t="n">
        <f aca="false">C7/D7</f>
        <v>0.00233880582701599</v>
      </c>
    </row>
    <row r="8" customFormat="false" ht="12" hidden="false" customHeight="true" outlineLevel="0" collapsed="false">
      <c r="A8" s="22" t="n">
        <v>37621</v>
      </c>
      <c r="B8" s="1" t="n">
        <v>2002</v>
      </c>
      <c r="C8" s="1" t="n">
        <v>790.112565198609</v>
      </c>
      <c r="D8" s="15" t="n">
        <f aca="false">PWT!B14</f>
        <v>303592.625</v>
      </c>
      <c r="E8" s="1" t="n">
        <f aca="false">C8/D8</f>
        <v>0.00260254202551399</v>
      </c>
    </row>
    <row r="9" customFormat="false" ht="12" hidden="false" customHeight="true" outlineLevel="0" collapsed="false">
      <c r="A9" s="22" t="n">
        <v>37986</v>
      </c>
      <c r="B9" s="1" t="n">
        <v>2003</v>
      </c>
      <c r="C9" s="1" t="n">
        <v>932.916219671159</v>
      </c>
      <c r="D9" s="15" t="n">
        <f aca="false">PWT!B15</f>
        <v>307310.28125</v>
      </c>
      <c r="E9" s="1" t="n">
        <f aca="false">C9/D9</f>
        <v>0.00303574685453567</v>
      </c>
    </row>
    <row r="10" customFormat="false" ht="12" hidden="false" customHeight="true" outlineLevel="0" collapsed="false">
      <c r="A10" s="22" t="n">
        <v>38352</v>
      </c>
      <c r="B10" s="1" t="n">
        <v>2004</v>
      </c>
      <c r="C10" s="1" t="n">
        <v>976.818537799271</v>
      </c>
      <c r="D10" s="15" t="n">
        <f aca="false">PWT!B16</f>
        <v>311984.28125</v>
      </c>
      <c r="E10" s="1" t="n">
        <f aca="false">C10/D10</f>
        <v>0.00313098638779344</v>
      </c>
    </row>
    <row r="11" customFormat="false" ht="12" hidden="false" customHeight="true" outlineLevel="0" collapsed="false">
      <c r="A11" s="22" t="n">
        <v>38717</v>
      </c>
      <c r="B11" s="1" t="n">
        <v>2005</v>
      </c>
      <c r="C11" s="1" t="n">
        <v>1113.45005859263</v>
      </c>
      <c r="D11" s="15" t="n">
        <f aca="false">PWT!B17</f>
        <v>317837.8125</v>
      </c>
      <c r="E11" s="1" t="n">
        <f aca="false">C11/D11</f>
        <v>0.00350320199423292</v>
      </c>
    </row>
    <row r="12" customFormat="false" ht="12" hidden="false" customHeight="true" outlineLevel="0" collapsed="false">
      <c r="A12" s="22" t="n">
        <v>39082</v>
      </c>
      <c r="B12" s="1" t="n">
        <v>2006</v>
      </c>
      <c r="C12" s="1" t="n">
        <v>1306.37308413224</v>
      </c>
      <c r="D12" s="15" t="n">
        <f aca="false">PWT!B18</f>
        <v>322943.65625</v>
      </c>
      <c r="E12" s="1" t="n">
        <f aca="false">C12/D12</f>
        <v>0.00404520435329728</v>
      </c>
    </row>
    <row r="13" customFormat="false" ht="12" hidden="false" customHeight="true" outlineLevel="0" collapsed="false">
      <c r="A13" s="22" t="n">
        <v>39447</v>
      </c>
      <c r="B13" s="1" t="n">
        <v>2007</v>
      </c>
      <c r="C13" s="1" t="n">
        <v>1617.02996625711</v>
      </c>
      <c r="D13" s="15" t="n">
        <f aca="false">PWT!B19</f>
        <v>329445.875</v>
      </c>
      <c r="E13" s="1" t="n">
        <f aca="false">C13/D13</f>
        <v>0.00490833271552455</v>
      </c>
    </row>
    <row r="14" customFormat="false" ht="12" hidden="false" customHeight="true" outlineLevel="0" collapsed="false">
      <c r="A14" s="22" t="n">
        <v>39813</v>
      </c>
      <c r="B14" s="1" t="n">
        <v>2008</v>
      </c>
      <c r="C14" s="1" t="n">
        <v>1758.0492676717</v>
      </c>
      <c r="D14" s="15" t="n">
        <f aca="false">PWT!B20</f>
        <v>332604.46875</v>
      </c>
      <c r="E14" s="1" t="n">
        <f aca="false">C14/D14</f>
        <v>0.00528570549361177</v>
      </c>
    </row>
    <row r="15" customFormat="false" ht="12" hidden="false" customHeight="true" outlineLevel="0" collapsed="false">
      <c r="A15" s="22" t="n">
        <v>40178</v>
      </c>
      <c r="B15" s="1" t="n">
        <v>2009</v>
      </c>
      <c r="C15" s="1" t="n">
        <v>1751.36668488131</v>
      </c>
      <c r="D15" s="15" t="n">
        <f aca="false">PWT!B21</f>
        <v>330608.28125</v>
      </c>
      <c r="E15" s="1" t="n">
        <f aca="false">C15/D15</f>
        <v>0.00529740718611025</v>
      </c>
    </row>
    <row r="16" customFormat="false" ht="12" hidden="false" customHeight="true" outlineLevel="0" collapsed="false">
      <c r="A16" s="22" t="n">
        <v>40543</v>
      </c>
      <c r="B16" s="1" t="n">
        <v>2010</v>
      </c>
      <c r="C16" s="1" t="n">
        <v>2046.41323466733</v>
      </c>
      <c r="D16" s="15" t="n">
        <f aca="false">PWT!B22</f>
        <v>332551.53125</v>
      </c>
      <c r="E16" s="1" t="n">
        <f aca="false">C16/D16</f>
        <v>0.00615367256609897</v>
      </c>
    </row>
    <row r="17" customFormat="false" ht="12" hidden="false" customHeight="true" outlineLevel="0" collapsed="false">
      <c r="A17" s="22" t="n">
        <v>40908</v>
      </c>
      <c r="B17" s="1" t="n">
        <v>2011</v>
      </c>
      <c r="C17" s="1" t="n">
        <v>2350.51240590543</v>
      </c>
      <c r="D17" s="15" t="n">
        <f aca="false">PWT!B23</f>
        <v>336560.28125</v>
      </c>
      <c r="E17" s="1" t="n">
        <f aca="false">C17/D17</f>
        <v>0.00698392691251481</v>
      </c>
    </row>
    <row r="18" customFormat="false" ht="12" hidden="false" customHeight="true" outlineLevel="0" collapsed="false">
      <c r="A18" s="22" t="n">
        <v>41274</v>
      </c>
      <c r="B18" s="1" t="n">
        <v>2012</v>
      </c>
      <c r="C18" s="1" t="n">
        <v>2643.60288796874</v>
      </c>
      <c r="D18" s="15" t="n">
        <f aca="false">PWT!B24</f>
        <v>341471.1875</v>
      </c>
      <c r="E18" s="1" t="n">
        <f aca="false">C18/D18</f>
        <v>0.00774180365647611</v>
      </c>
    </row>
    <row r="19" customFormat="false" ht="12" hidden="false" customHeight="true" outlineLevel="0" collapsed="false">
      <c r="A19" s="22" t="n">
        <v>41639</v>
      </c>
      <c r="B19" s="1" t="n">
        <v>2013</v>
      </c>
      <c r="C19" s="1" t="n">
        <v>1555.93215231816</v>
      </c>
      <c r="D19" s="15" t="n">
        <f aca="false">PWT!B25</f>
        <v>344239.03125</v>
      </c>
      <c r="E19" s="1" t="n">
        <f aca="false">C19/D19</f>
        <v>0.00451991787993437</v>
      </c>
    </row>
    <row r="20" customFormat="false" ht="12" hidden="false" customHeight="true" outlineLevel="0" collapsed="false">
      <c r="A20" s="22" t="n">
        <v>42004</v>
      </c>
      <c r="B20" s="1" t="n">
        <v>2014</v>
      </c>
      <c r="C20" s="1" t="n">
        <v>2984.8904686878</v>
      </c>
      <c r="D20" s="15" t="n">
        <f aca="false">PWT!B26</f>
        <v>350962.15625</v>
      </c>
      <c r="E20" s="1" t="n">
        <f aca="false">C20/D20</f>
        <v>0.00850487841931761</v>
      </c>
    </row>
    <row r="21" customFormat="false" ht="12" hidden="false" customHeight="true" outlineLevel="0" collapsed="false">
      <c r="A21" s="22" t="n">
        <v>42369</v>
      </c>
      <c r="B21" s="1" t="n">
        <v>2015</v>
      </c>
      <c r="C21" s="1" t="n">
        <v>3657.28067254249</v>
      </c>
      <c r="D21" s="15" t="n">
        <f aca="false">PWT!B27</f>
        <v>360259.8125</v>
      </c>
      <c r="E21" s="1" t="n">
        <f aca="false">C21/D21</f>
        <v>0.010151786420925</v>
      </c>
    </row>
    <row r="22" customFormat="false" ht="12" hidden="false" customHeight="true" outlineLevel="0" collapsed="false">
      <c r="A22" s="22" t="n">
        <v>42735</v>
      </c>
      <c r="B22" s="1" t="n">
        <v>2016</v>
      </c>
      <c r="C22" s="1" t="n">
        <v>4004.82871985304</v>
      </c>
      <c r="D22" s="15" t="n">
        <f aca="false">PWT!B28</f>
        <v>370547.65625</v>
      </c>
      <c r="E22" s="1" t="n">
        <f aca="false">C22/D22</f>
        <v>0.0108078641230187</v>
      </c>
    </row>
    <row r="23" customFormat="false" ht="12" hidden="false" customHeight="true" outlineLevel="0" collapsed="false">
      <c r="A23" s="22" t="n">
        <v>43100</v>
      </c>
      <c r="B23" s="1" t="n">
        <v>2017</v>
      </c>
      <c r="C23" s="1" t="n">
        <v>4492.92133490825</v>
      </c>
      <c r="D23" s="15" t="n">
        <f aca="false">PWT!B29</f>
        <v>380655.78125</v>
      </c>
      <c r="E23" s="1" t="n">
        <f aca="false">C23/D23</f>
        <v>0.0118031080998018</v>
      </c>
    </row>
    <row r="24" customFormat="false" ht="12" hidden="false" customHeight="true" outlineLevel="0" collapsed="false">
      <c r="A24" s="22" t="n">
        <v>43465</v>
      </c>
      <c r="B24" s="1" t="n">
        <v>2018</v>
      </c>
      <c r="C24" s="1" t="n">
        <v>4843.61644028627</v>
      </c>
      <c r="D24" s="15" t="n">
        <f aca="false">PWT!B30</f>
        <v>390625.1875</v>
      </c>
      <c r="E24" s="1" t="n">
        <f aca="false">C24/D24</f>
        <v>0.0123996521352998</v>
      </c>
    </row>
    <row r="25" customFormat="false" ht="12" hidden="false" customHeight="true" outlineLevel="0" collapsed="false">
      <c r="A25" s="22" t="n">
        <v>43830</v>
      </c>
      <c r="B25" s="1" t="n">
        <v>2019</v>
      </c>
      <c r="C25" s="1" t="n">
        <v>5452.95737935004</v>
      </c>
      <c r="D25" s="15" t="n">
        <f aca="false">PWT!B31</f>
        <v>399934.28125</v>
      </c>
      <c r="E25" s="1" t="n">
        <f aca="false">C25/D25</f>
        <v>0.0136346335760634</v>
      </c>
    </row>
    <row r="26" customFormat="false" ht="12" hidden="false" customHeight="true" outlineLevel="0" collapsed="false">
      <c r="A26" s="22" t="n">
        <v>44196</v>
      </c>
      <c r="B26" s="1" t="n">
        <v>2020</v>
      </c>
      <c r="C26" s="1" t="n">
        <v>6152.76926161805</v>
      </c>
      <c r="D26" s="15" t="n">
        <f aca="false">PWT!B32</f>
        <v>405156.15625</v>
      </c>
      <c r="E26" s="1" t="n">
        <f aca="false">C26/D26</f>
        <v>0.0151861675225823</v>
      </c>
    </row>
    <row r="27" customFormat="false" ht="12" hidden="false" customHeight="true" outlineLevel="0" collapsed="false">
      <c r="A27" s="22" t="n">
        <v>44561</v>
      </c>
      <c r="B27" s="1" t="n">
        <v>2021</v>
      </c>
      <c r="C27" s="1" t="n">
        <v>7072.62534889823</v>
      </c>
      <c r="D27" s="15" t="n">
        <f aca="false">PWT!B33</f>
        <v>409189.75</v>
      </c>
      <c r="E27" s="1" t="n">
        <f aca="false">C27/D27</f>
        <v>0.0172844636232902</v>
      </c>
    </row>
    <row r="28" customFormat="false" ht="12" hidden="false" customHeight="true" outlineLevel="0" collapsed="false">
      <c r="A28" s="22" t="n">
        <v>44926</v>
      </c>
      <c r="B28" s="1" t="n">
        <v>2022</v>
      </c>
      <c r="C28" s="1" t="n">
        <v>7661.44847488107</v>
      </c>
      <c r="D28" s="15" t="n">
        <f aca="false">PWT!B34</f>
        <v>415085.84375</v>
      </c>
      <c r="E28" s="1" t="n">
        <f aca="false">C28/D28</f>
        <v>0.0184575036471141</v>
      </c>
    </row>
    <row r="29" customFormat="false" ht="12" hidden="false" customHeight="true" outlineLevel="0" collapsed="false">
      <c r="A29" s="22" t="n">
        <v>45291</v>
      </c>
      <c r="B29" s="1" t="n">
        <v>2023</v>
      </c>
      <c r="C29" s="1" t="n">
        <v>9410.65784371035</v>
      </c>
      <c r="D29" s="15" t="n">
        <f aca="false">PWT!B35</f>
        <v>426190.5</v>
      </c>
      <c r="E29" s="1" t="n">
        <f aca="false">C29/D29</f>
        <v>0.0220808719192717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2" zeroHeight="false" outlineLevelRow="0" outlineLevelCol="0"/>
  <sheetData>
    <row r="1" customFormat="false" ht="12" hidden="false" customHeight="true" outlineLevel="0" collapsed="false">
      <c r="A1" s="1" t="s">
        <v>33</v>
      </c>
      <c r="B1" s="1" t="s">
        <v>34</v>
      </c>
      <c r="C1" s="23" t="s">
        <v>35</v>
      </c>
    </row>
    <row r="2" customFormat="false" ht="12" hidden="false" customHeight="true" outlineLevel="0" collapsed="false">
      <c r="A2" s="15" t="n">
        <v>1990</v>
      </c>
      <c r="B2" s="15" t="n">
        <v>333953.90625</v>
      </c>
      <c r="C2" s="0" t="n">
        <v>67440.0546875</v>
      </c>
    </row>
    <row r="3" customFormat="false" ht="12" hidden="false" customHeight="true" outlineLevel="0" collapsed="false">
      <c r="A3" s="15" t="n">
        <v>1991</v>
      </c>
      <c r="B3" s="15" t="n">
        <v>336800.125</v>
      </c>
      <c r="C3" s="0" t="n">
        <v>53052.83984375</v>
      </c>
    </row>
    <row r="4" customFormat="false" ht="12" hidden="false" customHeight="true" outlineLevel="0" collapsed="false">
      <c r="A4" s="15" t="n">
        <v>1992</v>
      </c>
      <c r="B4" s="15" t="n">
        <v>331575.34375</v>
      </c>
      <c r="C4" s="0" t="n">
        <v>29442.9375</v>
      </c>
    </row>
    <row r="5" customFormat="false" ht="12" hidden="false" customHeight="true" outlineLevel="0" collapsed="false">
      <c r="A5" s="15" t="n">
        <v>1993</v>
      </c>
      <c r="B5" s="15" t="n">
        <v>318977.5625</v>
      </c>
      <c r="C5" s="0" t="n">
        <v>20818.90234375</v>
      </c>
    </row>
    <row r="6" customFormat="false" ht="12" hidden="false" customHeight="true" outlineLevel="0" collapsed="false">
      <c r="A6" s="15" t="n">
        <v>1994</v>
      </c>
      <c r="B6" s="15" t="n">
        <v>310557.21875</v>
      </c>
      <c r="C6" s="0" t="n">
        <v>18657.6640625</v>
      </c>
    </row>
    <row r="7" customFormat="false" ht="12" hidden="false" customHeight="true" outlineLevel="0" collapsed="false">
      <c r="A7" s="15" t="n">
        <v>1995</v>
      </c>
      <c r="B7" s="15" t="n">
        <v>305633.28125</v>
      </c>
      <c r="C7" s="0" t="n">
        <v>19138.576171875</v>
      </c>
    </row>
    <row r="8" customFormat="false" ht="12" hidden="false" customHeight="true" outlineLevel="0" collapsed="false">
      <c r="A8" s="15" t="n">
        <v>1996</v>
      </c>
      <c r="B8" s="15" t="n">
        <v>301706.46875</v>
      </c>
      <c r="C8" s="0" t="n">
        <v>21298.572265625</v>
      </c>
    </row>
    <row r="9" customFormat="false" ht="12" hidden="false" customHeight="true" outlineLevel="0" collapsed="false">
      <c r="A9" s="15" t="n">
        <v>1997</v>
      </c>
      <c r="B9" s="15" t="n">
        <v>298764.625</v>
      </c>
      <c r="C9" s="0" t="n">
        <v>23538.966796875</v>
      </c>
    </row>
    <row r="10" customFormat="false" ht="12" hidden="false" customHeight="true" outlineLevel="0" collapsed="false">
      <c r="A10" s="15" t="n">
        <v>1998</v>
      </c>
      <c r="B10" s="15" t="n">
        <v>298990.5</v>
      </c>
      <c r="C10" s="0" t="n">
        <v>24269.841796875</v>
      </c>
    </row>
    <row r="11" customFormat="false" ht="12" hidden="false" customHeight="true" outlineLevel="0" collapsed="false">
      <c r="A11" s="15" t="n">
        <v>1999</v>
      </c>
      <c r="B11" s="15" t="n">
        <v>299754.78125</v>
      </c>
      <c r="C11" s="0" t="n">
        <v>24966.201171875</v>
      </c>
    </row>
    <row r="12" customFormat="false" ht="12" hidden="false" customHeight="true" outlineLevel="0" collapsed="false">
      <c r="A12" s="15" t="n">
        <v>2000</v>
      </c>
      <c r="B12" s="15" t="n">
        <v>300383.3125</v>
      </c>
      <c r="C12" s="0" t="n">
        <v>25425.16796875</v>
      </c>
    </row>
    <row r="13" customFormat="false" ht="12" hidden="false" customHeight="true" outlineLevel="0" collapsed="false">
      <c r="A13" s="15" t="n">
        <v>2001</v>
      </c>
      <c r="B13" s="15" t="n">
        <v>302284.0625</v>
      </c>
      <c r="C13" s="0" t="n">
        <v>26646.9609375</v>
      </c>
    </row>
    <row r="14" customFormat="false" ht="12" hidden="false" customHeight="true" outlineLevel="0" collapsed="false">
      <c r="A14" s="15" t="n">
        <v>2002</v>
      </c>
      <c r="B14" s="15" t="n">
        <v>303592.625</v>
      </c>
      <c r="C14" s="0" t="n">
        <v>28105.572265625</v>
      </c>
    </row>
    <row r="15" customFormat="false" ht="12" hidden="false" customHeight="true" outlineLevel="0" collapsed="false">
      <c r="A15" s="15" t="n">
        <v>2003</v>
      </c>
      <c r="B15" s="15" t="n">
        <v>307310.28125</v>
      </c>
      <c r="C15" s="0" t="n">
        <v>31213.515625</v>
      </c>
    </row>
    <row r="16" customFormat="false" ht="12" hidden="false" customHeight="true" outlineLevel="0" collapsed="false">
      <c r="A16" s="15" t="n">
        <v>2004</v>
      </c>
      <c r="B16" s="15" t="n">
        <v>311984.28125</v>
      </c>
      <c r="C16" s="0" t="n">
        <v>33022.64453125</v>
      </c>
    </row>
    <row r="17" customFormat="false" ht="12" hidden="false" customHeight="true" outlineLevel="0" collapsed="false">
      <c r="A17" s="15" t="n">
        <v>2005</v>
      </c>
      <c r="B17" s="15" t="n">
        <v>317837.8125</v>
      </c>
      <c r="C17" s="0" t="n">
        <v>36188.953125</v>
      </c>
    </row>
    <row r="18" customFormat="false" ht="12" hidden="false" customHeight="true" outlineLevel="0" collapsed="false">
      <c r="A18" s="15" t="n">
        <v>2006</v>
      </c>
      <c r="B18" s="15" t="n">
        <v>322943.65625</v>
      </c>
      <c r="C18" s="0" t="n">
        <v>39598.22265625</v>
      </c>
    </row>
    <row r="19" customFormat="false" ht="12" hidden="false" customHeight="true" outlineLevel="0" collapsed="false">
      <c r="A19" s="15" t="n">
        <v>2007</v>
      </c>
      <c r="B19" s="15" t="n">
        <v>329445.875</v>
      </c>
      <c r="C19" s="0" t="n">
        <v>44579.19140625</v>
      </c>
    </row>
    <row r="20" customFormat="false" ht="12" hidden="false" customHeight="true" outlineLevel="0" collapsed="false">
      <c r="A20" s="15" t="n">
        <v>2008</v>
      </c>
      <c r="B20" s="15" t="n">
        <v>332604.46875</v>
      </c>
      <c r="C20" s="0" t="n">
        <v>45657.16015625</v>
      </c>
    </row>
    <row r="21" customFormat="false" ht="12" hidden="false" customHeight="true" outlineLevel="0" collapsed="false">
      <c r="A21" s="15" t="n">
        <v>2009</v>
      </c>
      <c r="B21" s="15" t="n">
        <v>330608.28125</v>
      </c>
      <c r="C21" s="0" t="n">
        <v>43990.6328125</v>
      </c>
    </row>
    <row r="22" customFormat="false" ht="12" hidden="false" customHeight="true" outlineLevel="0" collapsed="false">
      <c r="A22" s="15" t="n">
        <v>2010</v>
      </c>
      <c r="B22" s="15" t="n">
        <v>332551.53125</v>
      </c>
      <c r="C22" s="0" t="n">
        <v>46739.7890625</v>
      </c>
    </row>
    <row r="23" customFormat="false" ht="12" hidden="false" customHeight="true" outlineLevel="0" collapsed="false">
      <c r="A23" s="15" t="n">
        <v>2011</v>
      </c>
      <c r="B23" s="15" t="n">
        <v>336560.28125</v>
      </c>
      <c r="C23" s="0" t="n">
        <v>50455.2109375</v>
      </c>
    </row>
    <row r="24" customFormat="false" ht="12" hidden="false" customHeight="true" outlineLevel="0" collapsed="false">
      <c r="A24" s="15" t="n">
        <v>2012</v>
      </c>
      <c r="B24" s="15" t="n">
        <v>341471.1875</v>
      </c>
      <c r="C24" s="0" t="n">
        <v>53774.6796875</v>
      </c>
    </row>
    <row r="25" customFormat="false" ht="12" hidden="false" customHeight="true" outlineLevel="0" collapsed="false">
      <c r="A25" s="15" t="n">
        <v>2013</v>
      </c>
      <c r="B25" s="15" t="n">
        <v>344239.03125</v>
      </c>
      <c r="C25" s="0" t="n">
        <v>56535.23046875</v>
      </c>
    </row>
    <row r="26" customFormat="false" ht="12" hidden="false" customHeight="true" outlineLevel="0" collapsed="false">
      <c r="A26" s="15" t="n">
        <v>2014</v>
      </c>
      <c r="B26" s="15" t="n">
        <v>350962.15625</v>
      </c>
      <c r="C26" s="0" t="n">
        <v>58847.86328125</v>
      </c>
    </row>
    <row r="27" customFormat="false" ht="12" hidden="false" customHeight="true" outlineLevel="0" collapsed="false">
      <c r="A27" s="15" t="n">
        <v>2015</v>
      </c>
      <c r="B27" s="15" t="n">
        <v>360259.8125</v>
      </c>
      <c r="C27" s="0" t="n">
        <v>60819.7421875</v>
      </c>
    </row>
    <row r="28" customFormat="false" ht="12" hidden="false" customHeight="true" outlineLevel="0" collapsed="false">
      <c r="A28" s="15" t="n">
        <v>2016</v>
      </c>
      <c r="B28" s="15" t="n">
        <v>370547.65625</v>
      </c>
      <c r="C28" s="0" t="n">
        <v>62917.9765625</v>
      </c>
    </row>
    <row r="29" customFormat="false" ht="12" hidden="false" customHeight="true" outlineLevel="0" collapsed="false">
      <c r="A29" s="15" t="n">
        <v>2017</v>
      </c>
      <c r="B29" s="15" t="n">
        <v>380655.78125</v>
      </c>
      <c r="C29" s="0" t="n">
        <v>66165.234375</v>
      </c>
    </row>
    <row r="30" customFormat="false" ht="12" hidden="false" customHeight="true" outlineLevel="0" collapsed="false">
      <c r="A30" s="15" t="n">
        <v>2018</v>
      </c>
      <c r="B30" s="15" t="n">
        <v>390625.1875</v>
      </c>
      <c r="C30" s="0" t="n">
        <v>70176.296875</v>
      </c>
    </row>
    <row r="31" customFormat="false" ht="12" hidden="false" customHeight="true" outlineLevel="0" collapsed="false">
      <c r="A31" s="15" t="n">
        <v>2019</v>
      </c>
      <c r="B31" s="15" t="n">
        <v>399934.28125</v>
      </c>
      <c r="C31" s="0" t="n">
        <v>73951.9765625</v>
      </c>
    </row>
    <row r="32" customFormat="false" ht="12" hidden="false" customHeight="true" outlineLevel="0" collapsed="false">
      <c r="A32" s="15" t="n">
        <v>2020</v>
      </c>
      <c r="B32" s="15" t="n">
        <v>405156.15625</v>
      </c>
      <c r="C32" s="0" t="n">
        <v>69299.46875</v>
      </c>
    </row>
    <row r="33" customFormat="false" ht="12" hidden="false" customHeight="true" outlineLevel="0" collapsed="false">
      <c r="A33" s="15" t="n">
        <v>2021</v>
      </c>
      <c r="B33" s="15" t="n">
        <v>409189.75</v>
      </c>
      <c r="C33" s="0" t="n">
        <v>76675.71875</v>
      </c>
    </row>
    <row r="34" customFormat="false" ht="12" hidden="false" customHeight="true" outlineLevel="0" collapsed="false">
      <c r="A34" s="15" t="n">
        <v>2022</v>
      </c>
      <c r="B34" s="15" t="n">
        <v>415085.84375</v>
      </c>
      <c r="C34" s="0" t="n">
        <v>85079.0234375</v>
      </c>
    </row>
    <row r="35" customFormat="false" ht="12" hidden="false" customHeight="true" outlineLevel="0" collapsed="false">
      <c r="A35" s="15" t="n">
        <v>2023</v>
      </c>
      <c r="B35" s="15" t="n">
        <v>426190.5</v>
      </c>
      <c r="C35" s="0" t="n">
        <v>91437.8125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4" activeCellId="0" sqref="H24"/>
    </sheetView>
  </sheetViews>
  <sheetFormatPr defaultColWidth="8.6796875" defaultRowHeight="12" zeroHeight="false" outlineLevelRow="0" outlineLevelCol="0"/>
  <sheetData>
    <row r="1" customFormat="false" ht="12" hidden="false" customHeight="true" outlineLevel="0" collapsed="false">
      <c r="B1" s="1" t="s">
        <v>36</v>
      </c>
      <c r="C1" s="1" t="n">
        <v>915</v>
      </c>
      <c r="D1" s="1" t="n">
        <v>915</v>
      </c>
    </row>
    <row r="2" customFormat="false" ht="12" hidden="false" customHeight="true" outlineLevel="0" collapsed="false">
      <c r="B2" s="1" t="s">
        <v>37</v>
      </c>
      <c r="C2" s="1" t="s">
        <v>38</v>
      </c>
      <c r="D2" s="1" t="s">
        <v>39</v>
      </c>
    </row>
    <row r="3" customFormat="false" ht="12" hidden="false" customHeight="true" outlineLevel="0" collapsed="false">
      <c r="B3" s="1" t="s">
        <v>40</v>
      </c>
      <c r="C3" s="1" t="s">
        <v>41</v>
      </c>
      <c r="D3" s="1" t="s">
        <v>41</v>
      </c>
    </row>
    <row r="4" customFormat="false" ht="12" hidden="false" customHeight="true" outlineLevel="0" collapsed="false">
      <c r="B4" s="1" t="s">
        <v>42</v>
      </c>
      <c r="C4" s="1" t="s">
        <v>43</v>
      </c>
      <c r="D4" s="1" t="s">
        <v>43</v>
      </c>
    </row>
    <row r="5" customFormat="false" ht="12" hidden="false" customHeight="true" outlineLevel="0" collapsed="false">
      <c r="B5" s="1" t="s">
        <v>44</v>
      </c>
      <c r="C5" s="1" t="s">
        <v>45</v>
      </c>
      <c r="D5" s="1" t="s">
        <v>46</v>
      </c>
    </row>
    <row r="6" customFormat="false" ht="12" hidden="false" customHeight="true" outlineLevel="0" collapsed="false">
      <c r="B6" s="1" t="s">
        <v>47</v>
      </c>
      <c r="C6" s="1" t="s">
        <v>48</v>
      </c>
      <c r="D6" s="1" t="s">
        <v>44</v>
      </c>
    </row>
    <row r="7" customFormat="false" ht="12" hidden="false" customHeight="true" outlineLevel="0" collapsed="false">
      <c r="B7" s="1" t="s">
        <v>49</v>
      </c>
      <c r="C7" s="1" t="s">
        <v>50</v>
      </c>
      <c r="D7" s="1" t="s">
        <v>51</v>
      </c>
    </row>
    <row r="8" customFormat="false" ht="12" hidden="false" customHeight="true" outlineLevel="0" collapsed="false">
      <c r="B8" s="1" t="n">
        <v>2000</v>
      </c>
      <c r="C8" s="1" t="n">
        <v>16.963</v>
      </c>
      <c r="D8" s="1" t="n">
        <v>1.865</v>
      </c>
    </row>
    <row r="9" customFormat="false" ht="12" hidden="false" customHeight="true" outlineLevel="0" collapsed="false">
      <c r="B9" s="1" t="n">
        <v>2001</v>
      </c>
      <c r="C9" s="1" t="n">
        <v>17.772</v>
      </c>
      <c r="D9" s="1" t="n">
        <v>4.769</v>
      </c>
    </row>
    <row r="10" customFormat="false" ht="12" hidden="false" customHeight="true" outlineLevel="0" collapsed="false">
      <c r="B10" s="1" t="n">
        <v>2002</v>
      </c>
      <c r="C10" s="1" t="n">
        <v>18.747</v>
      </c>
      <c r="D10" s="1" t="n">
        <v>5.487</v>
      </c>
    </row>
    <row r="11" customFormat="false" ht="12" hidden="false" customHeight="true" outlineLevel="0" collapsed="false">
      <c r="B11" s="1" t="n">
        <v>2003</v>
      </c>
      <c r="C11" s="1" t="n">
        <v>20.852</v>
      </c>
      <c r="D11" s="1" t="n">
        <v>11.228</v>
      </c>
    </row>
    <row r="12" customFormat="false" ht="12" hidden="false" customHeight="true" outlineLevel="0" collapsed="false">
      <c r="B12" s="1" t="n">
        <v>2004</v>
      </c>
      <c r="C12" s="1" t="n">
        <v>22.061</v>
      </c>
      <c r="D12" s="1" t="n">
        <v>5.796</v>
      </c>
    </row>
    <row r="13" customFormat="false" ht="12" hidden="false" customHeight="true" outlineLevel="0" collapsed="false">
      <c r="B13" s="1" t="n">
        <v>2005</v>
      </c>
      <c r="C13" s="1" t="n">
        <v>24.176</v>
      </c>
      <c r="D13" s="1" t="n">
        <v>9.588</v>
      </c>
    </row>
    <row r="14" customFormat="false" ht="12" hidden="false" customHeight="true" outlineLevel="0" collapsed="false">
      <c r="B14" s="1" t="n">
        <v>2006</v>
      </c>
      <c r="C14" s="1" t="n">
        <v>26.454</v>
      </c>
      <c r="D14" s="1" t="n">
        <v>9.42</v>
      </c>
    </row>
    <row r="15" customFormat="false" ht="12" hidden="false" customHeight="true" outlineLevel="0" collapsed="false">
      <c r="B15" s="1" t="n">
        <v>2007</v>
      </c>
      <c r="C15" s="1" t="n">
        <v>29.781</v>
      </c>
      <c r="D15" s="1" t="n">
        <v>12.579</v>
      </c>
    </row>
    <row r="16" customFormat="false" ht="12" hidden="false" customHeight="true" outlineLevel="0" collapsed="false">
      <c r="B16" s="1" t="n">
        <v>2008</v>
      </c>
      <c r="C16" s="1" t="n">
        <v>30.502</v>
      </c>
      <c r="D16" s="1" t="n">
        <v>2.419</v>
      </c>
    </row>
    <row r="17" customFormat="false" ht="12" hidden="false" customHeight="true" outlineLevel="0" collapsed="false">
      <c r="B17" s="1" t="n">
        <v>2009</v>
      </c>
      <c r="C17" s="1" t="n">
        <v>29.388</v>
      </c>
      <c r="D17" s="1" t="n">
        <v>-3.651</v>
      </c>
    </row>
    <row r="18" customFormat="false" ht="12" hidden="false" customHeight="true" outlineLevel="0" collapsed="false">
      <c r="B18" s="1" t="n">
        <v>2010</v>
      </c>
      <c r="C18" s="1" t="n">
        <v>31.428</v>
      </c>
      <c r="D18" s="1" t="n">
        <v>6.942</v>
      </c>
    </row>
    <row r="19" customFormat="false" ht="12" hidden="false" customHeight="true" outlineLevel="0" collapsed="false">
      <c r="B19" s="1" t="n">
        <v>2011</v>
      </c>
      <c r="C19" s="1" t="n">
        <v>33.927</v>
      </c>
      <c r="D19" s="1" t="n">
        <v>7.949</v>
      </c>
    </row>
    <row r="20" customFormat="false" ht="12" hidden="false" customHeight="true" outlineLevel="0" collapsed="false">
      <c r="B20" s="1" t="n">
        <v>2012</v>
      </c>
      <c r="C20" s="1" t="n">
        <v>36.159</v>
      </c>
      <c r="D20" s="1" t="n">
        <v>6.579</v>
      </c>
    </row>
    <row r="21" customFormat="false" ht="12" hidden="false" customHeight="true" outlineLevel="0" collapsed="false">
      <c r="B21" s="1" t="n">
        <v>2013</v>
      </c>
      <c r="C21" s="1" t="n">
        <v>38.015</v>
      </c>
      <c r="D21" s="1" t="n">
        <v>5.134</v>
      </c>
    </row>
    <row r="22" customFormat="false" ht="12" hidden="false" customHeight="true" outlineLevel="0" collapsed="false">
      <c r="B22" s="1" t="n">
        <v>2014</v>
      </c>
      <c r="C22" s="1" t="n">
        <v>39.57</v>
      </c>
      <c r="D22" s="1" t="n">
        <v>4.091</v>
      </c>
    </row>
    <row r="23" customFormat="false" ht="12" hidden="false" customHeight="true" outlineLevel="0" collapsed="false">
      <c r="B23" s="1" t="n">
        <v>2015</v>
      </c>
      <c r="C23" s="1" t="n">
        <v>40.896</v>
      </c>
      <c r="D23" s="1" t="n">
        <v>3.351</v>
      </c>
    </row>
    <row r="24" customFormat="false" ht="12" hidden="false" customHeight="true" outlineLevel="0" collapsed="false">
      <c r="B24" s="1" t="n">
        <v>2016</v>
      </c>
      <c r="C24" s="1" t="n">
        <v>42.307</v>
      </c>
      <c r="D24" s="1" t="n">
        <v>3.45</v>
      </c>
    </row>
    <row r="25" customFormat="false" ht="12" hidden="false" customHeight="true" outlineLevel="0" collapsed="false">
      <c r="B25" s="1" t="n">
        <v>2017</v>
      </c>
      <c r="C25" s="1" t="n">
        <v>44.49</v>
      </c>
      <c r="D25" s="1" t="n">
        <v>5.161</v>
      </c>
    </row>
    <row r="26" customFormat="false" ht="12" hidden="false" customHeight="true" outlineLevel="0" collapsed="false">
      <c r="B26" s="1" t="n">
        <v>2018</v>
      </c>
      <c r="C26" s="1" t="n">
        <v>47.187</v>
      </c>
      <c r="D26" s="1" t="n">
        <v>6.062</v>
      </c>
    </row>
    <row r="27" customFormat="false" ht="12" hidden="false" customHeight="true" outlineLevel="0" collapsed="false">
      <c r="B27" s="1" t="n">
        <v>2019</v>
      </c>
      <c r="C27" s="1" t="n">
        <v>49.726</v>
      </c>
      <c r="D27" s="1" t="n">
        <v>5.38</v>
      </c>
    </row>
    <row r="28" customFormat="false" ht="12" hidden="false" customHeight="true" outlineLevel="0" collapsed="false">
      <c r="B28" s="1" t="n">
        <v>2020</v>
      </c>
      <c r="C28" s="1" t="n">
        <v>46.598</v>
      </c>
      <c r="D28" s="1" t="n">
        <v>-6.291</v>
      </c>
    </row>
    <row r="29" customFormat="false" ht="12" hidden="false" customHeight="true" outlineLevel="0" collapsed="false">
      <c r="B29" s="1" t="n">
        <v>2021</v>
      </c>
      <c r="C29" s="1" t="n">
        <v>51.558</v>
      </c>
      <c r="D29" s="1" t="n">
        <v>10.644</v>
      </c>
    </row>
    <row r="30" customFormat="false" ht="12" hidden="false" customHeight="true" outlineLevel="0" collapsed="false">
      <c r="B30" s="1" t="n">
        <v>2022</v>
      </c>
      <c r="C30" s="1" t="n">
        <v>57.208</v>
      </c>
      <c r="D30" s="1" t="n">
        <v>10.96</v>
      </c>
    </row>
    <row r="31" customFormat="false" ht="12" hidden="false" customHeight="true" outlineLevel="0" collapsed="false">
      <c r="B31" s="1" t="n">
        <v>2023</v>
      </c>
      <c r="C31" s="1" t="n">
        <v>61.689</v>
      </c>
      <c r="D31" s="1" t="n">
        <v>7.832</v>
      </c>
    </row>
    <row r="32" customFormat="false" ht="12" hidden="false" customHeight="true" outlineLevel="0" collapsed="false">
      <c r="B32" s="1" t="n">
        <v>2024</v>
      </c>
      <c r="C32" s="1" t="n">
        <v>67.505</v>
      </c>
      <c r="D32" s="1" t="n">
        <v>9.429</v>
      </c>
    </row>
    <row r="33" customFormat="false" ht="12" hidden="false" customHeight="true" outlineLevel="0" collapsed="false">
      <c r="B33" s="1" t="n">
        <v>2025</v>
      </c>
      <c r="C33" s="1" t="n">
        <v>71.54</v>
      </c>
      <c r="D33" s="1" t="n">
        <v>5.977</v>
      </c>
    </row>
    <row r="34" customFormat="false" ht="12" hidden="false" customHeight="true" outlineLevel="0" collapsed="false">
      <c r="B34" s="1" t="n">
        <v>2026</v>
      </c>
      <c r="C34" s="1" t="n">
        <v>75.117</v>
      </c>
      <c r="D34" s="1" t="n">
        <v>5</v>
      </c>
    </row>
    <row r="35" customFormat="false" ht="12" hidden="false" customHeight="true" outlineLevel="0" collapsed="false">
      <c r="B35" s="1" t="n">
        <v>2027</v>
      </c>
      <c r="C35" s="1" t="n">
        <v>78.873</v>
      </c>
      <c r="D35" s="1" t="n">
        <v>5</v>
      </c>
    </row>
    <row r="36" customFormat="false" ht="12" hidden="false" customHeight="true" outlineLevel="0" collapsed="false">
      <c r="B36" s="1" t="n">
        <v>2028</v>
      </c>
      <c r="C36" s="1" t="n">
        <f aca="false">C35*(1+D36/100)</f>
        <v>82.81665</v>
      </c>
      <c r="D36" s="1" t="n">
        <f aca="false">D35</f>
        <v>5</v>
      </c>
    </row>
    <row r="37" customFormat="false" ht="12" hidden="false" customHeight="true" outlineLevel="0" collapsed="false">
      <c r="B37" s="1" t="n">
        <v>2029</v>
      </c>
      <c r="C37" s="1" t="n">
        <f aca="false">C36*(1+D37/100)</f>
        <v>86.9574825</v>
      </c>
      <c r="D37" s="1" t="n">
        <f aca="false">D36</f>
        <v>5</v>
      </c>
    </row>
    <row r="38" customFormat="false" ht="12" hidden="false" customHeight="true" outlineLevel="0" collapsed="false">
      <c r="B38" s="1" t="n">
        <v>2030</v>
      </c>
      <c r="C38" s="1" t="n">
        <f aca="false">C37*(1+D38/100)</f>
        <v>91.305356625</v>
      </c>
      <c r="D38" s="1" t="n">
        <f aca="false">D37</f>
        <v>5</v>
      </c>
    </row>
    <row r="39" customFormat="false" ht="12" hidden="false" customHeight="true" outlineLevel="0" collapsed="false">
      <c r="B39" s="1" t="n">
        <v>2031</v>
      </c>
      <c r="C39" s="1" t="n">
        <f aca="false">C38*(1+D39/100)</f>
        <v>95.87062445625</v>
      </c>
      <c r="D39" s="1" t="n">
        <f aca="false">D38</f>
        <v>5</v>
      </c>
    </row>
    <row r="40" customFormat="false" ht="12" hidden="false" customHeight="true" outlineLevel="0" collapsed="false">
      <c r="B40" s="1" t="n">
        <v>2032</v>
      </c>
      <c r="C40" s="1" t="n">
        <f aca="false">C39*(1+D40/100)</f>
        <v>100.664155679063</v>
      </c>
      <c r="D40" s="1" t="n">
        <f aca="false">D39</f>
        <v>5</v>
      </c>
    </row>
    <row r="41" customFormat="false" ht="12" hidden="false" customHeight="true" outlineLevel="0" collapsed="false">
      <c r="B41" s="1" t="n">
        <v>2033</v>
      </c>
      <c r="C41" s="1" t="n">
        <f aca="false">C40*(1+D41/100)</f>
        <v>105.697363463016</v>
      </c>
      <c r="D41" s="1" t="n">
        <f aca="false">D40</f>
        <v>5</v>
      </c>
    </row>
    <row r="42" customFormat="false" ht="12" hidden="false" customHeight="true" outlineLevel="0" collapsed="false">
      <c r="B42" s="1" t="n">
        <v>2034</v>
      </c>
      <c r="C42" s="1" t="n">
        <f aca="false">C41*(1+D42/100)</f>
        <v>110.982231636166</v>
      </c>
      <c r="D42" s="1" t="n">
        <f aca="false">D41</f>
        <v>5</v>
      </c>
    </row>
    <row r="43" customFormat="false" ht="12" hidden="false" customHeight="true" outlineLevel="0" collapsed="false">
      <c r="B43" s="1" t="n">
        <v>2035</v>
      </c>
      <c r="C43" s="1" t="n">
        <f aca="false">C42*(1+D43/100)</f>
        <v>116.531343217975</v>
      </c>
      <c r="D43" s="1" t="n">
        <f aca="false">D42</f>
        <v>5</v>
      </c>
    </row>
    <row r="44" customFormat="false" ht="12" hidden="false" customHeight="true" outlineLevel="0" collapsed="false">
      <c r="B44" s="1" t="n">
        <v>2036</v>
      </c>
      <c r="C44" s="1" t="n">
        <f aca="false">C43*(1+D44/100)</f>
        <v>122.357910378874</v>
      </c>
      <c r="D44" s="1" t="n">
        <f aca="false">D43</f>
        <v>5</v>
      </c>
    </row>
    <row r="45" customFormat="false" ht="12" hidden="false" customHeight="true" outlineLevel="0" collapsed="false">
      <c r="B45" s="1" t="n">
        <v>2037</v>
      </c>
      <c r="C45" s="1" t="n">
        <f aca="false">C44*(1+D45/100)</f>
        <v>128.475805897817</v>
      </c>
      <c r="D45" s="1" t="n">
        <f aca="false">D44</f>
        <v>5</v>
      </c>
    </row>
    <row r="46" customFormat="false" ht="12" hidden="false" customHeight="true" outlineLevel="0" collapsed="false">
      <c r="B46" s="1" t="n">
        <v>2038</v>
      </c>
      <c r="C46" s="1" t="n">
        <f aca="false">C45*(1+D46/100)</f>
        <v>134.899596192708</v>
      </c>
      <c r="D46" s="1" t="n">
        <f aca="false">D45</f>
        <v>5</v>
      </c>
    </row>
    <row r="47" customFormat="false" ht="12" hidden="false" customHeight="true" outlineLevel="0" collapsed="false">
      <c r="B47" s="1" t="n">
        <v>2039</v>
      </c>
      <c r="C47" s="1" t="n">
        <f aca="false">C46*(1+D47/100)</f>
        <v>141.644576002343</v>
      </c>
      <c r="D47" s="1" t="n">
        <f aca="false">D46</f>
        <v>5</v>
      </c>
    </row>
    <row r="48" customFormat="false" ht="12" hidden="false" customHeight="true" outlineLevel="0" collapsed="false">
      <c r="B48" s="1" t="n">
        <v>2040</v>
      </c>
      <c r="C48" s="1" t="n">
        <f aca="false">C47*(1+D48/100)</f>
        <v>148.726804802461</v>
      </c>
      <c r="D48" s="1" t="n">
        <f aca="false">D47</f>
        <v>5</v>
      </c>
    </row>
    <row r="49" customFormat="false" ht="12" hidden="false" customHeight="true" outlineLevel="0" collapsed="false">
      <c r="B49" s="1" t="n">
        <v>2041</v>
      </c>
      <c r="C49" s="1" t="n">
        <f aca="false">C48*(1+D49/100)</f>
        <v>156.163145042584</v>
      </c>
      <c r="D49" s="1" t="n">
        <f aca="false">D48</f>
        <v>5</v>
      </c>
    </row>
    <row r="50" customFormat="false" ht="12" hidden="false" customHeight="true" outlineLevel="0" collapsed="false">
      <c r="B50" s="1" t="n">
        <v>2042</v>
      </c>
      <c r="C50" s="1" t="n">
        <f aca="false">C49*(1+D50/100)</f>
        <v>163.971302294713</v>
      </c>
      <c r="D50" s="1" t="n">
        <f aca="false">D49</f>
        <v>5</v>
      </c>
    </row>
    <row r="51" customFormat="false" ht="12" hidden="false" customHeight="true" outlineLevel="0" collapsed="false">
      <c r="B51" s="1" t="n">
        <v>2043</v>
      </c>
      <c r="C51" s="1" t="n">
        <f aca="false">C50*(1+D51/100)</f>
        <v>172.169867409449</v>
      </c>
      <c r="D51" s="1" t="n">
        <f aca="false">D50</f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LibreOffice/24.2.7.2$Linux_AARCH64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2026-01-19T01:35:29Z</dcterms:created>
  <dc:creator>Wang, Shuyi</dc:creator>
  <dc:description/>
  <dc:language>en-US</dc:language>
  <cp:lastModifiedBy>Wang, Shuyi</cp:lastModifiedBy>
  <dcterms:modified xsi:type="dcterms:W3CDTF">2026-10-08T18:10:38Z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56772174-05a0-49ce-8b7c-60ea98bff72c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2026-01-19T03:31:25Z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