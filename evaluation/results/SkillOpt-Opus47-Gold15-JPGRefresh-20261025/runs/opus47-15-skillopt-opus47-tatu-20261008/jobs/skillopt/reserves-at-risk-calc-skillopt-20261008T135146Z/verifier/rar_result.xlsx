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<sst xmlns="http://schemas.openxmlformats.org/spreadsheetml/2006/main" count="878" uniqueCount="627">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</sst>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v>1.645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4.83636219241768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16.7536500821453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3.24737216676708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Volume!H18*AVERAGE('Gold price'!B422:B430)</f>
        <v>3265.78177777778</v>
      </c>
    </row>
    <row r="13" customFormat="false" ht="12.75" hidden="false" customHeight="false" outlineLevel="0" collapsed="false">
      <c r="B13" s="0" t="s">
        <v>17</v>
      </c>
      <c r="C13" s="0" t="n">
        <f aca="false">C12*$C$3*$C$4/100</f>
        <v>594.378998905638</v>
      </c>
      <c r="D13" s="0" t="n">
        <f aca="false">D12*$C$3*$C$4/100</f>
        <v>79.7172743814013</v>
      </c>
      <c r="E13" s="0" t="n">
        <f aca="false">E12*$C$3*$C$4/100</f>
        <v>0.85206787287905</v>
      </c>
      <c r="F13" s="0" t="n">
        <f aca="false">F12*$C$3*$C$4/100</f>
        <v>308.497896040217</v>
      </c>
      <c r="G13" s="0" t="n">
        <f aca="false">G12*$C$3*$C$4/100</f>
        <v>4383.05145855829</v>
      </c>
      <c r="H13" s="0" t="n">
        <f aca="false">H12*$C$3*$C$4/100</f>
        <v>805.278924539284</v>
      </c>
      <c r="I13" s="0" t="n">
        <f aca="false">I12*$C$3*$C$4/100</f>
        <v>73.2953398623727</v>
      </c>
      <c r="J13" s="0" t="n">
        <f aca="false">J12*$C$3*$C$4/100</f>
        <v>64.2113893744801</v>
      </c>
      <c r="K13" s="0" t="n">
        <f aca="false">K12*$C$3*$C$4/100</f>
        <v>259.819582883125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594.378998905638</v>
      </c>
      <c r="D22" s="0" t="n">
        <f aca="false">D13</f>
        <v>79.7172743814013</v>
      </c>
      <c r="E22" s="0" t="n">
        <f aca="false">E13</f>
        <v>0.85206787287905</v>
      </c>
      <c r="F22" s="0" t="n">
        <f aca="false">G13</f>
        <v>4383.05145855829</v>
      </c>
      <c r="G22" s="0" t="n">
        <f aca="false">H13</f>
        <v>805.278924539284</v>
      </c>
      <c r="H22" s="0" t="n">
        <f aca="false">I13</f>
        <v>73.2953398623727</v>
      </c>
      <c r="I22" s="0" t="n">
        <f aca="false">J13</f>
        <v>64.2113893744801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Reserves'!$C$18:$P$18,MATCH("*Belarus*",'Total Reserves'!$C$1:$P$1,0))</f>
        <v>14425.9</v>
      </c>
      <c r="D23" s="4" t="n">
        <f aca="false">INDEX('Total Reserves'!$C$18:$P$18,MATCH("*Georgia*",'Total Reserves'!$C$1:$P$1,0))</f>
        <v>6158.7</v>
      </c>
      <c r="E23" s="4" t="n">
        <f aca="false">INDEX('Total Reserves'!$C$18:$P$18,MATCH("*Moldova*",'Total Reserves'!$C$1:$P$1,0))</f>
        <v>5999.34</v>
      </c>
      <c r="F23" s="4" t="n">
        <f aca="false">INDEX('Total Reserves'!$C$18:$P$18,MATCH("*Uzbekistan*",'Total Reserves'!$C$1:$P$1,0))</f>
        <v>66311.75</v>
      </c>
      <c r="G23" s="4" t="n">
        <f aca="false">INDEX('Total Reserves'!$C$18:$P$18,MATCH("*Czechia*",'Total Reserves'!$C$1:$P$1,0))</f>
        <v>175830.49</v>
      </c>
      <c r="H23" s="4" t="n">
        <f aca="false">INDEX('Total Reserves'!$C$18:$P$18,MATCH("*Latvia*",'Total Reserves'!$C$1:$P$1,0))</f>
        <v>6076.9</v>
      </c>
      <c r="I23" s="2" t="n">
        <f aca="false">INDEX('Total Reserves'!$C$18:$P$18,MATCH("*Lithuania*",'Total Reserves'!$C$1:$P$1,0))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4.12022126110425</v>
      </c>
      <c r="D24" s="0" t="n">
        <f aca="false">D22/D23*100</f>
        <v>1.29438476271618</v>
      </c>
      <c r="E24" s="0" t="n">
        <f aca="false">E22/E23*100</f>
        <v>0.014202693510937</v>
      </c>
      <c r="F24" s="0" t="n">
        <f aca="false">F22/F23*100</f>
        <v>6.60976592920302</v>
      </c>
      <c r="G24" s="0" t="n">
        <f aca="false">G22/G23*100</f>
        <v>0.457985941197846</v>
      </c>
      <c r="H24" s="0" t="n">
        <f aca="false">H22/H23*100</f>
        <v>1.20613042607864</v>
      </c>
      <c r="I24" s="0" t="n">
        <f aca="false">I22/I23*100</f>
        <v>0.906594792585879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410</v>
      </c>
    </row>
    <row r="3" customFormat="false" ht="15" hidden="false" customHeight="false" outlineLevel="0" collapsed="false">
      <c r="A3" s="5" t="s">
        <v>24</v>
      </c>
      <c r="B3" s="5" t="n">
        <v>417</v>
      </c>
      <c r="C3" s="5" t="n">
        <f aca="false">LN(B3/B2)*100</f>
        <v>1.6929062100448</v>
      </c>
    </row>
    <row r="4" customFormat="false" ht="15" hidden="false" customHeight="false" outlineLevel="0" collapsed="false">
      <c r="A4" s="5" t="s">
        <v>25</v>
      </c>
      <c r="B4" s="5" t="n">
        <v>393</v>
      </c>
      <c r="C4" s="5" t="n">
        <f aca="false">LN(B4/B3)*100</f>
        <v>-5.92766099295402</v>
      </c>
    </row>
    <row r="5" customFormat="false" ht="15" hidden="false" customHeight="false" outlineLevel="0" collapsed="false">
      <c r="A5" s="5" t="s">
        <v>26</v>
      </c>
      <c r="B5" s="5" t="n">
        <v>374</v>
      </c>
      <c r="C5" s="5" t="n">
        <f aca="false">LN(B5/B4)*100</f>
        <v>-4.95538144547294</v>
      </c>
      <c r="D5" s="5" t="n">
        <f aca="false">STDEV(C3:C5)</f>
        <v>4.14765196153962</v>
      </c>
    </row>
    <row r="6" customFormat="false" ht="15" hidden="false" customHeight="false" outlineLevel="0" collapsed="false">
      <c r="A6" s="5" t="s">
        <v>27</v>
      </c>
      <c r="B6" s="5" t="n">
        <v>369</v>
      </c>
      <c r="C6" s="5" t="n">
        <f aca="false">LN(B6/B5)*100</f>
        <v>-1.34591533740048</v>
      </c>
      <c r="D6" s="5" t="n">
        <f aca="false">STDEV(C4:C6)</f>
        <v>2.41405489981613</v>
      </c>
    </row>
    <row r="7" customFormat="false" ht="15" hidden="false" customHeight="false" outlineLevel="0" collapsed="false">
      <c r="A7" s="5" t="s">
        <v>28</v>
      </c>
      <c r="B7" s="5" t="n">
        <v>352</v>
      </c>
      <c r="C7" s="5" t="n">
        <f aca="false">LN(B7/B6)*100</f>
        <v>-4.71654684424301</v>
      </c>
      <c r="D7" s="5" t="n">
        <f aca="false">STDEV(C5:C7)</f>
        <v>2.01851613431699</v>
      </c>
    </row>
    <row r="8" customFormat="false" ht="15" hidden="false" customHeight="false" outlineLevel="0" collapsed="false">
      <c r="A8" s="5" t="s">
        <v>29</v>
      </c>
      <c r="B8" s="5" t="n">
        <v>363</v>
      </c>
      <c r="C8" s="5" t="n">
        <f aca="false">LN(B8/B7)*100</f>
        <v>3.07716586667537</v>
      </c>
      <c r="D8" s="5" t="n">
        <f aca="false">STDEV(C6:C8)</f>
        <v>3.9086818305131</v>
      </c>
    </row>
    <row r="9" customFormat="false" ht="15" hidden="false" customHeight="false" outlineLevel="0" collapsed="false">
      <c r="A9" s="5" t="s">
        <v>30</v>
      </c>
      <c r="B9" s="5" t="n">
        <v>395</v>
      </c>
      <c r="C9" s="5" t="n">
        <f aca="false">LN(B9/B8)*100</f>
        <v>8.44829306362711</v>
      </c>
      <c r="D9" s="5" t="n">
        <f aca="false">STDEV(C7:C9)</f>
        <v>6.61946592742465</v>
      </c>
    </row>
    <row r="10" customFormat="false" ht="15" hidden="false" customHeight="false" outlineLevel="0" collapsed="false">
      <c r="A10" s="5" t="s">
        <v>31</v>
      </c>
      <c r="B10" s="5" t="n">
        <v>389</v>
      </c>
      <c r="C10" s="5" t="n">
        <f aca="false">LN(B10/B9)*100</f>
        <v>-1.53064212826755</v>
      </c>
      <c r="D10" s="5" t="n">
        <f aca="false">STDEV(C8:C10)</f>
        <v>4.99433094364882</v>
      </c>
    </row>
    <row r="11" customFormat="false" ht="15" hidden="false" customHeight="false" outlineLevel="0" collapsed="false">
      <c r="A11" s="5" t="s">
        <v>32</v>
      </c>
      <c r="B11" s="5" t="n">
        <v>381</v>
      </c>
      <c r="C11" s="5" t="n">
        <f aca="false">LN(B11/B10)*100</f>
        <v>-2.07799684917453</v>
      </c>
      <c r="D11" s="5" t="n">
        <f aca="false">STDEV(C9:C11)</f>
        <v>5.92567188993342</v>
      </c>
    </row>
    <row r="12" customFormat="false" ht="15" hidden="false" customHeight="false" outlineLevel="0" collapsed="false">
      <c r="A12" s="5" t="s">
        <v>33</v>
      </c>
      <c r="B12" s="5" t="n">
        <v>382</v>
      </c>
      <c r="C12" s="5" t="n">
        <f aca="false">LN(B12/B11)*100</f>
        <v>0.262123347987429</v>
      </c>
      <c r="D12" s="5" t="n">
        <f aca="false">STDEV(C10:C12)</f>
        <v>1.2240484590432</v>
      </c>
    </row>
    <row r="13" customFormat="false" ht="15" hidden="false" customHeight="false" outlineLevel="0" collapsed="false">
      <c r="A13" s="5" t="s">
        <v>34</v>
      </c>
      <c r="B13" s="5" t="n">
        <v>377</v>
      </c>
      <c r="C13" s="5" t="n">
        <f aca="false">LN(B13/B12)*100</f>
        <v>-1.31754211585644</v>
      </c>
      <c r="D13" s="5" t="n">
        <f aca="false">STDEV(C11:C13)</f>
        <v>1.19371946147691</v>
      </c>
    </row>
    <row r="14" customFormat="false" ht="15" hidden="false" customHeight="false" outlineLevel="0" collapsed="false">
      <c r="A14" s="5" t="s">
        <v>35</v>
      </c>
      <c r="B14" s="5" t="n">
        <v>384</v>
      </c>
      <c r="C14" s="5" t="n">
        <f aca="false">LN(B14/B13)*100</f>
        <v>1.83973651397161</v>
      </c>
      <c r="D14" s="5" t="n">
        <f aca="false">STDEV(C12:C14)</f>
        <v>1.57863942608377</v>
      </c>
      <c r="E14" s="5" t="n">
        <f aca="false">STDEV(C3:C14)</f>
        <v>3.99695564455148</v>
      </c>
    </row>
    <row r="15" customFormat="false" ht="15" hidden="false" customHeight="false" outlineLevel="0" collapsed="false">
      <c r="A15" s="5" t="s">
        <v>36</v>
      </c>
      <c r="B15" s="5" t="n">
        <v>364</v>
      </c>
      <c r="C15" s="5" t="n">
        <f aca="false">LN(B15/B14)*100</f>
        <v>-5.34886849509862</v>
      </c>
      <c r="D15" s="5" t="n">
        <f aca="false">STDEV(C13:C15)</f>
        <v>3.60314776037963</v>
      </c>
      <c r="E15" s="5" t="n">
        <f aca="false">STDEV(C4:C15)</f>
        <v>4.15227714570478</v>
      </c>
    </row>
    <row r="16" customFormat="false" ht="15" hidden="false" customHeight="false" outlineLevel="0" collapsed="false">
      <c r="A16" s="5" t="s">
        <v>37</v>
      </c>
      <c r="B16" s="5" t="n">
        <v>363</v>
      </c>
      <c r="C16" s="5" t="n">
        <f aca="false">LN(B16/B15)*100</f>
        <v>-0.275103337188987</v>
      </c>
      <c r="D16" s="5" t="n">
        <f aca="false">STDEV(C14:C16)</f>
        <v>3.6944030291353</v>
      </c>
      <c r="E16" s="5" t="n">
        <f aca="false">STDEV(C5:C16)</f>
        <v>3.86990076518701</v>
      </c>
    </row>
    <row r="17" customFormat="false" ht="15" hidden="false" customHeight="false" outlineLevel="0" collapsed="false">
      <c r="A17" s="5" t="s">
        <v>38</v>
      </c>
      <c r="B17" s="5" t="n">
        <v>358</v>
      </c>
      <c r="C17" s="5" t="n">
        <f aca="false">LN(B17/B16)*100</f>
        <v>-1.38698478641505</v>
      </c>
      <c r="D17" s="5" t="n">
        <f aca="false">STDEV(C15:C17)</f>
        <v>2.66695506011016</v>
      </c>
      <c r="E17" s="5" t="n">
        <f aca="false">STDEV(C6:C17)</f>
        <v>3.64026513631562</v>
      </c>
    </row>
    <row r="18" customFormat="false" ht="15" hidden="false" customHeight="false" outlineLevel="0" collapsed="false">
      <c r="A18" s="5" t="s">
        <v>39</v>
      </c>
      <c r="B18" s="5" t="n">
        <v>357</v>
      </c>
      <c r="C18" s="5" t="n">
        <f aca="false">LN(B18/B17)*100</f>
        <v>-0.279720462106125</v>
      </c>
      <c r="D18" s="5" t="n">
        <f aca="false">STDEV(C16:C18)</f>
        <v>0.640616364509323</v>
      </c>
      <c r="E18" s="5" t="n">
        <f aca="false">STDEV(C7:C18)</f>
        <v>3.62711766344006</v>
      </c>
    </row>
    <row r="19" customFormat="false" ht="15" hidden="false" customHeight="false" outlineLevel="0" collapsed="false">
      <c r="A19" s="5" t="s">
        <v>40</v>
      </c>
      <c r="B19" s="5" t="n">
        <v>367</v>
      </c>
      <c r="C19" s="5" t="n">
        <f aca="false">LN(B19/B18)*100</f>
        <v>2.76260662749311</v>
      </c>
      <c r="D19" s="5" t="n">
        <f aca="false">STDEV(C17:C19)</f>
        <v>2.14867778359844</v>
      </c>
      <c r="E19" s="5" t="n">
        <f aca="false">STDEV(C8:C19)</f>
        <v>3.43195719702896</v>
      </c>
    </row>
    <row r="20" customFormat="false" ht="15" hidden="false" customHeight="false" outlineLevel="0" collapsed="false">
      <c r="A20" s="5" t="s">
        <v>41</v>
      </c>
      <c r="B20" s="5" t="n">
        <v>368</v>
      </c>
      <c r="C20" s="5" t="n">
        <f aca="false">LN(B20/B19)*100</f>
        <v>0.272109011436059</v>
      </c>
      <c r="D20" s="5" t="n">
        <f aca="false">STDEV(C18:C20)</f>
        <v>1.62084588325382</v>
      </c>
      <c r="E20" s="5" t="n">
        <f aca="false">STDEV(C9:C20)</f>
        <v>3.32295020779595</v>
      </c>
    </row>
    <row r="21" customFormat="false" ht="15" hidden="false" customHeight="false" outlineLevel="0" collapsed="false">
      <c r="A21" s="5" t="s">
        <v>42</v>
      </c>
      <c r="B21" s="5" t="n">
        <v>356</v>
      </c>
      <c r="C21" s="5" t="n">
        <f aca="false">LN(B21/B20)*100</f>
        <v>-3.31522073169005</v>
      </c>
      <c r="D21" s="5" t="n">
        <f aca="false">STDEV(C19:C21)</f>
        <v>3.05536409367576</v>
      </c>
      <c r="E21" s="5" t="n">
        <f aca="false">STDEV(C10:C21)</f>
        <v>2.17902032153316</v>
      </c>
    </row>
    <row r="22" customFormat="false" ht="15" hidden="false" customHeight="false" outlineLevel="0" collapsed="false">
      <c r="A22" s="5" t="s">
        <v>43</v>
      </c>
      <c r="B22" s="5" t="n">
        <v>349</v>
      </c>
      <c r="C22" s="5" t="n">
        <f aca="false">LN(B22/B21)*100</f>
        <v>-1.98588086496033</v>
      </c>
      <c r="D22" s="5" t="n">
        <f aca="false">STDEV(C20:C22)</f>
        <v>1.81358748750935</v>
      </c>
      <c r="E22" s="5" t="n">
        <f aca="false">STDEV(C11:C22)</f>
        <v>2.19553830973559</v>
      </c>
    </row>
    <row r="23" customFormat="false" ht="15" hidden="false" customHeight="false" outlineLevel="0" collapsed="false">
      <c r="A23" s="5" t="s">
        <v>44</v>
      </c>
      <c r="B23" s="5" t="n">
        <v>359</v>
      </c>
      <c r="C23" s="5" t="n">
        <f aca="false">LN(B23/B22)*100</f>
        <v>2.82504662858517</v>
      </c>
      <c r="D23" s="5" t="n">
        <f aca="false">STDEV(C21:C23)</f>
        <v>3.23045536225391</v>
      </c>
      <c r="E23" s="5" t="n">
        <f aca="false">STDEV(C12:C23)</f>
        <v>2.40360930336573</v>
      </c>
    </row>
    <row r="24" customFormat="false" ht="15" hidden="false" customHeight="false" outlineLevel="0" collapsed="false">
      <c r="A24" s="5" t="s">
        <v>45</v>
      </c>
      <c r="B24" s="5" t="n">
        <v>360</v>
      </c>
      <c r="C24" s="5" t="n">
        <f aca="false">LN(B24/B23)*100</f>
        <v>0.278164296187677</v>
      </c>
      <c r="D24" s="5" t="n">
        <f aca="false">STDEV(C22:C24)</f>
        <v>2.4068490277729</v>
      </c>
      <c r="E24" s="5" t="n">
        <f aca="false">STDEV(C13:C24)</f>
        <v>2.40407345448141</v>
      </c>
    </row>
    <row r="25" customFormat="false" ht="15" hidden="false" customHeight="false" outlineLevel="0" collapsed="false">
      <c r="A25" s="5" t="s">
        <v>46</v>
      </c>
      <c r="B25" s="5" t="n">
        <v>362</v>
      </c>
      <c r="C25" s="5" t="n">
        <f aca="false">LN(B25/B24)*100</f>
        <v>0.554018037561535</v>
      </c>
      <c r="D25" s="5" t="n">
        <f aca="false">STDEV(C23:C25)</f>
        <v>1.39763346190118</v>
      </c>
      <c r="E25" s="5" t="n">
        <f aca="false">STDEV(C14:C25)</f>
        <v>2.406518180155</v>
      </c>
    </row>
    <row r="26" customFormat="false" ht="15" hidden="false" customHeight="false" outlineLevel="0" collapsed="false">
      <c r="A26" s="5" t="s">
        <v>47</v>
      </c>
      <c r="B26" s="5" t="n">
        <v>354</v>
      </c>
      <c r="C26" s="5" t="n">
        <f aca="false">LN(B26/B25)*100</f>
        <v>-2.23472986919967</v>
      </c>
      <c r="D26" s="5" t="n">
        <f aca="false">STDEV(C24:C26)</f>
        <v>1.53665476824023</v>
      </c>
      <c r="E26" s="5" t="n">
        <f aca="false">STDEV(C15:C26)</f>
        <v>2.35822454175046</v>
      </c>
    </row>
    <row r="27" customFormat="false" ht="15" hidden="false" customHeight="false" outlineLevel="0" collapsed="false">
      <c r="A27" s="5" t="s">
        <v>48</v>
      </c>
      <c r="B27" s="5" t="n">
        <v>354</v>
      </c>
      <c r="C27" s="5" t="n">
        <f aca="false">LN(B27/B26)*100</f>
        <v>0</v>
      </c>
      <c r="D27" s="5" t="n">
        <f aca="false">STDEV(C25:C27)</f>
        <v>1.47637328509774</v>
      </c>
      <c r="E27" s="5" t="n">
        <f aca="false">STDEV(C16:C27)</f>
        <v>1.84466416401281</v>
      </c>
    </row>
    <row r="28" customFormat="false" ht="15" hidden="false" customHeight="false" outlineLevel="0" collapsed="false">
      <c r="A28" s="5" t="s">
        <v>49</v>
      </c>
      <c r="B28" s="5" t="n">
        <v>344</v>
      </c>
      <c r="C28" s="5" t="n">
        <f aca="false">LN(B28/B27)*100</f>
        <v>-2.86552557603761</v>
      </c>
      <c r="D28" s="5" t="n">
        <f aca="false">STDEV(C26:C28)</f>
        <v>1.50572007352983</v>
      </c>
      <c r="E28" s="5" t="n">
        <f aca="false">STDEV(C17:C28)</f>
        <v>1.99554779712175</v>
      </c>
    </row>
    <row r="29" customFormat="false" ht="15" hidden="false" customHeight="false" outlineLevel="0" collapsed="false">
      <c r="A29" s="5" t="s">
        <v>50</v>
      </c>
      <c r="B29" s="5" t="n">
        <v>339</v>
      </c>
      <c r="C29" s="5" t="n">
        <f aca="false">LN(B29/B28)*100</f>
        <v>-1.46415499929481</v>
      </c>
      <c r="D29" s="5" t="n">
        <f aca="false">STDEV(C27:C29)</f>
        <v>1.4328774187072</v>
      </c>
      <c r="E29" s="5" t="n">
        <f aca="false">STDEV(C18:C29)</f>
        <v>1.99897023230863</v>
      </c>
    </row>
    <row r="30" customFormat="false" ht="15" hidden="false" customHeight="false" outlineLevel="0" collapsed="false">
      <c r="A30" s="5" t="s">
        <v>51</v>
      </c>
      <c r="B30" s="5" t="n">
        <v>337</v>
      </c>
      <c r="C30" s="5" t="n">
        <f aca="false">LN(B30/B29)*100</f>
        <v>-0.591717702808851</v>
      </c>
      <c r="D30" s="5" t="n">
        <f aca="false">STDEV(C28:C30)</f>
        <v>1.14711148644594</v>
      </c>
      <c r="E30" s="5" t="n">
        <f aca="false">STDEV(C19:C30)</f>
        <v>1.99852008586272</v>
      </c>
    </row>
    <row r="31" customFormat="false" ht="15" hidden="false" customHeight="false" outlineLevel="0" collapsed="false">
      <c r="A31" s="5" t="s">
        <v>52</v>
      </c>
      <c r="B31" s="5" t="n">
        <v>341</v>
      </c>
      <c r="C31" s="5" t="n">
        <f aca="false">LN(B31/B30)*100</f>
        <v>1.1799546931155</v>
      </c>
      <c r="D31" s="5" t="n">
        <f aca="false">STDEV(C29:C31)</f>
        <v>1.34729890152348</v>
      </c>
      <c r="E31" s="5" t="n">
        <f aca="false">STDEV(C20:C31)</f>
        <v>1.80820688075621</v>
      </c>
    </row>
    <row r="32" customFormat="false" ht="15" hidden="false" customHeight="false" outlineLevel="0" collapsed="false">
      <c r="A32" s="5" t="s">
        <v>53</v>
      </c>
      <c r="B32" s="5" t="n">
        <v>353</v>
      </c>
      <c r="C32" s="5" t="n">
        <f aca="false">LN(B32/B31)*100</f>
        <v>3.458557964978</v>
      </c>
      <c r="D32" s="5" t="n">
        <f aca="false">STDEV(C30:C32)</f>
        <v>2.03041822186502</v>
      </c>
      <c r="E32" s="5" t="n">
        <f aca="false">STDEV(C21:C32)</f>
        <v>2.15131030332908</v>
      </c>
    </row>
    <row r="33" customFormat="false" ht="15" hidden="false" customHeight="false" outlineLevel="0" collapsed="false">
      <c r="A33" s="5" t="s">
        <v>54</v>
      </c>
      <c r="B33" s="5" t="n">
        <v>343</v>
      </c>
      <c r="C33" s="5" t="n">
        <f aca="false">LN(B33/B32)*100</f>
        <v>-2.87376097673568</v>
      </c>
      <c r="D33" s="5" t="n">
        <f aca="false">STDEV(C31:C33)</f>
        <v>3.20735890264158</v>
      </c>
      <c r="E33" s="5" t="n">
        <f aca="false">STDEV(C22:C33)</f>
        <v>2.09907463550947</v>
      </c>
    </row>
    <row r="34" customFormat="false" ht="15" hidden="false" customHeight="false" outlineLevel="0" collapsed="false">
      <c r="A34" s="5" t="s">
        <v>55</v>
      </c>
      <c r="B34" s="5" t="n">
        <v>345</v>
      </c>
      <c r="C34" s="5" t="n">
        <f aca="false">LN(B34/B33)*100</f>
        <v>0.581396986541982</v>
      </c>
      <c r="D34" s="5" t="n">
        <f aca="false">STDEV(C32:C34)</f>
        <v>3.17055292303571</v>
      </c>
      <c r="E34" s="5" t="n">
        <f aca="false">STDEV(C23:C34)</f>
        <v>2.04281531823022</v>
      </c>
    </row>
    <row r="35" customFormat="false" ht="15" hidden="false" customHeight="false" outlineLevel="0" collapsed="false">
      <c r="A35" s="5" t="s">
        <v>56</v>
      </c>
      <c r="B35" s="5" t="n">
        <v>344</v>
      </c>
      <c r="C35" s="5" t="n">
        <f aca="false">LN(B35/B34)*100</f>
        <v>-0.290275965796135</v>
      </c>
      <c r="D35" s="5" t="n">
        <f aca="false">STDEV(C33:C35)</f>
        <v>1.79686417075175</v>
      </c>
      <c r="E35" s="5" t="n">
        <f aca="false">STDEV(C24:C35)</f>
        <v>1.82408405799139</v>
      </c>
    </row>
    <row r="36" customFormat="false" ht="15" hidden="false" customHeight="false" outlineLevel="0" collapsed="false">
      <c r="A36" s="5" t="s">
        <v>57</v>
      </c>
      <c r="B36" s="5" t="n">
        <v>335</v>
      </c>
      <c r="C36" s="5" t="n">
        <f aca="false">LN(B36/B35)*100</f>
        <v>-2.6511125548332</v>
      </c>
      <c r="D36" s="5" t="n">
        <f aca="false">STDEV(C34:C36)</f>
        <v>1.67244736195471</v>
      </c>
      <c r="E36" s="5" t="n">
        <f aca="false">STDEV(C25:C36)</f>
        <v>1.92477503667085</v>
      </c>
    </row>
    <row r="37" customFormat="false" ht="15" hidden="false" customHeight="false" outlineLevel="0" collapsed="false">
      <c r="A37" s="5" t="s">
        <v>58</v>
      </c>
      <c r="B37" s="5" t="n">
        <v>335</v>
      </c>
      <c r="C37" s="5" t="n">
        <f aca="false">LN(B37/B36)*100</f>
        <v>0</v>
      </c>
      <c r="D37" s="5" t="n">
        <f aca="false">STDEV(C35:C37)</f>
        <v>1.45408661564853</v>
      </c>
      <c r="E37" s="5" t="n">
        <f aca="false">STDEV(C26:C37)</f>
        <v>1.9010824051916</v>
      </c>
    </row>
    <row r="38" customFormat="false" ht="15" hidden="false" customHeight="false" outlineLevel="0" collapsed="false">
      <c r="A38" s="5" t="s">
        <v>59</v>
      </c>
      <c r="B38" s="5" t="n">
        <v>329</v>
      </c>
      <c r="C38" s="5" t="n">
        <f aca="false">LN(B38/B37)*100</f>
        <v>-1.80727810596945</v>
      </c>
      <c r="D38" s="5" t="n">
        <f aca="false">STDEV(C36:C38)</f>
        <v>1.3544192179553</v>
      </c>
      <c r="E38" s="5" t="n">
        <f aca="false">STDEV(C27:C38)</f>
        <v>1.87239492704345</v>
      </c>
    </row>
    <row r="39" customFormat="false" ht="15" hidden="false" customHeight="false" outlineLevel="0" collapsed="false">
      <c r="A39" s="5" t="s">
        <v>60</v>
      </c>
      <c r="B39" s="5" t="n">
        <v>329</v>
      </c>
      <c r="C39" s="5" t="n">
        <f aca="false">LN(B39/B38)*100</f>
        <v>0</v>
      </c>
      <c r="D39" s="5" t="n">
        <f aca="false">STDEV(C37:C39)</f>
        <v>1.04343250098198</v>
      </c>
      <c r="E39" s="5" t="n">
        <f aca="false">STDEV(C28:C39)</f>
        <v>1.87239492704345</v>
      </c>
    </row>
    <row r="40" customFormat="false" ht="15" hidden="false" customHeight="false" outlineLevel="0" collapsed="false">
      <c r="A40" s="5" t="s">
        <v>61</v>
      </c>
      <c r="B40" s="5" t="n">
        <v>330</v>
      </c>
      <c r="C40" s="5" t="n">
        <f aca="false">LN(B40/B39)*100</f>
        <v>0.303490369515411</v>
      </c>
      <c r="D40" s="5" t="n">
        <f aca="false">STDEV(C38:C40)</f>
        <v>1.14117659412014</v>
      </c>
      <c r="E40" s="5" t="n">
        <f aca="false">STDEV(C29:C40)</f>
        <v>1.74451710830709</v>
      </c>
    </row>
    <row r="41" customFormat="false" ht="15" hidden="false" customHeight="false" outlineLevel="0" collapsed="false">
      <c r="A41" s="5" t="s">
        <v>62</v>
      </c>
      <c r="B41" s="5" t="n">
        <v>342</v>
      </c>
      <c r="C41" s="5" t="n">
        <f aca="false">LN(B41/B40)*100</f>
        <v>3.57180826020792</v>
      </c>
      <c r="D41" s="5" t="n">
        <f aca="false">STDEV(C39:C41)</f>
        <v>1.98039652959952</v>
      </c>
      <c r="E41" s="5" t="n">
        <f aca="false">STDEV(C30:C41)</f>
        <v>2.03301643582578</v>
      </c>
    </row>
    <row r="42" customFormat="false" ht="15" hidden="false" customHeight="false" outlineLevel="0" collapsed="false">
      <c r="A42" s="5" t="s">
        <v>63</v>
      </c>
      <c r="B42" s="5" t="n">
        <v>367</v>
      </c>
      <c r="C42" s="5" t="n">
        <f aca="false">LN(B42/B41)*100</f>
        <v>7.05511109919652</v>
      </c>
      <c r="D42" s="5" t="n">
        <f aca="false">STDEV(C40:C42)</f>
        <v>3.37638077878731</v>
      </c>
      <c r="E42" s="5" t="n">
        <f aca="false">STDEV(C31:C42)</f>
        <v>2.84274922501703</v>
      </c>
    </row>
    <row r="43" customFormat="false" ht="15" hidden="false" customHeight="false" outlineLevel="0" collapsed="false">
      <c r="A43" s="5" t="s">
        <v>64</v>
      </c>
      <c r="B43" s="5" t="n">
        <v>372</v>
      </c>
      <c r="C43" s="5" t="n">
        <f aca="false">LN(B43/B42)*100</f>
        <v>1.35320062185764</v>
      </c>
      <c r="D43" s="5" t="n">
        <f aca="false">STDEV(C41:C43)</f>
        <v>2.87423617716195</v>
      </c>
      <c r="E43" s="5" t="n">
        <f aca="false">STDEV(C32:C43)</f>
        <v>2.84578756150259</v>
      </c>
    </row>
    <row r="44" customFormat="false" ht="15" hidden="false" customHeight="false" outlineLevel="0" collapsed="false">
      <c r="A44" s="5" t="s">
        <v>65</v>
      </c>
      <c r="B44" s="5" t="n">
        <v>392</v>
      </c>
      <c r="C44" s="5" t="n">
        <f aca="false">LN(B44/B43)*100</f>
        <v>5.23679855173159</v>
      </c>
      <c r="D44" s="5" t="n">
        <f aca="false">STDEV(C42:C44)</f>
        <v>2.91262700703839</v>
      </c>
      <c r="E44" s="5" t="n">
        <f aca="false">STDEV(C33:C44)</f>
        <v>3.04068941801283</v>
      </c>
    </row>
    <row r="45" customFormat="false" ht="15" hidden="false" customHeight="false" outlineLevel="0" collapsed="false">
      <c r="A45" s="5" t="s">
        <v>66</v>
      </c>
      <c r="B45" s="5" t="n">
        <v>379</v>
      </c>
      <c r="C45" s="5" t="n">
        <f aca="false">LN(B45/B44)*100</f>
        <v>-3.37256347080362</v>
      </c>
      <c r="D45" s="5" t="n">
        <f aca="false">STDEV(C43:C45)</f>
        <v>4.31154059038992</v>
      </c>
      <c r="E45" s="5" t="n">
        <f aca="false">STDEV(C34:C45)</f>
        <v>3.09941126464781</v>
      </c>
    </row>
    <row r="46" customFormat="false" ht="15" hidden="false" customHeight="false" outlineLevel="0" collapsed="false">
      <c r="A46" s="5" t="s">
        <v>67</v>
      </c>
      <c r="B46" s="5" t="n">
        <v>355</v>
      </c>
      <c r="C46" s="5" t="n">
        <f aca="false">LN(B46/B45)*100</f>
        <v>-6.54184156070106</v>
      </c>
      <c r="D46" s="5" t="n">
        <f aca="false">STDEV(C44:C46)</f>
        <v>6.09510460594379</v>
      </c>
      <c r="E46" s="5" t="n">
        <f aca="false">STDEV(C35:C46)</f>
        <v>3.76283436482378</v>
      </c>
    </row>
    <row r="47" customFormat="false" ht="15" hidden="false" customHeight="false" outlineLevel="0" collapsed="false">
      <c r="A47" s="5" t="s">
        <v>68</v>
      </c>
      <c r="B47" s="5" t="n">
        <v>364</v>
      </c>
      <c r="C47" s="5" t="n">
        <f aca="false">LN(B47/B46)*100</f>
        <v>2.50360781613248</v>
      </c>
      <c r="D47" s="5" t="n">
        <f aca="false">STDEV(C45:C47)</f>
        <v>4.58973250915153</v>
      </c>
      <c r="E47" s="5" t="n">
        <f aca="false">STDEV(C36:C47)</f>
        <v>3.81326566569378</v>
      </c>
    </row>
    <row r="48" customFormat="false" ht="15" hidden="false" customHeight="false" outlineLevel="0" collapsed="false">
      <c r="A48" s="5" t="s">
        <v>69</v>
      </c>
      <c r="B48" s="5" t="n">
        <v>374</v>
      </c>
      <c r="C48" s="5" t="n">
        <f aca="false">LN(B48/B47)*100</f>
        <v>2.71019297777912</v>
      </c>
      <c r="D48" s="5" t="n">
        <f aca="false">STDEV(C46:C48)</f>
        <v>5.28303850322112</v>
      </c>
      <c r="E48" s="5" t="n">
        <f aca="false">STDEV(C37:C48)</f>
        <v>3.72732831562315</v>
      </c>
    </row>
    <row r="49" customFormat="false" ht="15" hidden="false" customHeight="false" outlineLevel="0" collapsed="false">
      <c r="A49" s="5" t="s">
        <v>70</v>
      </c>
      <c r="B49" s="5" t="n">
        <v>383</v>
      </c>
      <c r="C49" s="5" t="n">
        <f aca="false">LN(B49/B48)*100</f>
        <v>2.37791917661141</v>
      </c>
      <c r="D49" s="5" t="n">
        <f aca="false">STDEV(C47:C49)</f>
        <v>0.167770151327969</v>
      </c>
      <c r="E49" s="5" t="n">
        <f aca="false">STDEV(C38:C49)</f>
        <v>3.73730029435386</v>
      </c>
    </row>
    <row r="50" customFormat="false" ht="15" hidden="false" customHeight="false" outlineLevel="0" collapsed="false">
      <c r="A50" s="5" t="s">
        <v>71</v>
      </c>
      <c r="B50" s="5" t="n">
        <v>387</v>
      </c>
      <c r="C50" s="5" t="n">
        <f aca="false">LN(B50/B49)*100</f>
        <v>1.03897038491359</v>
      </c>
      <c r="D50" s="5" t="n">
        <f aca="false">STDEV(C48:C50)</f>
        <v>0.88470095706927</v>
      </c>
      <c r="E50" s="5" t="n">
        <f aca="false">STDEV(C39:C50)</f>
        <v>3.62350370581402</v>
      </c>
    </row>
    <row r="51" customFormat="false" ht="15" hidden="false" customHeight="false" outlineLevel="0" collapsed="false">
      <c r="A51" s="5" t="s">
        <v>72</v>
      </c>
      <c r="B51" s="5" t="n">
        <v>382</v>
      </c>
      <c r="C51" s="5" t="n">
        <f aca="false">LN(B51/B50)*100</f>
        <v>-1.30040844232066</v>
      </c>
      <c r="D51" s="5" t="n">
        <f aca="false">STDEV(C49:C51)</f>
        <v>1.86170044297767</v>
      </c>
      <c r="E51" s="5" t="n">
        <f aca="false">STDEV(C40:C51)</f>
        <v>3.68654514476411</v>
      </c>
    </row>
    <row r="52" customFormat="false" ht="15" hidden="false" customHeight="false" outlineLevel="0" collapsed="false">
      <c r="A52" s="5" t="s">
        <v>73</v>
      </c>
      <c r="B52" s="5" t="n">
        <v>384</v>
      </c>
      <c r="C52" s="5" t="n">
        <f aca="false">LN(B52/B51)*100</f>
        <v>0.522194398115162</v>
      </c>
      <c r="D52" s="5" t="n">
        <f aca="false">STDEV(C50:C52)</f>
        <v>1.22893123158622</v>
      </c>
      <c r="E52" s="5" t="n">
        <f aca="false">STDEV(C41:C52)</f>
        <v>3.68200690253367</v>
      </c>
    </row>
    <row r="53" customFormat="false" ht="15" hidden="false" customHeight="false" outlineLevel="0" collapsed="false">
      <c r="A53" s="5" t="s">
        <v>74</v>
      </c>
      <c r="B53" s="5" t="n">
        <v>377</v>
      </c>
      <c r="C53" s="5" t="n">
        <f aca="false">LN(B53/B52)*100</f>
        <v>-1.83973651397161</v>
      </c>
      <c r="D53" s="5" t="n">
        <f aca="false">STDEV(C51:C53)</f>
        <v>1.23770442865724</v>
      </c>
      <c r="E53" s="5" t="n">
        <f aca="false">STDEV(C42:C53)</f>
        <v>3.70483699690784</v>
      </c>
    </row>
    <row r="54" customFormat="false" ht="15" hidden="false" customHeight="false" outlineLevel="0" collapsed="false">
      <c r="A54" s="5" t="s">
        <v>75</v>
      </c>
      <c r="B54" s="5" t="n">
        <v>381</v>
      </c>
      <c r="C54" s="5" t="n">
        <f aca="false">LN(B54/B53)*100</f>
        <v>1.05541876786902</v>
      </c>
      <c r="D54" s="5" t="n">
        <f aca="false">STDEV(C52:C54)</f>
        <v>1.54083148375264</v>
      </c>
      <c r="E54" s="5" t="n">
        <f aca="false">STDEV(C43:C54)</f>
        <v>3.14883179113736</v>
      </c>
    </row>
    <row r="55" customFormat="false" ht="15" hidden="false" customHeight="false" outlineLevel="0" collapsed="false">
      <c r="A55" s="5" t="s">
        <v>76</v>
      </c>
      <c r="B55" s="5" t="n">
        <v>386</v>
      </c>
      <c r="C55" s="5" t="n">
        <f aca="false">LN(B55/B54)*100</f>
        <v>1.30379943381298</v>
      </c>
      <c r="D55" s="5" t="n">
        <f aca="false">STDEV(C53:C55)</f>
        <v>1.74763818319651</v>
      </c>
      <c r="E55" s="5" t="n">
        <f aca="false">STDEV(C44:C55)</f>
        <v>3.14737870891141</v>
      </c>
    </row>
    <row r="56" customFormat="false" ht="15" hidden="false" customHeight="false" outlineLevel="0" collapsed="false">
      <c r="A56" s="5" t="s">
        <v>77</v>
      </c>
      <c r="B56" s="5" t="n">
        <v>385</v>
      </c>
      <c r="C56" s="5" t="n">
        <f aca="false">LN(B56/B55)*100</f>
        <v>-0.259403517704665</v>
      </c>
      <c r="D56" s="5" t="n">
        <f aca="false">STDEV(C54:C56)</f>
        <v>0.840045044971741</v>
      </c>
      <c r="E56" s="5" t="n">
        <f aca="false">STDEV(C45:C56)</f>
        <v>2.73821356056336</v>
      </c>
    </row>
    <row r="57" customFormat="false" ht="15" hidden="false" customHeight="false" outlineLevel="0" collapsed="false">
      <c r="A57" s="5" t="s">
        <v>78</v>
      </c>
      <c r="B57" s="5" t="n">
        <v>380</v>
      </c>
      <c r="C57" s="5" t="n">
        <f aca="false">LN(B57/B56)*100</f>
        <v>-1.30720815673528</v>
      </c>
      <c r="D57" s="5" t="n">
        <f aca="false">STDEV(C55:C57)</f>
        <v>1.31395450625888</v>
      </c>
      <c r="E57" s="5" t="n">
        <f aca="false">STDEV(C46:C57)</f>
        <v>2.57744282286697</v>
      </c>
    </row>
    <row r="58" customFormat="false" ht="15" hidden="false" customHeight="false" outlineLevel="0" collapsed="false">
      <c r="A58" s="5" t="s">
        <v>79</v>
      </c>
      <c r="B58" s="5" t="n">
        <v>392</v>
      </c>
      <c r="C58" s="5" t="n">
        <f aca="false">LN(B58/B57)*100</f>
        <v>3.10905870700312</v>
      </c>
      <c r="D58" s="5" t="n">
        <f aca="false">STDEV(C56:C58)</f>
        <v>2.30751833985529</v>
      </c>
      <c r="E58" s="5" t="n">
        <f aca="false">STDEV(C47:C58)</f>
        <v>1.69920789650232</v>
      </c>
    </row>
    <row r="59" customFormat="false" ht="15" hidden="false" customHeight="false" outlineLevel="0" collapsed="false">
      <c r="A59" s="5" t="s">
        <v>80</v>
      </c>
      <c r="B59" s="5" t="n">
        <v>390</v>
      </c>
      <c r="C59" s="5" t="n">
        <f aca="false">LN(B59/B58)*100</f>
        <v>-0.511510066677038</v>
      </c>
      <c r="D59" s="5" t="n">
        <f aca="false">STDEV(C57:C59)</f>
        <v>2.35389983882152</v>
      </c>
      <c r="E59" s="5" t="n">
        <f aca="false">STDEV(C48:C59)</f>
        <v>1.6508559216061</v>
      </c>
    </row>
    <row r="60" customFormat="false" ht="15" hidden="false" customHeight="false" outlineLevel="0" collapsed="false">
      <c r="A60" s="5" t="s">
        <v>81</v>
      </c>
      <c r="B60" s="5" t="n">
        <v>384</v>
      </c>
      <c r="C60" s="5" t="n">
        <f aca="false">LN(B60/B59)*100</f>
        <v>-1.55041865359652</v>
      </c>
      <c r="D60" s="5" t="n">
        <f aca="false">STDEV(C58:C60)</f>
        <v>2.44603688207624</v>
      </c>
      <c r="E60" s="5" t="n">
        <f aca="false">STDEV(C49:C60)</f>
        <v>1.6074738207136</v>
      </c>
    </row>
    <row r="61" customFormat="false" ht="15" hidden="false" customHeight="false" outlineLevel="0" collapsed="false">
      <c r="A61" s="5" t="s">
        <v>82</v>
      </c>
      <c r="B61" s="5" t="n">
        <v>379</v>
      </c>
      <c r="C61" s="5" t="n">
        <f aca="false">LN(B61/B60)*100</f>
        <v>-1.31063475053005</v>
      </c>
      <c r="D61" s="5" t="n">
        <f aca="false">STDEV(C59:C61)</f>
        <v>0.543971143917274</v>
      </c>
      <c r="E61" s="5" t="n">
        <f aca="false">STDEV(C50:C61)</f>
        <v>1.50681242171961</v>
      </c>
    </row>
    <row r="62" customFormat="false" ht="15" hidden="false" customHeight="false" outlineLevel="0" collapsed="false">
      <c r="A62" s="5" t="s">
        <v>83</v>
      </c>
      <c r="B62" s="5" t="n">
        <v>379</v>
      </c>
      <c r="C62" s="5" t="n">
        <f aca="false">LN(B62/B61)*100</f>
        <v>0</v>
      </c>
      <c r="D62" s="5" t="n">
        <f aca="false">STDEV(C60:C62)</f>
        <v>0.834571523885841</v>
      </c>
      <c r="E62" s="5" t="n">
        <f aca="false">STDEV(C51:C62)</f>
        <v>1.4654849410954</v>
      </c>
    </row>
    <row r="63" customFormat="false" ht="15" hidden="false" customHeight="false" outlineLevel="0" collapsed="false">
      <c r="A63" s="5" t="s">
        <v>84</v>
      </c>
      <c r="B63" s="5" t="n">
        <v>377</v>
      </c>
      <c r="C63" s="5" t="n">
        <f aca="false">LN(B63/B62)*100</f>
        <v>-0.529101763441555</v>
      </c>
      <c r="D63" s="5" t="n">
        <f aca="false">STDEV(C61:C63)</f>
        <v>0.659356496300423</v>
      </c>
      <c r="E63" s="5" t="n">
        <f aca="false">STDEV(C52:C63)</f>
        <v>1.42802920358647</v>
      </c>
    </row>
    <row r="64" customFormat="false" ht="15" hidden="false" customHeight="false" outlineLevel="0" collapsed="false">
      <c r="A64" s="5" t="s">
        <v>85</v>
      </c>
      <c r="B64" s="5" t="n">
        <v>382</v>
      </c>
      <c r="C64" s="5" t="n">
        <f aca="false">LN(B64/B63)*100</f>
        <v>1.31754211585643</v>
      </c>
      <c r="D64" s="5" t="n">
        <f aca="false">STDEV(C62:C64)</f>
        <v>0.950960875472902</v>
      </c>
      <c r="E64" s="5" t="n">
        <f aca="false">STDEV(C53:C64)</f>
        <v>1.47762424673782</v>
      </c>
    </row>
    <row r="65" customFormat="false" ht="15" hidden="false" customHeight="false" outlineLevel="0" collapsed="false">
      <c r="A65" s="5" t="s">
        <v>86</v>
      </c>
      <c r="B65" s="5" t="n">
        <v>391</v>
      </c>
      <c r="C65" s="5" t="n">
        <f aca="false">LN(B65/B64)*100</f>
        <v>2.32869513787907</v>
      </c>
      <c r="D65" s="5" t="n">
        <f aca="false">STDEV(C63:C65)</f>
        <v>1.44911048463601</v>
      </c>
      <c r="E65" s="5" t="n">
        <f aca="false">STDEV(C54:C65)</f>
        <v>1.50665498164698</v>
      </c>
    </row>
    <row r="66" customFormat="false" ht="15" hidden="false" customHeight="false" outlineLevel="0" collapsed="false">
      <c r="A66" s="5" t="s">
        <v>87</v>
      </c>
      <c r="B66" s="5" t="n">
        <v>385</v>
      </c>
      <c r="C66" s="5" t="n">
        <f aca="false">LN(B66/B65)*100</f>
        <v>-1.54642256975816</v>
      </c>
      <c r="D66" s="5" t="n">
        <f aca="false">STDEV(C64:C66)</f>
        <v>2.01002742114117</v>
      </c>
      <c r="E66" s="5" t="n">
        <f aca="false">STDEV(C55:C66)</f>
        <v>1.57435814241207</v>
      </c>
    </row>
    <row r="67" customFormat="false" ht="15" hidden="false" customHeight="false" outlineLevel="0" collapsed="false">
      <c r="A67" s="5" t="s">
        <v>88</v>
      </c>
      <c r="B67" s="5" t="n">
        <v>388</v>
      </c>
      <c r="C67" s="5" t="n">
        <f aca="false">LN(B67/B66)*100</f>
        <v>0.776200533548911</v>
      </c>
      <c r="D67" s="5" t="n">
        <f aca="false">STDEV(C65:C67)</f>
        <v>1.95027155478981</v>
      </c>
      <c r="E67" s="5" t="n">
        <f aca="false">STDEV(C56:C67)</f>
        <v>1.5443702387354</v>
      </c>
    </row>
    <row r="68" customFormat="false" ht="15" hidden="false" customHeight="false" outlineLevel="0" collapsed="false">
      <c r="A68" s="5" t="s">
        <v>89</v>
      </c>
      <c r="B68" s="5" t="n">
        <v>386</v>
      </c>
      <c r="C68" s="5" t="n">
        <f aca="false">LN(B68/B67)*100</f>
        <v>-0.516797015844256</v>
      </c>
      <c r="D68" s="5" t="n">
        <f aca="false">STDEV(C66:C68)</f>
        <v>1.16379762874429</v>
      </c>
      <c r="E68" s="5" t="n">
        <f aca="false">STDEV(C57:C68)</f>
        <v>1.55072744890549</v>
      </c>
    </row>
    <row r="69" customFormat="false" ht="15" hidden="false" customHeight="false" outlineLevel="0" collapsed="false">
      <c r="A69" s="5" t="s">
        <v>90</v>
      </c>
      <c r="B69" s="5" t="n">
        <v>384</v>
      </c>
      <c r="C69" s="5" t="n">
        <f aca="false">LN(B69/B68)*100</f>
        <v>-0.519481687710402</v>
      </c>
      <c r="D69" s="5" t="n">
        <f aca="false">STDEV(C67:C69)</f>
        <v>0.747288686819138</v>
      </c>
      <c r="E69" s="5" t="n">
        <f aca="false">STDEV(C58:C69)</f>
        <v>1.50537261979864</v>
      </c>
    </row>
    <row r="70" customFormat="false" ht="15" hidden="false" customHeight="false" outlineLevel="0" collapsed="false">
      <c r="A70" s="5" t="s">
        <v>91</v>
      </c>
      <c r="B70" s="5" t="n">
        <v>383</v>
      </c>
      <c r="C70" s="5" t="n">
        <f aca="false">LN(B70/B69)*100</f>
        <v>-0.260756340708083</v>
      </c>
      <c r="D70" s="5" t="n">
        <f aca="false">STDEV(C68:C70)</f>
        <v>0.148606213401216</v>
      </c>
      <c r="E70" s="5" t="n">
        <f aca="false">STDEV(C59:C70)</f>
        <v>1.16662540029876</v>
      </c>
    </row>
    <row r="71" customFormat="false" ht="15" hidden="false" customHeight="false" outlineLevel="0" collapsed="false">
      <c r="A71" s="5" t="s">
        <v>92</v>
      </c>
      <c r="B71" s="5" t="n">
        <v>383</v>
      </c>
      <c r="C71" s="5" t="n">
        <f aca="false">LN(B71/B70)*100</f>
        <v>0</v>
      </c>
      <c r="D71" s="5" t="n">
        <f aca="false">STDEV(C69:C71)</f>
        <v>0.259741505561263</v>
      </c>
      <c r="E71" s="5" t="n">
        <f aca="false">STDEV(C60:C71)</f>
        <v>1.16329195019378</v>
      </c>
    </row>
    <row r="72" customFormat="false" ht="15" hidden="false" customHeight="false" outlineLevel="0" collapsed="false">
      <c r="A72" s="5" t="s">
        <v>93</v>
      </c>
      <c r="B72" s="5" t="n">
        <v>385</v>
      </c>
      <c r="C72" s="5" t="n">
        <f aca="false">LN(B72/B71)*100</f>
        <v>0.520834510713826</v>
      </c>
      <c r="D72" s="5" t="n">
        <f aca="false">STDEV(C70:C72)</f>
        <v>0.397941937933246</v>
      </c>
      <c r="E72" s="5" t="n">
        <f aca="false">STDEV(C61:C72)</f>
        <v>1.08798924397936</v>
      </c>
    </row>
    <row r="73" customFormat="false" ht="15" hidden="false" customHeight="false" outlineLevel="0" collapsed="false">
      <c r="A73" s="5" t="s">
        <v>94</v>
      </c>
      <c r="B73" s="5" t="n">
        <v>387</v>
      </c>
      <c r="C73" s="5" t="n">
        <f aca="false">LN(B73/B72)*100</f>
        <v>0.518135874199759</v>
      </c>
      <c r="D73" s="5" t="n">
        <f aca="false">STDEV(C71:C73)</f>
        <v>0.299927950882178</v>
      </c>
      <c r="E73" s="5" t="n">
        <f aca="false">STDEV(C62:C73)</f>
        <v>1.00966498316845</v>
      </c>
    </row>
    <row r="74" customFormat="false" ht="15" hidden="false" customHeight="false" outlineLevel="0" collapsed="false">
      <c r="A74" s="5" t="s">
        <v>95</v>
      </c>
      <c r="B74" s="5" t="n">
        <v>399</v>
      </c>
      <c r="C74" s="5" t="n">
        <f aca="false">LN(B74/B73)*100</f>
        <v>3.05367238600817</v>
      </c>
      <c r="D74" s="5" t="n">
        <f aca="false">STDEV(C72:C74)</f>
        <v>1.46311428056037</v>
      </c>
      <c r="E74" s="5" t="n">
        <f aca="false">STDEV(C63:C74)</f>
        <v>1.30378421136124</v>
      </c>
    </row>
    <row r="75" customFormat="false" ht="15" hidden="false" customHeight="false" outlineLevel="0" collapsed="false">
      <c r="A75" s="5" t="s">
        <v>96</v>
      </c>
      <c r="B75" s="5" t="n">
        <v>405</v>
      </c>
      <c r="C75" s="5" t="n">
        <f aca="false">LN(B75/B74)*100</f>
        <v>1.49256502166758</v>
      </c>
      <c r="D75" s="5" t="n">
        <f aca="false">STDEV(C73:C75)</f>
        <v>1.27903047716795</v>
      </c>
      <c r="E75" s="5" t="n">
        <f aca="false">STDEV(C64:C75)</f>
        <v>1.29940017196511</v>
      </c>
    </row>
    <row r="76" customFormat="false" ht="15" hidden="false" customHeight="false" outlineLevel="0" collapsed="false">
      <c r="A76" s="5" t="s">
        <v>97</v>
      </c>
      <c r="B76" s="5" t="n">
        <v>396</v>
      </c>
      <c r="C76" s="5" t="n">
        <f aca="false">LN(B76/B75)*100</f>
        <v>-2.24728558520586</v>
      </c>
      <c r="D76" s="5" t="n">
        <f aca="false">STDEV(C74:C76)</f>
        <v>2.72408070662709</v>
      </c>
      <c r="E76" s="5" t="n">
        <f aca="false">STDEV(C65:C76)</f>
        <v>1.51010958035695</v>
      </c>
    </row>
    <row r="77" customFormat="false" ht="15" hidden="false" customHeight="false" outlineLevel="0" collapsed="false">
      <c r="A77" s="5" t="s">
        <v>98</v>
      </c>
      <c r="B77" s="5" t="n">
        <v>393</v>
      </c>
      <c r="C77" s="5" t="n">
        <f aca="false">LN(B77/B76)*100</f>
        <v>-0.76045993852193</v>
      </c>
      <c r="D77" s="5" t="n">
        <f aca="false">STDEV(C75:C77)</f>
        <v>1.88296107839955</v>
      </c>
      <c r="E77" s="5" t="n">
        <f aca="false">STDEV(C66:C77)</f>
        <v>1.39147215739686</v>
      </c>
    </row>
    <row r="78" customFormat="false" ht="15" hidden="false" customHeight="false" outlineLevel="0" collapsed="false">
      <c r="A78" s="5" t="s">
        <v>99</v>
      </c>
      <c r="B78" s="5" t="n">
        <v>392</v>
      </c>
      <c r="C78" s="5" t="n">
        <f aca="false">LN(B78/B77)*100</f>
        <v>-0.254777207879866</v>
      </c>
      <c r="D78" s="5" t="n">
        <f aca="false">STDEV(C76:C78)</f>
        <v>1.03573284533392</v>
      </c>
      <c r="E78" s="5" t="n">
        <f aca="false">STDEV(C67:C78)</f>
        <v>1.30463398100694</v>
      </c>
    </row>
    <row r="79" customFormat="false" ht="15" hidden="false" customHeight="false" outlineLevel="0" collapsed="false">
      <c r="A79" s="5" t="s">
        <v>100</v>
      </c>
      <c r="B79" s="5" t="n">
        <v>385</v>
      </c>
      <c r="C79" s="5" t="n">
        <f aca="false">LN(B79/B78)*100</f>
        <v>-1.80185055026784</v>
      </c>
      <c r="D79" s="5" t="n">
        <f aca="false">STDEV(C77:C79)</f>
        <v>0.788843600577201</v>
      </c>
      <c r="E79" s="5" t="n">
        <f aca="false">STDEV(C68:C79)</f>
        <v>1.40088590099586</v>
      </c>
    </row>
    <row r="80" customFormat="false" ht="15" hidden="false" customHeight="false" outlineLevel="0" collapsed="false">
      <c r="A80" s="5" t="s">
        <v>101</v>
      </c>
      <c r="B80" s="5" t="n">
        <v>383</v>
      </c>
      <c r="C80" s="5" t="n">
        <f aca="false">LN(B80/B79)*100</f>
        <v>-0.520834510713824</v>
      </c>
      <c r="D80" s="5" t="n">
        <f aca="false">STDEV(C78:C80)</f>
        <v>0.827166298144194</v>
      </c>
      <c r="E80" s="5" t="n">
        <f aca="false">STDEV(C69:C80)</f>
        <v>1.40100483873036</v>
      </c>
    </row>
    <row r="81" customFormat="false" ht="15" hidden="false" customHeight="false" outlineLevel="0" collapsed="false">
      <c r="A81" s="5" t="s">
        <v>102</v>
      </c>
      <c r="B81" s="5" t="n">
        <v>387</v>
      </c>
      <c r="C81" s="5" t="n">
        <f aca="false">LN(B81/B80)*100</f>
        <v>1.03897038491359</v>
      </c>
      <c r="D81" s="5" t="n">
        <f aca="false">STDEV(C79:C81)</f>
        <v>1.42268859275803</v>
      </c>
      <c r="E81" s="5" t="n">
        <f aca="false">STDEV(C70:C81)</f>
        <v>1.42703829448941</v>
      </c>
    </row>
    <row r="82" customFormat="false" ht="15" hidden="false" customHeight="false" outlineLevel="0" collapsed="false">
      <c r="A82" s="5" t="s">
        <v>103</v>
      </c>
      <c r="B82" s="5" t="n">
        <v>383</v>
      </c>
      <c r="C82" s="5" t="n">
        <f aca="false">LN(B82/B81)*100</f>
        <v>-1.03897038491358</v>
      </c>
      <c r="D82" s="5" t="n">
        <f aca="false">STDEV(C80:C82)</f>
        <v>1.0816109851718</v>
      </c>
      <c r="E82" s="5" t="n">
        <f aca="false">STDEV(C71:C82)</f>
        <v>1.46047174559174</v>
      </c>
    </row>
    <row r="83" customFormat="false" ht="15" hidden="false" customHeight="false" outlineLevel="0" collapsed="false">
      <c r="A83" s="5" t="s">
        <v>104</v>
      </c>
      <c r="B83" s="5" t="n">
        <v>381</v>
      </c>
      <c r="C83" s="5" t="n">
        <f aca="false">LN(B83/B82)*100</f>
        <v>-0.523561405394505</v>
      </c>
      <c r="D83" s="5" t="n">
        <f aca="false">STDEV(C81:C83)</f>
        <v>1.08204974121666</v>
      </c>
      <c r="E83" s="5" t="n">
        <f aca="false">STDEV(C72:C83)</f>
        <v>1.46827135268201</v>
      </c>
    </row>
    <row r="84" customFormat="false" ht="15" hidden="false" customHeight="false" outlineLevel="0" collapsed="false">
      <c r="A84" s="5" t="s">
        <v>105</v>
      </c>
      <c r="B84" s="5" t="n">
        <v>378</v>
      </c>
      <c r="C84" s="5" t="n">
        <f aca="false">LN(B84/B83)*100</f>
        <v>-0.790517950711326</v>
      </c>
      <c r="D84" s="5" t="n">
        <f aca="false">STDEV(C82:C84)</f>
        <v>0.257759844725477</v>
      </c>
      <c r="E84" s="5" t="n">
        <f aca="false">STDEV(C73:C84)</f>
        <v>1.47123775233646</v>
      </c>
    </row>
    <row r="85" customFormat="false" ht="15" hidden="false" customHeight="false" outlineLevel="0" collapsed="false">
      <c r="A85" s="5" t="s">
        <v>106</v>
      </c>
      <c r="B85" s="5" t="n">
        <v>369</v>
      </c>
      <c r="C85" s="5" t="n">
        <f aca="false">LN(B85/B84)*100</f>
        <v>-2.40975515790605</v>
      </c>
      <c r="D85" s="5" t="n">
        <f aca="false">STDEV(C83:C85)</f>
        <v>1.02069598822445</v>
      </c>
      <c r="E85" s="5" t="n">
        <f aca="false">STDEV(C74:C85)</f>
        <v>1.58798378262293</v>
      </c>
    </row>
    <row r="86" customFormat="false" ht="15" hidden="false" customHeight="false" outlineLevel="0" collapsed="false">
      <c r="A86" s="5" t="s">
        <v>107</v>
      </c>
      <c r="B86" s="5" t="n">
        <v>355</v>
      </c>
      <c r="C86" s="5" t="n">
        <f aca="false">LN(B86/B85)*100</f>
        <v>-3.86788545651114</v>
      </c>
      <c r="D86" s="5" t="n">
        <f aca="false">STDEV(C84:C86)</f>
        <v>1.53938645064771</v>
      </c>
      <c r="E86" s="5" t="n">
        <f aca="false">STDEV(C75:C86)</f>
        <v>1.47363409119931</v>
      </c>
    </row>
    <row r="87" customFormat="false" ht="15" hidden="false" customHeight="false" outlineLevel="0" collapsed="false">
      <c r="A87" s="5" t="s">
        <v>108</v>
      </c>
      <c r="B87" s="5" t="n">
        <v>347</v>
      </c>
      <c r="C87" s="5" t="n">
        <f aca="false">LN(B87/B86)*100</f>
        <v>-2.27930095285566</v>
      </c>
      <c r="D87" s="5" t="n">
        <f aca="false">STDEV(C85:C87)</f>
        <v>0.881926205584478</v>
      </c>
      <c r="E87" s="5" t="n">
        <f aca="false">STDEV(C76:C87)</f>
        <v>1.29067089031207</v>
      </c>
    </row>
    <row r="88" customFormat="false" ht="15" hidden="false" customHeight="false" outlineLevel="0" collapsed="false">
      <c r="A88" s="5" t="s">
        <v>109</v>
      </c>
      <c r="B88" s="5" t="n">
        <v>352</v>
      </c>
      <c r="C88" s="5" t="n">
        <f aca="false">LN(B88/B87)*100</f>
        <v>1.43063956512379</v>
      </c>
      <c r="D88" s="5" t="n">
        <f aca="false">STDEV(C86:C88)</f>
        <v>2.71911832453988</v>
      </c>
      <c r="E88" s="5" t="n">
        <f aca="false">STDEV(C77:C88)</f>
        <v>1.46683940223924</v>
      </c>
    </row>
    <row r="89" customFormat="false" ht="15" hidden="false" customHeight="false" outlineLevel="0" collapsed="false">
      <c r="A89" s="5" t="s">
        <v>110</v>
      </c>
      <c r="B89" s="5" t="n">
        <v>344</v>
      </c>
      <c r="C89" s="5" t="n">
        <f aca="false">LN(B89/B88)*100</f>
        <v>-2.29895182246987</v>
      </c>
      <c r="D89" s="5" t="n">
        <f aca="false">STDEV(C87:C89)</f>
        <v>2.14763035002283</v>
      </c>
      <c r="E89" s="5" t="n">
        <f aca="false">STDEV(C78:C89)</f>
        <v>1.5122918329687</v>
      </c>
    </row>
    <row r="90" customFormat="false" ht="15" hidden="false" customHeight="false" outlineLevel="0" collapsed="false">
      <c r="A90" s="5" t="s">
        <v>111</v>
      </c>
      <c r="B90" s="5" t="n">
        <v>344</v>
      </c>
      <c r="C90" s="5" t="n">
        <f aca="false">LN(B90/B89)*100</f>
        <v>0</v>
      </c>
      <c r="D90" s="5" t="n">
        <f aca="false">STDEV(C88:C90)</f>
        <v>1.88156676583408</v>
      </c>
      <c r="E90" s="5" t="n">
        <f aca="false">STDEV(C79:C90)</f>
        <v>1.52710186255082</v>
      </c>
    </row>
    <row r="91" customFormat="false" ht="15" hidden="false" customHeight="false" outlineLevel="0" collapsed="false">
      <c r="A91" s="5" t="s">
        <v>112</v>
      </c>
      <c r="B91" s="5" t="n">
        <v>341</v>
      </c>
      <c r="C91" s="5" t="n">
        <f aca="false">LN(B91/B90)*100</f>
        <v>-0.875918008988158</v>
      </c>
      <c r="D91" s="5" t="n">
        <f aca="false">STDEV(C89:C91)</f>
        <v>1.16027561918276</v>
      </c>
      <c r="E91" s="5" t="n">
        <f aca="false">STDEV(C80:C91)</f>
        <v>1.51108991587704</v>
      </c>
    </row>
    <row r="92" customFormat="false" ht="15" hidden="false" customHeight="false" outlineLevel="0" collapsed="false">
      <c r="A92" s="5" t="s">
        <v>113</v>
      </c>
      <c r="B92" s="5" t="n">
        <v>324</v>
      </c>
      <c r="C92" s="5" t="n">
        <f aca="false">LN(B92/B91)*100</f>
        <v>-5.11389614911874</v>
      </c>
      <c r="D92" s="5" t="n">
        <f aca="false">STDEV(C90:C92)</f>
        <v>2.73494743699234</v>
      </c>
      <c r="E92" s="5" t="n">
        <f aca="false">STDEV(C81:C92)</f>
        <v>1.90572508500807</v>
      </c>
    </row>
    <row r="93" customFormat="false" ht="15" hidden="false" customHeight="false" outlineLevel="0" collapsed="false">
      <c r="A93" s="5" t="s">
        <v>114</v>
      </c>
      <c r="B93" s="5" t="n">
        <v>324</v>
      </c>
      <c r="C93" s="5" t="n">
        <f aca="false">LN(B93/B92)*100</f>
        <v>0</v>
      </c>
      <c r="D93" s="5" t="n">
        <f aca="false">STDEV(C91:C93)</f>
        <v>2.73494743699234</v>
      </c>
      <c r="E93" s="5" t="n">
        <f aca="false">STDEV(C82:C93)</f>
        <v>1.80613617154547</v>
      </c>
    </row>
    <row r="94" customFormat="false" ht="15" hidden="false" customHeight="false" outlineLevel="0" collapsed="false">
      <c r="A94" s="5" t="s">
        <v>115</v>
      </c>
      <c r="B94" s="5" t="n">
        <v>323</v>
      </c>
      <c r="C94" s="5" t="n">
        <f aca="false">LN(B94/B93)*100</f>
        <v>-0.309119256967286</v>
      </c>
      <c r="D94" s="5" t="n">
        <f aca="false">STDEV(C92:C94)</f>
        <v>2.86744280740267</v>
      </c>
      <c r="E94" s="5" t="n">
        <f aca="false">STDEV(C83:C94)</f>
        <v>1.83442977014146</v>
      </c>
    </row>
    <row r="95" customFormat="false" ht="15" hidden="false" customHeight="false" outlineLevel="0" collapsed="false">
      <c r="A95" s="5" t="s">
        <v>116</v>
      </c>
      <c r="B95" s="5" t="n">
        <v>325</v>
      </c>
      <c r="C95" s="5" t="n">
        <f aca="false">LN(B95/B94)*100</f>
        <v>0.617285910708102</v>
      </c>
      <c r="D95" s="5" t="n">
        <f aca="false">STDEV(C93:C95)</f>
        <v>0.471667811297033</v>
      </c>
      <c r="E95" s="5" t="n">
        <f aca="false">STDEV(C84:C95)</f>
        <v>1.91298432926121</v>
      </c>
    </row>
    <row r="96" customFormat="false" ht="15" hidden="false" customHeight="false" outlineLevel="0" collapsed="false">
      <c r="A96" s="5" t="s">
        <v>117</v>
      </c>
      <c r="B96" s="5" t="n">
        <v>306</v>
      </c>
      <c r="C96" s="5" t="n">
        <f aca="false">LN(B96/B95)*100</f>
        <v>-6.02400803773567</v>
      </c>
      <c r="D96" s="5" t="n">
        <f aca="false">STDEV(C94:C96)</f>
        <v>3.59687284597987</v>
      </c>
      <c r="E96" s="5" t="n">
        <f aca="false">STDEV(C85:C96)</f>
        <v>2.33100455227096</v>
      </c>
    </row>
    <row r="97" customFormat="false" ht="15" hidden="false" customHeight="false" outlineLevel="0" collapsed="false">
      <c r="A97" s="5" t="s">
        <v>118</v>
      </c>
      <c r="B97" s="5" t="n">
        <v>289</v>
      </c>
      <c r="C97" s="5" t="n">
        <f aca="false">LN(B97/B96)*100</f>
        <v>-5.71584138399486</v>
      </c>
      <c r="D97" s="5" t="n">
        <f aca="false">STDEV(C95:C97)</f>
        <v>3.74856090891392</v>
      </c>
      <c r="E97" s="5" t="n">
        <f aca="false">STDEV(C86:C97)</f>
        <v>2.59508349858399</v>
      </c>
    </row>
    <row r="98" customFormat="false" ht="15" hidden="false" customHeight="false" outlineLevel="0" collapsed="false">
      <c r="A98" s="5" t="s">
        <v>119</v>
      </c>
      <c r="B98" s="5" t="n">
        <v>289</v>
      </c>
      <c r="C98" s="5" t="n">
        <f aca="false">LN(B98/B97)*100</f>
        <v>0</v>
      </c>
      <c r="D98" s="5" t="n">
        <f aca="false">STDEV(C96:C98)</f>
        <v>3.39250355568888</v>
      </c>
      <c r="E98" s="5" t="n">
        <f aca="false">STDEV(C87:C98)</f>
        <v>2.58711918743281</v>
      </c>
    </row>
    <row r="99" customFormat="false" ht="15" hidden="false" customHeight="false" outlineLevel="0" collapsed="false">
      <c r="A99" s="5" t="s">
        <v>120</v>
      </c>
      <c r="B99" s="5" t="n">
        <v>297</v>
      </c>
      <c r="C99" s="5" t="n">
        <f aca="false">LN(B99/B98)*100</f>
        <v>2.73054506902674</v>
      </c>
      <c r="D99" s="5" t="n">
        <f aca="false">STDEV(C97:C99)</f>
        <v>4.31022356757283</v>
      </c>
      <c r="E99" s="5" t="n">
        <f aca="false">STDEV(C88:C99)</f>
        <v>2.87574241478607</v>
      </c>
    </row>
    <row r="100" customFormat="false" ht="15" hidden="false" customHeight="false" outlineLevel="0" collapsed="false">
      <c r="A100" s="5" t="s">
        <v>121</v>
      </c>
      <c r="B100" s="5" t="n">
        <v>296</v>
      </c>
      <c r="C100" s="5" t="n">
        <f aca="false">LN(B100/B99)*100</f>
        <v>-0.337268447863923</v>
      </c>
      <c r="D100" s="5" t="n">
        <f aca="false">STDEV(C98:C100)</f>
        <v>1.68231517827506</v>
      </c>
      <c r="E100" s="5" t="n">
        <f aca="false">STDEV(C89:C100)</f>
        <v>2.76653447573301</v>
      </c>
    </row>
    <row r="101" customFormat="false" ht="15" hidden="false" customHeight="false" outlineLevel="0" collapsed="false">
      <c r="A101" s="5" t="s">
        <v>122</v>
      </c>
      <c r="B101" s="5" t="n">
        <v>308</v>
      </c>
      <c r="C101" s="5" t="n">
        <f aca="false">LN(B101/B100)*100</f>
        <v>3.97403286495141</v>
      </c>
      <c r="D101" s="5" t="n">
        <f aca="false">STDEV(C99:C101)</f>
        <v>2.21904862057722</v>
      </c>
      <c r="E101" s="5" t="n">
        <f aca="false">STDEV(C90:C101)</f>
        <v>3.15558552825068</v>
      </c>
    </row>
    <row r="102" customFormat="false" ht="15" hidden="false" customHeight="false" outlineLevel="0" collapsed="false">
      <c r="A102" s="5" t="s">
        <v>123</v>
      </c>
      <c r="B102" s="5" t="n">
        <v>299</v>
      </c>
      <c r="C102" s="5" t="n">
        <f aca="false">LN(B102/B101)*100</f>
        <v>-2.96562095828881</v>
      </c>
      <c r="D102" s="5" t="n">
        <f aca="false">STDEV(C100:C102)</f>
        <v>3.50367309917636</v>
      </c>
      <c r="E102" s="5" t="n">
        <f aca="false">STDEV(C91:C102)</f>
        <v>3.19279250801448</v>
      </c>
    </row>
    <row r="103" customFormat="false" ht="15" hidden="false" customHeight="false" outlineLevel="0" collapsed="false">
      <c r="A103" s="5" t="s">
        <v>124</v>
      </c>
      <c r="B103" s="5" t="n">
        <v>292</v>
      </c>
      <c r="C103" s="5" t="n">
        <f aca="false">LN(B103/B102)*100</f>
        <v>-2.36897711224047</v>
      </c>
      <c r="D103" s="5" t="n">
        <f aca="false">STDEV(C101:C103)</f>
        <v>3.84596226875658</v>
      </c>
      <c r="E103" s="5" t="n">
        <f aca="false">STDEV(C92:C103)</f>
        <v>3.20941061768193</v>
      </c>
    </row>
    <row r="104" customFormat="false" ht="15" hidden="false" customHeight="false" outlineLevel="0" collapsed="false">
      <c r="A104" s="5" t="s">
        <v>125</v>
      </c>
      <c r="B104" s="5" t="n">
        <v>293</v>
      </c>
      <c r="C104" s="5" t="n">
        <f aca="false">LN(B104/B103)*100</f>
        <v>0.341880674878546</v>
      </c>
      <c r="D104" s="5" t="n">
        <f aca="false">STDEV(C102:C104)</f>
        <v>1.76277720630524</v>
      </c>
      <c r="E104" s="5" t="n">
        <f aca="false">STDEV(C93:C104)</f>
        <v>2.99838990604889</v>
      </c>
    </row>
    <row r="105" customFormat="false" ht="15" hidden="false" customHeight="false" outlineLevel="0" collapsed="false">
      <c r="A105" s="5" t="s">
        <v>126</v>
      </c>
      <c r="B105" s="5" t="n">
        <v>284</v>
      </c>
      <c r="C105" s="5" t="n">
        <f aca="false">LN(B105/B104)*100</f>
        <v>-3.11983708558613</v>
      </c>
      <c r="D105" s="5" t="n">
        <f aca="false">STDEV(C103:C105)</f>
        <v>1.82099013793197</v>
      </c>
      <c r="E105" s="5" t="n">
        <f aca="false">STDEV(C94:C105)</f>
        <v>3.05385920362766</v>
      </c>
    </row>
    <row r="106" customFormat="false" ht="15" hidden="false" customHeight="false" outlineLevel="0" collapsed="false">
      <c r="A106" s="5" t="s">
        <v>127</v>
      </c>
      <c r="B106" s="5" t="n">
        <v>289</v>
      </c>
      <c r="C106" s="5" t="n">
        <f aca="false">LN(B106/B105)*100</f>
        <v>1.74524499512262</v>
      </c>
      <c r="D106" s="5" t="n">
        <f aca="false">STDEV(C104:C106)</f>
        <v>2.50406153147522</v>
      </c>
      <c r="E106" s="5" t="n">
        <f aca="false">STDEV(C95:C106)</f>
        <v>3.15791850731829</v>
      </c>
    </row>
    <row r="107" customFormat="false" ht="15" hidden="false" customHeight="false" outlineLevel="0" collapsed="false">
      <c r="A107" s="5" t="s">
        <v>128</v>
      </c>
      <c r="B107" s="5" t="n">
        <v>296</v>
      </c>
      <c r="C107" s="5" t="n">
        <f aca="false">LN(B107/B106)*100</f>
        <v>2.39327662116281</v>
      </c>
      <c r="D107" s="5" t="n">
        <f aca="false">STDEV(C105:C107)</f>
        <v>3.01339762239471</v>
      </c>
      <c r="E107" s="5" t="n">
        <f aca="false">STDEV(C96:C107)</f>
        <v>3.27626574715387</v>
      </c>
    </row>
    <row r="108" customFormat="false" ht="15" hidden="false" customHeight="false" outlineLevel="0" collapsed="false">
      <c r="A108" s="5" t="s">
        <v>129</v>
      </c>
      <c r="B108" s="5" t="n">
        <v>294</v>
      </c>
      <c r="C108" s="5" t="n">
        <f aca="false">LN(B108/B107)*100</f>
        <v>-0.67796869853788</v>
      </c>
      <c r="D108" s="5" t="n">
        <f aca="false">STDEV(C106:C108)</f>
        <v>1.61887087230964</v>
      </c>
      <c r="E108" s="5" t="n">
        <f aca="false">STDEV(C97:C108)</f>
        <v>2.83148271499176</v>
      </c>
    </row>
    <row r="109" customFormat="false" ht="15" hidden="false" customHeight="false" outlineLevel="0" collapsed="false">
      <c r="A109" s="5" t="s">
        <v>130</v>
      </c>
      <c r="B109" s="5" t="n">
        <v>292</v>
      </c>
      <c r="C109" s="5" t="n">
        <f aca="false">LN(B109/B108)*100</f>
        <v>-0.682596507039987</v>
      </c>
      <c r="D109" s="5" t="n">
        <f aca="false">STDEV(C107:C109)</f>
        <v>1.77452175393799</v>
      </c>
      <c r="E109" s="5" t="n">
        <f aca="false">STDEV(C98:C109)</f>
        <v>2.28095171275278</v>
      </c>
    </row>
    <row r="110" customFormat="false" ht="15" hidden="false" customHeight="false" outlineLevel="0" collapsed="false">
      <c r="A110" s="5" t="s">
        <v>131</v>
      </c>
      <c r="B110" s="5" t="n">
        <v>287</v>
      </c>
      <c r="C110" s="5" t="n">
        <f aca="false">LN(B110/B109)*100</f>
        <v>-1.72715865086606</v>
      </c>
      <c r="D110" s="5" t="n">
        <f aca="false">STDEV(C108:C110)</f>
        <v>0.604418597357888</v>
      </c>
      <c r="E110" s="5" t="n">
        <f aca="false">STDEV(C99:C110)</f>
        <v>2.34058872170134</v>
      </c>
    </row>
    <row r="111" customFormat="false" ht="15" hidden="false" customHeight="false" outlineLevel="0" collapsed="false">
      <c r="A111" s="5" t="s">
        <v>132</v>
      </c>
      <c r="B111" s="5" t="n">
        <v>287</v>
      </c>
      <c r="C111" s="5" t="n">
        <f aca="false">LN(B111/B110)*100</f>
        <v>0</v>
      </c>
      <c r="D111" s="5" t="n">
        <f aca="false">STDEV(C109:C111)</f>
        <v>0.869877871600297</v>
      </c>
      <c r="E111" s="5" t="n">
        <f aca="false">STDEV(C100:C111)</f>
        <v>2.17148200799612</v>
      </c>
    </row>
    <row r="112" customFormat="false" ht="15" hidden="false" customHeight="false" outlineLevel="0" collapsed="false">
      <c r="A112" s="5" t="s">
        <v>133</v>
      </c>
      <c r="B112" s="5" t="n">
        <v>286</v>
      </c>
      <c r="C112" s="5" t="n">
        <f aca="false">LN(B112/B111)*100</f>
        <v>-0.349040493976849</v>
      </c>
      <c r="D112" s="5" t="n">
        <f aca="false">STDEV(C110:C112)</f>
        <v>0.913246582806344</v>
      </c>
      <c r="E112" s="5" t="n">
        <f aca="false">STDEV(C101:C112)</f>
        <v>2.17151022170002</v>
      </c>
    </row>
    <row r="113" customFormat="false" ht="15" hidden="false" customHeight="false" outlineLevel="0" collapsed="false">
      <c r="A113" s="5" t="s">
        <v>134</v>
      </c>
      <c r="B113" s="5" t="n">
        <v>283</v>
      </c>
      <c r="C113" s="5" t="n">
        <f aca="false">LN(B113/B112)*100</f>
        <v>-1.0544913176615</v>
      </c>
      <c r="D113" s="5" t="n">
        <f aca="false">STDEV(C111:C113)</f>
        <v>0.537190541939643</v>
      </c>
      <c r="E113" s="5" t="n">
        <f aca="false">STDEV(C102:C113)</f>
        <v>1.71096883074176</v>
      </c>
    </row>
    <row r="114" customFormat="false" ht="15" hidden="false" customHeight="false" outlineLevel="0" collapsed="false">
      <c r="A114" s="5" t="s">
        <v>135</v>
      </c>
      <c r="B114" s="5" t="n">
        <v>276</v>
      </c>
      <c r="C114" s="5" t="n">
        <f aca="false">LN(B114/B113)*100</f>
        <v>-2.50460319260876</v>
      </c>
      <c r="D114" s="5" t="n">
        <f aca="false">STDEV(C112:C114)</f>
        <v>1.09900984695571</v>
      </c>
      <c r="E114" s="5" t="n">
        <f aca="false">STDEV(C103:C114)</f>
        <v>1.66002237592219</v>
      </c>
    </row>
    <row r="115" customFormat="false" ht="15" hidden="false" customHeight="false" outlineLevel="0" collapsed="false">
      <c r="A115" s="5" t="s">
        <v>136</v>
      </c>
      <c r="B115" s="5" t="n">
        <v>261</v>
      </c>
      <c r="C115" s="5" t="n">
        <f aca="false">LN(B115/B114)*100</f>
        <v>-5.58804583944566</v>
      </c>
      <c r="D115" s="5" t="n">
        <f aca="false">STDEV(C113:C115)</f>
        <v>2.31529550339279</v>
      </c>
      <c r="E115" s="5" t="n">
        <f aca="false">STDEV(C104:C115)</f>
        <v>2.14833348404154</v>
      </c>
    </row>
    <row r="116" customFormat="false" ht="15" hidden="false" customHeight="false" outlineLevel="0" collapsed="false">
      <c r="A116" s="5" t="s">
        <v>137</v>
      </c>
      <c r="B116" s="5" t="n">
        <v>256</v>
      </c>
      <c r="C116" s="5" t="n">
        <f aca="false">LN(B116/B115)*100</f>
        <v>-1.9342962843131</v>
      </c>
      <c r="D116" s="5" t="n">
        <f aca="false">STDEV(C114:C116)</f>
        <v>1.96565317123909</v>
      </c>
      <c r="E116" s="5" t="n">
        <f aca="false">STDEV(C105:C116)</f>
        <v>2.12568401415982</v>
      </c>
    </row>
    <row r="117" customFormat="false" ht="15" hidden="false" customHeight="false" outlineLevel="0" collapsed="false">
      <c r="A117" s="5" t="s">
        <v>138</v>
      </c>
      <c r="B117" s="5" t="n">
        <v>257</v>
      </c>
      <c r="C117" s="5" t="n">
        <f aca="false">LN(B117/B116)*100</f>
        <v>0.389864041565732</v>
      </c>
      <c r="D117" s="5" t="n">
        <f aca="false">STDEV(C115:C117)</f>
        <v>3.0134977898757</v>
      </c>
      <c r="E117" s="5" t="n">
        <f aca="false">STDEV(C106:C117)</f>
        <v>2.06689298789935</v>
      </c>
    </row>
    <row r="118" customFormat="false" ht="15" hidden="false" customHeight="false" outlineLevel="0" collapsed="false">
      <c r="A118" s="5" t="s">
        <v>139</v>
      </c>
      <c r="B118" s="5" t="n">
        <v>265</v>
      </c>
      <c r="C118" s="5" t="n">
        <f aca="false">LN(B118/B117)*100</f>
        <v>3.06537410910023</v>
      </c>
      <c r="D118" s="5" t="n">
        <f aca="false">STDEV(C116:C118)</f>
        <v>2.50189193027468</v>
      </c>
      <c r="E118" s="5" t="n">
        <f aca="false">STDEV(C107:C118)</f>
        <v>2.24410130077682</v>
      </c>
    </row>
    <row r="119" customFormat="false" ht="15" hidden="false" customHeight="false" outlineLevel="0" collapsed="false">
      <c r="A119" s="5" t="s">
        <v>140</v>
      </c>
      <c r="B119" s="5" t="n">
        <v>311</v>
      </c>
      <c r="C119" s="5" t="n">
        <f aca="false">LN(B119/B118)*100</f>
        <v>16.0063086193012</v>
      </c>
      <c r="D119" s="5" t="n">
        <f aca="false">STDEV(C117:C119)</f>
        <v>8.35164136929853</v>
      </c>
      <c r="E119" s="5" t="n">
        <f aca="false">STDEV(C108:C119)</f>
        <v>5.30948784024711</v>
      </c>
    </row>
    <row r="120" customFormat="false" ht="15" hidden="false" customHeight="false" outlineLevel="0" collapsed="false">
      <c r="A120" s="5" t="s">
        <v>141</v>
      </c>
      <c r="B120" s="5" t="n">
        <v>293</v>
      </c>
      <c r="C120" s="5" t="n">
        <f aca="false">LN(B120/B119)*100</f>
        <v>-5.96203031621668</v>
      </c>
      <c r="D120" s="5" t="n">
        <f aca="false">STDEV(C118:C120)</f>
        <v>11.0421143223066</v>
      </c>
      <c r="E120" s="5" t="n">
        <f aca="false">STDEV(C109:C120)</f>
        <v>5.61823452811077</v>
      </c>
    </row>
    <row r="121" customFormat="false" ht="15" hidden="false" customHeight="false" outlineLevel="0" collapsed="false">
      <c r="A121" s="5" t="s">
        <v>142</v>
      </c>
      <c r="B121" s="5" t="n">
        <v>283</v>
      </c>
      <c r="C121" s="5" t="n">
        <f aca="false">LN(B121/B120)*100</f>
        <v>-3.47257113738296</v>
      </c>
      <c r="D121" s="5" t="n">
        <f aca="false">STDEV(C119:C121)</f>
        <v>12.0293535373839</v>
      </c>
      <c r="E121" s="5" t="n">
        <f aca="false">STDEV(C110:C121)</f>
        <v>5.70482944553999</v>
      </c>
    </row>
    <row r="122" customFormat="false" ht="15" hidden="false" customHeight="false" outlineLevel="0" collapsed="false">
      <c r="A122" s="5" t="s">
        <v>143</v>
      </c>
      <c r="B122" s="5" t="n">
        <v>284</v>
      </c>
      <c r="C122" s="5" t="n">
        <f aca="false">LN(B122/B121)*100</f>
        <v>0.352734051796844</v>
      </c>
      <c r="D122" s="5" t="n">
        <f aca="false">STDEV(C120:C122)</f>
        <v>3.18084411797085</v>
      </c>
      <c r="E122" s="5" t="n">
        <f aca="false">STDEV(C111:C122)</f>
        <v>5.68780167822543</v>
      </c>
    </row>
    <row r="123" customFormat="false" ht="15" hidden="false" customHeight="false" outlineLevel="0" collapsed="false">
      <c r="A123" s="5" t="s">
        <v>144</v>
      </c>
      <c r="B123" s="5" t="n">
        <v>300</v>
      </c>
      <c r="C123" s="5" t="n">
        <f aca="false">LN(B123/B122)*100</f>
        <v>5.4808236494995</v>
      </c>
      <c r="D123" s="5" t="n">
        <f aca="false">STDEV(C121:C123)</f>
        <v>4.49246667437475</v>
      </c>
      <c r="E123" s="5" t="n">
        <f aca="false">STDEV(C112:C123)</f>
        <v>5.91114496160659</v>
      </c>
    </row>
    <row r="124" customFormat="false" ht="15" hidden="false" customHeight="false" outlineLevel="0" collapsed="false">
      <c r="A124" s="5" t="s">
        <v>145</v>
      </c>
      <c r="B124" s="5" t="n">
        <v>286</v>
      </c>
      <c r="C124" s="5" t="n">
        <f aca="false">LN(B124/B123)*100</f>
        <v>-4.77906638363484</v>
      </c>
      <c r="D124" s="5" t="n">
        <f aca="false">STDEV(C122:C124)</f>
        <v>5.12994512841304</v>
      </c>
      <c r="E124" s="5" t="n">
        <f aca="false">STDEV(C113:C124)</f>
        <v>6.09553529612779</v>
      </c>
    </row>
    <row r="125" customFormat="false" ht="15" hidden="false" customHeight="false" outlineLevel="0" collapsed="false">
      <c r="A125" s="5" t="s">
        <v>146</v>
      </c>
      <c r="B125" s="5" t="n">
        <v>280</v>
      </c>
      <c r="C125" s="5" t="n">
        <f aca="false">LN(B125/B124)*100</f>
        <v>-2.12022076506029</v>
      </c>
      <c r="D125" s="5" t="n">
        <f aca="false">STDEV(C123:C125)</f>
        <v>5.32463895031912</v>
      </c>
      <c r="E125" s="5" t="n">
        <f aca="false">STDEV(C114:C125)</f>
        <v>6.12001033787044</v>
      </c>
    </row>
    <row r="126" customFormat="false" ht="15" hidden="false" customHeight="false" outlineLevel="0" collapsed="false">
      <c r="A126" s="5" t="s">
        <v>147</v>
      </c>
      <c r="B126" s="5" t="n">
        <v>275</v>
      </c>
      <c r="C126" s="5" t="n">
        <f aca="false">LN(B126/B125)*100</f>
        <v>-1.80185055026784</v>
      </c>
      <c r="D126" s="5" t="n">
        <f aca="false">STDEV(C124:C126)</f>
        <v>1.63475960187481</v>
      </c>
      <c r="E126" s="5" t="n">
        <f aca="false">STDEV(C115:C126)</f>
        <v>6.09811512659765</v>
      </c>
    </row>
    <row r="127" customFormat="false" ht="15" hidden="false" customHeight="false" outlineLevel="0" collapsed="false">
      <c r="A127" s="5" t="s">
        <v>148</v>
      </c>
      <c r="B127" s="5" t="n">
        <v>286</v>
      </c>
      <c r="C127" s="5" t="n">
        <f aca="false">LN(B127/B126)*100</f>
        <v>3.92207131532813</v>
      </c>
      <c r="D127" s="5" t="n">
        <f aca="false">STDEV(C125:C127)</f>
        <v>3.40034151965748</v>
      </c>
      <c r="E127" s="5" t="n">
        <f aca="false">STDEV(C116:C127)</f>
        <v>5.9256909133057</v>
      </c>
    </row>
    <row r="128" customFormat="false" ht="15" hidden="false" customHeight="false" outlineLevel="0" collapsed="false">
      <c r="A128" s="5" t="s">
        <v>149</v>
      </c>
      <c r="B128" s="5" t="n">
        <v>282</v>
      </c>
      <c r="C128" s="5" t="n">
        <f aca="false">LN(B128/B127)*100</f>
        <v>-1.4084739881739</v>
      </c>
      <c r="D128" s="5" t="n">
        <f aca="false">STDEV(C126:C128)</f>
        <v>3.1972055474466</v>
      </c>
      <c r="E128" s="5" t="n">
        <f aca="false">STDEV(C117:C128)</f>
        <v>5.90584893838047</v>
      </c>
    </row>
    <row r="129" customFormat="false" ht="15" hidden="false" customHeight="false" outlineLevel="0" collapsed="false">
      <c r="A129" s="5" t="s">
        <v>150</v>
      </c>
      <c r="B129" s="5" t="n">
        <v>274</v>
      </c>
      <c r="C129" s="5" t="n">
        <f aca="false">LN(B129/B128)*100</f>
        <v>-2.87789645500434</v>
      </c>
      <c r="D129" s="5" t="n">
        <f aca="false">STDEV(C127:C129)</f>
        <v>3.57802266846448</v>
      </c>
      <c r="E129" s="5" t="n">
        <f aca="false">STDEV(C118:C129)</f>
        <v>6.00134955930038</v>
      </c>
    </row>
    <row r="130" customFormat="false" ht="15" hidden="false" customHeight="false" outlineLevel="0" collapsed="false">
      <c r="A130" s="5" t="s">
        <v>151</v>
      </c>
      <c r="B130" s="5" t="n">
        <v>274</v>
      </c>
      <c r="C130" s="5" t="n">
        <f aca="false">LN(B130/B129)*100</f>
        <v>0</v>
      </c>
      <c r="D130" s="5" t="n">
        <f aca="false">STDEV(C128:C130)</f>
        <v>1.43905578807281</v>
      </c>
      <c r="E130" s="5" t="n">
        <f aca="false">STDEV(C119:C130)</f>
        <v>5.94880423713713</v>
      </c>
    </row>
    <row r="131" customFormat="false" ht="15" hidden="false" customHeight="false" outlineLevel="0" collapsed="false">
      <c r="A131" s="5" t="s">
        <v>152</v>
      </c>
      <c r="B131" s="5" t="n">
        <v>270</v>
      </c>
      <c r="C131" s="5" t="n">
        <f aca="false">LN(B131/B130)*100</f>
        <v>-1.47061473896955</v>
      </c>
      <c r="D131" s="5" t="n">
        <f aca="false">STDEV(C129:C131)</f>
        <v>1.439064368753</v>
      </c>
      <c r="E131" s="5" t="n">
        <f aca="false">STDEV(C120:C131)</f>
        <v>3.29609316127525</v>
      </c>
    </row>
    <row r="132" customFormat="false" ht="15" hidden="false" customHeight="false" outlineLevel="0" collapsed="false">
      <c r="A132" s="5" t="s">
        <v>153</v>
      </c>
      <c r="B132" s="5" t="n">
        <v>266</v>
      </c>
      <c r="C132" s="5" t="n">
        <f aca="false">LN(B132/B131)*100</f>
        <v>-1.49256502166757</v>
      </c>
      <c r="D132" s="5" t="n">
        <f aca="false">STDEV(C130:C132)</f>
        <v>0.855466721473382</v>
      </c>
      <c r="E132" s="5" t="n">
        <f aca="false">STDEV(C121:C132)</f>
        <v>2.9396146274691</v>
      </c>
    </row>
    <row r="133" customFormat="false" ht="15" hidden="false" customHeight="false" outlineLevel="0" collapsed="false">
      <c r="A133" s="5" t="s">
        <v>154</v>
      </c>
      <c r="B133" s="5" t="n">
        <v>271</v>
      </c>
      <c r="C133" s="5" t="n">
        <f aca="false">LN(B133/B132)*100</f>
        <v>1.86225120980019</v>
      </c>
      <c r="D133" s="5" t="n">
        <f aca="false">STDEV(C131:C133)</f>
        <v>1.93059874971034</v>
      </c>
      <c r="E133" s="5" t="n">
        <f aca="false">STDEV(C122:C133)</f>
        <v>2.90278955168666</v>
      </c>
    </row>
    <row r="134" customFormat="false" ht="15" hidden="false" customHeight="false" outlineLevel="0" collapsed="false">
      <c r="A134" s="5" t="s">
        <v>155</v>
      </c>
      <c r="B134" s="5" t="n">
        <v>265</v>
      </c>
      <c r="C134" s="5" t="n">
        <f aca="false">LN(B134/B133)*100</f>
        <v>-2.23889948934787</v>
      </c>
      <c r="D134" s="5" t="n">
        <f aca="false">STDEV(C132:C134)</f>
        <v>2.18446195288793</v>
      </c>
      <c r="E134" s="5" t="n">
        <f aca="false">STDEV(C123:C134)</f>
        <v>2.9410122967004</v>
      </c>
    </row>
    <row r="135" customFormat="false" ht="15" hidden="false" customHeight="false" outlineLevel="0" collapsed="false">
      <c r="A135" s="5" t="s">
        <v>156</v>
      </c>
      <c r="B135" s="5" t="n">
        <v>262</v>
      </c>
      <c r="C135" s="5" t="n">
        <f aca="false">LN(B135/B134)*100</f>
        <v>-1.13853222251254</v>
      </c>
      <c r="D135" s="5" t="n">
        <f aca="false">STDEV(C133:C135)</f>
        <v>2.1226927233543</v>
      </c>
      <c r="E135" s="5" t="n">
        <f aca="false">STDEV(C124:C135)</f>
        <v>2.23833071422396</v>
      </c>
    </row>
    <row r="136" customFormat="false" ht="15" hidden="false" customHeight="false" outlineLevel="0" collapsed="false">
      <c r="A136" s="5" t="s">
        <v>157</v>
      </c>
      <c r="B136" s="5" t="n">
        <v>263</v>
      </c>
      <c r="C136" s="5" t="n">
        <f aca="false">LN(B136/B135)*100</f>
        <v>0.380952841666765</v>
      </c>
      <c r="D136" s="5" t="n">
        <f aca="false">STDEV(C134:C136)</f>
        <v>1.31550175589072</v>
      </c>
      <c r="E136" s="5" t="n">
        <f aca="false">STDEV(C125:C136)</f>
        <v>1.95042909445495</v>
      </c>
    </row>
    <row r="137" customFormat="false" ht="15" hidden="false" customHeight="false" outlineLevel="0" collapsed="false">
      <c r="A137" s="5" t="s">
        <v>158</v>
      </c>
      <c r="B137" s="5" t="n">
        <v>260</v>
      </c>
      <c r="C137" s="5" t="n">
        <f aca="false">LN(B137/B136)*100</f>
        <v>-1.14724011622368</v>
      </c>
      <c r="D137" s="5" t="n">
        <f aca="false">STDEV(C135:C137)</f>
        <v>0.879799636680876</v>
      </c>
      <c r="E137" s="5" t="n">
        <f aca="false">STDEV(C126:C137)</f>
        <v>1.90567061197728</v>
      </c>
    </row>
    <row r="138" customFormat="false" ht="15" hidden="false" customHeight="false" outlineLevel="0" collapsed="false">
      <c r="A138" s="5" t="s">
        <v>159</v>
      </c>
      <c r="B138" s="5" t="n">
        <v>272</v>
      </c>
      <c r="C138" s="5" t="n">
        <f aca="false">LN(B138/B137)*100</f>
        <v>4.51204352804696</v>
      </c>
      <c r="D138" s="5" t="n">
        <f aca="false">STDEV(C136:C138)</f>
        <v>2.92770602297978</v>
      </c>
      <c r="E138" s="5" t="n">
        <f aca="false">STDEV(C127:C138)</f>
        <v>2.36519555078509</v>
      </c>
    </row>
    <row r="139" customFormat="false" ht="15" hidden="false" customHeight="false" outlineLevel="0" collapsed="false">
      <c r="A139" s="5" t="s">
        <v>160</v>
      </c>
      <c r="B139" s="5" t="n">
        <v>270</v>
      </c>
      <c r="C139" s="5" t="n">
        <f aca="false">LN(B139/B138)*100</f>
        <v>-0.738010729762253</v>
      </c>
      <c r="D139" s="5" t="n">
        <f aca="false">STDEV(C137:C139)</f>
        <v>3.15589474283162</v>
      </c>
      <c r="E139" s="5" t="n">
        <f aca="false">STDEV(C128:C139)</f>
        <v>2.00081860985051</v>
      </c>
    </row>
    <row r="140" customFormat="false" ht="15" hidden="false" customHeight="false" outlineLevel="0" collapsed="false">
      <c r="A140" s="5" t="s">
        <v>161</v>
      </c>
      <c r="B140" s="5" t="n">
        <v>268</v>
      </c>
      <c r="C140" s="5" t="n">
        <f aca="false">LN(B140/B139)*100</f>
        <v>-0.743497848751809</v>
      </c>
      <c r="D140" s="5" t="n">
        <f aca="false">STDEV(C138:C140)</f>
        <v>3.03270547481011</v>
      </c>
      <c r="E140" s="5" t="n">
        <f aca="false">STDEV(C129:C140)</f>
        <v>1.98187720482812</v>
      </c>
    </row>
    <row r="141" customFormat="false" ht="15" hidden="false" customHeight="false" outlineLevel="0" collapsed="false">
      <c r="A141" s="5" t="s">
        <v>162</v>
      </c>
      <c r="B141" s="5" t="n">
        <v>272</v>
      </c>
      <c r="C141" s="5" t="n">
        <f aca="false">LN(B141/B140)*100</f>
        <v>1.48150857851407</v>
      </c>
      <c r="D141" s="5" t="n">
        <f aca="false">STDEV(C139:C141)</f>
        <v>1.28302699826495</v>
      </c>
      <c r="E141" s="5" t="n">
        <f aca="false">STDEV(C130:C141)</f>
        <v>1.88859680368423</v>
      </c>
    </row>
    <row r="142" customFormat="false" ht="15" hidden="false" customHeight="false" outlineLevel="0" collapsed="false">
      <c r="A142" s="5" t="s">
        <v>163</v>
      </c>
      <c r="B142" s="5" t="n">
        <v>283</v>
      </c>
      <c r="C142" s="5" t="n">
        <f aca="false">LN(B142/B141)*100</f>
        <v>3.96448313472404</v>
      </c>
      <c r="D142" s="5" t="n">
        <f aca="false">STDEV(C140:C142)</f>
        <v>2.3551681181652</v>
      </c>
      <c r="E142" s="5" t="n">
        <f aca="false">STDEV(C131:C142)</f>
        <v>2.21823453095003</v>
      </c>
    </row>
    <row r="143" customFormat="false" ht="15" hidden="false" customHeight="false" outlineLevel="0" collapsed="false">
      <c r="A143" s="5" t="s">
        <v>164</v>
      </c>
      <c r="B143" s="5" t="n">
        <v>283</v>
      </c>
      <c r="C143" s="5" t="n">
        <f aca="false">LN(B143/B142)*100</f>
        <v>0</v>
      </c>
      <c r="D143" s="5" t="n">
        <f aca="false">STDEV(C141:C143)</f>
        <v>2.00321228865491</v>
      </c>
      <c r="E143" s="5" t="n">
        <f aca="false">STDEV(C132:C143)</f>
        <v>2.1530345162862</v>
      </c>
    </row>
    <row r="144" customFormat="false" ht="15" hidden="false" customHeight="false" outlineLevel="0" collapsed="false">
      <c r="A144" s="5" t="s">
        <v>165</v>
      </c>
      <c r="B144" s="5" t="n">
        <v>276</v>
      </c>
      <c r="C144" s="5" t="n">
        <f aca="false">LN(B144/B143)*100</f>
        <v>-2.50460319260876</v>
      </c>
      <c r="D144" s="5" t="n">
        <f aca="false">STDEV(C142:C144)</f>
        <v>3.26188191050354</v>
      </c>
      <c r="E144" s="5" t="n">
        <f aca="false">STDEV(C133:C144)</f>
        <v>2.25114622985304</v>
      </c>
    </row>
    <row r="145" customFormat="false" ht="15" hidden="false" customHeight="false" outlineLevel="0" collapsed="false">
      <c r="A145" s="5" t="s">
        <v>166</v>
      </c>
      <c r="B145" s="5" t="n">
        <v>276</v>
      </c>
      <c r="C145" s="5" t="n">
        <f aca="false">LN(B145/B144)*100</f>
        <v>0</v>
      </c>
      <c r="D145" s="5" t="n">
        <f aca="false">STDEV(C143:C145)</f>
        <v>1.44603332746586</v>
      </c>
      <c r="E145" s="5" t="n">
        <f aca="false">STDEV(C134:C145)</f>
        <v>2.19778195821132</v>
      </c>
    </row>
    <row r="146" customFormat="false" ht="15" hidden="false" customHeight="false" outlineLevel="0" collapsed="false">
      <c r="A146" s="5" t="s">
        <v>167</v>
      </c>
      <c r="B146" s="5" t="n">
        <v>282</v>
      </c>
      <c r="C146" s="5" t="n">
        <f aca="false">LN(B146/B145)*100</f>
        <v>2.15062052209637</v>
      </c>
      <c r="D146" s="5" t="n">
        <f aca="false">STDEV(C144:C146)</f>
        <v>2.32985384435881</v>
      </c>
      <c r="E146" s="5" t="n">
        <f aca="false">STDEV(C135:C146)</f>
        <v>2.12778270020589</v>
      </c>
    </row>
    <row r="147" customFormat="false" ht="15" hidden="false" customHeight="false" outlineLevel="0" collapsed="false">
      <c r="A147" s="5" t="s">
        <v>168</v>
      </c>
      <c r="B147" s="5" t="n">
        <v>296</v>
      </c>
      <c r="C147" s="5" t="n">
        <f aca="false">LN(B147/B146)*100</f>
        <v>4.84523833859468</v>
      </c>
      <c r="D147" s="5" t="n">
        <f aca="false">STDEV(C145:C147)</f>
        <v>2.42770359135404</v>
      </c>
      <c r="E147" s="5" t="n">
        <f aca="false">STDEV(C136:C147)</f>
        <v>2.38932154131624</v>
      </c>
    </row>
    <row r="148" customFormat="false" ht="15" hidden="false" customHeight="false" outlineLevel="0" collapsed="false">
      <c r="A148" s="5" t="s">
        <v>169</v>
      </c>
      <c r="B148" s="5" t="n">
        <v>294</v>
      </c>
      <c r="C148" s="5" t="n">
        <f aca="false">LN(B148/B147)*100</f>
        <v>-0.67796869853788</v>
      </c>
      <c r="D148" s="5" t="n">
        <f aca="false">STDEV(C146:C148)</f>
        <v>2.76187430715414</v>
      </c>
      <c r="E148" s="5" t="n">
        <f aca="false">STDEV(C137:C148)</f>
        <v>2.43407457895396</v>
      </c>
    </row>
    <row r="149" customFormat="false" ht="15" hidden="false" customHeight="false" outlineLevel="0" collapsed="false">
      <c r="A149" s="5" t="s">
        <v>170</v>
      </c>
      <c r="B149" s="5" t="n">
        <v>303</v>
      </c>
      <c r="C149" s="5" t="n">
        <f aca="false">LN(B149/B148)*100</f>
        <v>3.01530381706875</v>
      </c>
      <c r="D149" s="5" t="n">
        <f aca="false">STDEV(C147:C149)</f>
        <v>2.81350132405153</v>
      </c>
      <c r="E149" s="5" t="n">
        <f aca="false">STDEV(C138:C149)</f>
        <v>2.40782186007623</v>
      </c>
    </row>
    <row r="150" customFormat="false" ht="15" hidden="false" customHeight="false" outlineLevel="0" collapsed="false">
      <c r="A150" s="5" t="s">
        <v>171</v>
      </c>
      <c r="B150" s="5" t="n">
        <v>314</v>
      </c>
      <c r="C150" s="5" t="n">
        <f aca="false">LN(B150/B149)*100</f>
        <v>3.56601803988843</v>
      </c>
      <c r="D150" s="5" t="n">
        <f aca="false">STDEV(C148:C150)</f>
        <v>2.30777567749011</v>
      </c>
      <c r="E150" s="5" t="n">
        <f aca="false">STDEV(C139:C150)</f>
        <v>2.30553102906899</v>
      </c>
    </row>
    <row r="151" customFormat="false" ht="15" hidden="false" customHeight="false" outlineLevel="0" collapsed="false">
      <c r="A151" s="5" t="s">
        <v>172</v>
      </c>
      <c r="B151" s="5" t="n">
        <v>321</v>
      </c>
      <c r="C151" s="5" t="n">
        <f aca="false">LN(B151/B150)*100</f>
        <v>2.20481372217626</v>
      </c>
      <c r="D151" s="5" t="n">
        <f aca="false">STDEV(C149:C151)</f>
        <v>0.684721055575795</v>
      </c>
      <c r="E151" s="5" t="n">
        <f aca="false">STDEV(C140:C151)</f>
        <v>2.2365222833572</v>
      </c>
    </row>
    <row r="152" customFormat="false" ht="15" hidden="false" customHeight="false" outlineLevel="0" collapsed="false">
      <c r="A152" s="5" t="s">
        <v>173</v>
      </c>
      <c r="B152" s="5" t="n">
        <v>313</v>
      </c>
      <c r="C152" s="5" t="n">
        <f aca="false">LN(B152/B151)*100</f>
        <v>-2.52379325898627</v>
      </c>
      <c r="D152" s="5" t="n">
        <f aca="false">STDEV(C150:C152)</f>
        <v>3.19631044676929</v>
      </c>
      <c r="E152" s="5" t="n">
        <f aca="false">STDEV(C141:C152)</f>
        <v>2.44407869381726</v>
      </c>
    </row>
    <row r="153" customFormat="false" ht="15" hidden="false" customHeight="false" outlineLevel="0" collapsed="false">
      <c r="A153" s="5" t="s">
        <v>174</v>
      </c>
      <c r="B153" s="5" t="n">
        <v>310</v>
      </c>
      <c r="C153" s="5" t="n">
        <f aca="false">LN(B153/B152)*100</f>
        <v>-0.96308930609613</v>
      </c>
      <c r="D153" s="5" t="n">
        <f aca="false">STDEV(C151:C153)</f>
        <v>2.40939585814243</v>
      </c>
      <c r="E153" s="5" t="n">
        <f aca="false">STDEV(C142:C153)</f>
        <v>2.52743880477522</v>
      </c>
    </row>
    <row r="154" customFormat="false" ht="15" hidden="false" customHeight="false" outlineLevel="0" collapsed="false">
      <c r="A154" s="5" t="s">
        <v>175</v>
      </c>
      <c r="B154" s="5" t="n">
        <v>319</v>
      </c>
      <c r="C154" s="5" t="n">
        <f aca="false">LN(B154/B153)*100</f>
        <v>2.86188053056527</v>
      </c>
      <c r="D154" s="5" t="n">
        <f aca="false">STDEV(C152:C154)</f>
        <v>2.77103089262819</v>
      </c>
      <c r="E154" s="5" t="n">
        <f aca="false">STDEV(C143:C154)</f>
        <v>2.43165609968888</v>
      </c>
    </row>
    <row r="155" customFormat="false" ht="15" hidden="false" customHeight="false" outlineLevel="0" collapsed="false">
      <c r="A155" s="5" t="s">
        <v>176</v>
      </c>
      <c r="B155" s="5" t="n">
        <v>317</v>
      </c>
      <c r="C155" s="5" t="n">
        <f aca="false">LN(B155/B154)*100</f>
        <v>-0.628932890756399</v>
      </c>
      <c r="D155" s="5" t="n">
        <f aca="false">STDEV(C153:C155)</f>
        <v>2.11848346322559</v>
      </c>
      <c r="E155" s="5" t="n">
        <f aca="false">STDEV(C144:C155)</f>
        <v>2.46171121702324</v>
      </c>
    </row>
    <row r="156" customFormat="false" ht="15" hidden="false" customHeight="false" outlineLevel="0" collapsed="false">
      <c r="A156" s="5" t="s">
        <v>177</v>
      </c>
      <c r="B156" s="5" t="n">
        <v>319</v>
      </c>
      <c r="C156" s="5" t="n">
        <f aca="false">LN(B156/B155)*100</f>
        <v>0.628932890756392</v>
      </c>
      <c r="D156" s="5" t="n">
        <f aca="false">STDEV(C154:C156)</f>
        <v>1.76795832477787</v>
      </c>
      <c r="E156" s="5" t="n">
        <f aca="false">STDEV(C145:C156)</f>
        <v>2.21645211032113</v>
      </c>
    </row>
    <row r="157" customFormat="false" ht="15" hidden="false" customHeight="false" outlineLevel="0" collapsed="false">
      <c r="A157" s="5" t="s">
        <v>178</v>
      </c>
      <c r="B157" s="5" t="n">
        <v>332</v>
      </c>
      <c r="C157" s="5" t="n">
        <f aca="false">LN(B157/B156)*100</f>
        <v>3.99438661316441</v>
      </c>
      <c r="D157" s="5" t="n">
        <f aca="false">STDEV(C155:C157)</f>
        <v>2.39038310448713</v>
      </c>
      <c r="E157" s="5" t="n">
        <f aca="false">STDEV(C146:C157)</f>
        <v>2.31645602815156</v>
      </c>
    </row>
    <row r="158" customFormat="false" ht="15" hidden="false" customHeight="false" outlineLevel="0" collapsed="false">
      <c r="A158" s="5" t="s">
        <v>179</v>
      </c>
      <c r="B158" s="5" t="n">
        <v>357</v>
      </c>
      <c r="C158" s="5" t="n">
        <f aca="false">LN(B158/B157)*100</f>
        <v>7.26008128631506</v>
      </c>
      <c r="D158" s="5" t="n">
        <f aca="false">STDEV(C156:C158)</f>
        <v>3.31569926008162</v>
      </c>
      <c r="E158" s="5" t="n">
        <f aca="false">STDEV(C147:C158)</f>
        <v>2.84768149464219</v>
      </c>
    </row>
    <row r="159" customFormat="false" ht="15" hidden="false" customHeight="false" outlineLevel="0" collapsed="false">
      <c r="A159" s="5" t="s">
        <v>180</v>
      </c>
      <c r="B159" s="5" t="n">
        <v>359</v>
      </c>
      <c r="C159" s="5" t="n">
        <f aca="false">LN(B159/B158)*100</f>
        <v>0.558660670863978</v>
      </c>
      <c r="D159" s="5" t="n">
        <f aca="false">STDEV(C157:C159)</f>
        <v>3.35106979719496</v>
      </c>
      <c r="E159" s="5" t="n">
        <f aca="false">STDEV(C148:C159)</f>
        <v>2.71954254918067</v>
      </c>
    </row>
    <row r="160" customFormat="false" ht="15" hidden="false" customHeight="false" outlineLevel="0" collapsed="false">
      <c r="A160" s="5" t="s">
        <v>181</v>
      </c>
      <c r="B160" s="5" t="n">
        <v>341</v>
      </c>
      <c r="C160" s="5" t="n">
        <f aca="false">LN(B160/B159)*100</f>
        <v>-5.14399112047621</v>
      </c>
      <c r="D160" s="5" t="n">
        <f aca="false">STDEV(C158:C160)</f>
        <v>6.20873427776533</v>
      </c>
      <c r="E160" s="5" t="n">
        <f aca="false">STDEV(C149:C160)</f>
        <v>3.30367378181388</v>
      </c>
    </row>
    <row r="161" customFormat="false" ht="15" hidden="false" customHeight="false" outlineLevel="0" collapsed="false">
      <c r="A161" s="5" t="s">
        <v>182</v>
      </c>
      <c r="B161" s="5" t="n">
        <v>328</v>
      </c>
      <c r="C161" s="5" t="n">
        <f aca="false">LN(B161/B160)*100</f>
        <v>-3.8868868899373</v>
      </c>
      <c r="D161" s="5" t="n">
        <f aca="false">STDEV(C159:C161)</f>
        <v>2.99620431031943</v>
      </c>
      <c r="E161" s="5" t="n">
        <f aca="false">STDEV(C150:C161)</f>
        <v>3.55684876280472</v>
      </c>
    </row>
    <row r="162" customFormat="false" ht="15" hidden="false" customHeight="false" outlineLevel="0" collapsed="false">
      <c r="A162" s="5" t="s">
        <v>183</v>
      </c>
      <c r="B162" s="5" t="n">
        <v>356</v>
      </c>
      <c r="C162" s="5" t="n">
        <f aca="false">LN(B162/B161)*100</f>
        <v>8.19171224678868</v>
      </c>
      <c r="D162" s="5" t="n">
        <f aca="false">STDEV(C160:C162)</f>
        <v>7.36335354364025</v>
      </c>
      <c r="E162" s="5" t="n">
        <f aca="false">STDEV(C151:C162)</f>
        <v>4.10825483990075</v>
      </c>
    </row>
    <row r="163" customFormat="false" ht="15" hidden="false" customHeight="false" outlineLevel="0" collapsed="false">
      <c r="A163" s="5" t="s">
        <v>184</v>
      </c>
      <c r="B163" s="5" t="n">
        <v>356</v>
      </c>
      <c r="C163" s="5" t="n">
        <f aca="false">LN(B163/B162)*100</f>
        <v>0</v>
      </c>
      <c r="D163" s="5" t="n">
        <f aca="false">STDEV(C161:C163)</f>
        <v>6.16582782134824</v>
      </c>
      <c r="E163" s="5" t="n">
        <f aca="false">STDEV(C152:C163)</f>
        <v>4.10102154300769</v>
      </c>
    </row>
    <row r="164" customFormat="false" ht="15" hidden="false" customHeight="false" outlineLevel="0" collapsed="false">
      <c r="A164" s="5" t="s">
        <v>185</v>
      </c>
      <c r="B164" s="5" t="n">
        <v>351</v>
      </c>
      <c r="C164" s="5" t="n">
        <f aca="false">LN(B164/B163)*100</f>
        <v>-1.41445073861646</v>
      </c>
      <c r="D164" s="5" t="n">
        <f aca="false">STDEV(C162:C164)</f>
        <v>5.18625085728808</v>
      </c>
      <c r="E164" s="5" t="n">
        <f aca="false">STDEV(C153:C164)</f>
        <v>4.0296324672193</v>
      </c>
    </row>
    <row r="165" customFormat="false" ht="15" hidden="false" customHeight="false" outlineLevel="0" collapsed="false">
      <c r="A165" s="5" t="s">
        <v>186</v>
      </c>
      <c r="B165" s="5" t="n">
        <v>360</v>
      </c>
      <c r="C165" s="5" t="n">
        <f aca="false">LN(B165/B164)*100</f>
        <v>2.53178079842898</v>
      </c>
      <c r="D165" s="5" t="n">
        <f aca="false">STDEV(C163:C165)</f>
        <v>1.99930522295615</v>
      </c>
      <c r="E165" s="5" t="n">
        <f aca="false">STDEV(C154:C165)</f>
        <v>4.00462950661463</v>
      </c>
    </row>
    <row r="166" customFormat="false" ht="15" hidden="false" customHeight="false" outlineLevel="0" collapsed="false">
      <c r="A166" s="5" t="s">
        <v>187</v>
      </c>
      <c r="B166" s="5" t="n">
        <v>379</v>
      </c>
      <c r="C166" s="5" t="n">
        <f aca="false">LN(B166/B165)*100</f>
        <v>5.14321736322707</v>
      </c>
      <c r="D166" s="5" t="n">
        <f aca="false">STDEV(C164:C166)</f>
        <v>3.30139756289849</v>
      </c>
      <c r="E166" s="5" t="n">
        <f aca="false">STDEV(C155:C166)</f>
        <v>4.14016590935939</v>
      </c>
    </row>
    <row r="167" customFormat="false" ht="15" hidden="false" customHeight="false" outlineLevel="0" collapsed="false">
      <c r="A167" s="5" t="s">
        <v>188</v>
      </c>
      <c r="B167" s="5" t="n">
        <v>379</v>
      </c>
      <c r="C167" s="5" t="n">
        <f aca="false">LN(B167/B166)*100</f>
        <v>0</v>
      </c>
      <c r="D167" s="5" t="n">
        <f aca="false">STDEV(C165:C167)</f>
        <v>2.57171148552407</v>
      </c>
      <c r="E167" s="5" t="n">
        <f aca="false">STDEV(C156:C167)</f>
        <v>4.11555401448756</v>
      </c>
    </row>
    <row r="168" customFormat="false" ht="15" hidden="false" customHeight="false" outlineLevel="0" collapsed="false">
      <c r="A168" s="5" t="s">
        <v>189</v>
      </c>
      <c r="B168" s="5" t="n">
        <v>390</v>
      </c>
      <c r="C168" s="5" t="n">
        <f aca="false">LN(B168/B167)*100</f>
        <v>2.86105340412658</v>
      </c>
      <c r="D168" s="5" t="n">
        <f aca="false">STDEV(C166:C168)</f>
        <v>2.57703265284196</v>
      </c>
      <c r="E168" s="5" t="n">
        <f aca="false">STDEV(C157:C168)</f>
        <v>4.1236011053634</v>
      </c>
    </row>
    <row r="169" customFormat="false" ht="15" hidden="false" customHeight="false" outlineLevel="0" collapsed="false">
      <c r="A169" s="5" t="s">
        <v>190</v>
      </c>
      <c r="B169" s="5" t="n">
        <v>407</v>
      </c>
      <c r="C169" s="5" t="n">
        <f aca="false">LN(B169/B168)*100</f>
        <v>4.26664463189029</v>
      </c>
      <c r="D169" s="5" t="n">
        <f aca="false">STDEV(C167:C169)</f>
        <v>2.17430332503957</v>
      </c>
      <c r="E169" s="5" t="n">
        <f aca="false">STDEV(C158:C169)</f>
        <v>4.13824774890717</v>
      </c>
    </row>
    <row r="170" customFormat="false" ht="15" hidden="false" customHeight="false" outlineLevel="0" collapsed="false">
      <c r="A170" s="5" t="s">
        <v>191</v>
      </c>
      <c r="B170" s="5" t="n">
        <v>414</v>
      </c>
      <c r="C170" s="5" t="n">
        <f aca="false">LN(B170/B169)*100</f>
        <v>1.70527883827195</v>
      </c>
      <c r="D170" s="5" t="n">
        <f aca="false">STDEV(C168:C170)</f>
        <v>1.28271172881003</v>
      </c>
      <c r="E170" s="5" t="n">
        <f aca="false">STDEV(C159:C170)</f>
        <v>3.75209581175943</v>
      </c>
    </row>
    <row r="171" customFormat="false" ht="15" hidden="false" customHeight="false" outlineLevel="0" collapsed="false">
      <c r="A171" s="5" t="s">
        <v>192</v>
      </c>
      <c r="B171" s="5" t="n">
        <v>405</v>
      </c>
      <c r="C171" s="5" t="n">
        <f aca="false">LN(B171/B170)*100</f>
        <v>-2.19789067187752</v>
      </c>
      <c r="D171" s="5" t="n">
        <f aca="false">STDEV(C169:C171)</f>
        <v>3.25539407873914</v>
      </c>
      <c r="E171" s="5" t="n">
        <f aca="false">STDEV(C160:C171)</f>
        <v>3.87944858431182</v>
      </c>
    </row>
    <row r="172" customFormat="false" ht="15" hidden="false" customHeight="false" outlineLevel="0" collapsed="false">
      <c r="A172" s="5" t="s">
        <v>193</v>
      </c>
      <c r="B172" s="5" t="n">
        <v>407</v>
      </c>
      <c r="C172" s="5" t="n">
        <f aca="false">LN(B172/B171)*100</f>
        <v>0.492611833605578</v>
      </c>
      <c r="D172" s="5" t="n">
        <f aca="false">STDEV(C170:C172)</f>
        <v>1.99766935957788</v>
      </c>
      <c r="E172" s="5" t="n">
        <f aca="false">STDEV(C161:C172)</f>
        <v>3.37584325905066</v>
      </c>
    </row>
    <row r="173" customFormat="false" ht="15" hidden="false" customHeight="false" outlineLevel="0" collapsed="false">
      <c r="A173" s="5" t="s">
        <v>194</v>
      </c>
      <c r="B173" s="5" t="n">
        <v>403</v>
      </c>
      <c r="C173" s="5" t="n">
        <f aca="false">LN(B173/B172)*100</f>
        <v>-0.987662349591198</v>
      </c>
      <c r="D173" s="5" t="n">
        <f aca="false">STDEV(C171:C173)</f>
        <v>1.34750806933352</v>
      </c>
      <c r="E173" s="5" t="n">
        <f aca="false">STDEV(C162:C173)</f>
        <v>3.04477584286469</v>
      </c>
    </row>
    <row r="174" customFormat="false" ht="15" hidden="false" customHeight="false" outlineLevel="0" collapsed="false">
      <c r="A174" s="5" t="s">
        <v>195</v>
      </c>
      <c r="B174" s="5" t="n">
        <v>384</v>
      </c>
      <c r="C174" s="5" t="n">
        <f aca="false">LN(B174/B173)*100</f>
        <v>-4.82940093589561</v>
      </c>
      <c r="D174" s="5" t="n">
        <f aca="false">STDEV(C172:C174)</f>
        <v>2.74693729274602</v>
      </c>
      <c r="E174" s="5" t="n">
        <f aca="false">STDEV(C163:C174)</f>
        <v>2.84055386473083</v>
      </c>
    </row>
    <row r="175" customFormat="false" ht="15" hidden="false" customHeight="false" outlineLevel="0" collapsed="false">
      <c r="A175" s="5" t="s">
        <v>196</v>
      </c>
      <c r="B175" s="5" t="n">
        <v>392</v>
      </c>
      <c r="C175" s="5" t="n">
        <f aca="false">LN(B175/B174)*100</f>
        <v>2.06192872027356</v>
      </c>
      <c r="D175" s="5" t="n">
        <f aca="false">STDEV(C173:C175)</f>
        <v>3.45324450068087</v>
      </c>
      <c r="E175" s="5" t="n">
        <f aca="false">STDEV(C164:C175)</f>
        <v>2.86120747012341</v>
      </c>
    </row>
    <row r="176" customFormat="false" ht="15" hidden="false" customHeight="false" outlineLevel="0" collapsed="false">
      <c r="A176" s="5" t="s">
        <v>197</v>
      </c>
      <c r="B176" s="5" t="n">
        <v>398</v>
      </c>
      <c r="C176" s="5" t="n">
        <f aca="false">LN(B176/B175)*100</f>
        <v>1.51901654939752</v>
      </c>
      <c r="D176" s="5" t="n">
        <f aca="false">STDEV(C174:C176)</f>
        <v>3.83161372928904</v>
      </c>
      <c r="E176" s="5" t="n">
        <f aca="false">STDEV(C165:C176)</f>
        <v>2.77867679378846</v>
      </c>
    </row>
    <row r="177" customFormat="false" ht="15" hidden="false" customHeight="false" outlineLevel="0" collapsed="false">
      <c r="A177" s="5" t="s">
        <v>198</v>
      </c>
      <c r="B177" s="5" t="n">
        <v>401</v>
      </c>
      <c r="C177" s="5" t="n">
        <f aca="false">LN(B177/B176)*100</f>
        <v>0.750942202213157</v>
      </c>
      <c r="D177" s="5" t="n">
        <f aca="false">STDEV(C175:C177)</f>
        <v>0.65870801303564</v>
      </c>
      <c r="E177" s="5" t="n">
        <f aca="false">STDEV(C166:C177)</f>
        <v>2.73945998682304</v>
      </c>
    </row>
    <row r="178" customFormat="false" ht="15" hidden="false" customHeight="false" outlineLevel="0" collapsed="false">
      <c r="A178" s="5" t="s">
        <v>199</v>
      </c>
      <c r="B178" s="5" t="n">
        <v>405</v>
      </c>
      <c r="C178" s="5" t="n">
        <f aca="false">LN(B178/B177)*100</f>
        <v>0.992563979997</v>
      </c>
      <c r="D178" s="5" t="n">
        <f aca="false">STDEV(C176:C178)</f>
        <v>0.392740710505572</v>
      </c>
      <c r="E178" s="5" t="n">
        <f aca="false">STDEV(C167:C178)</f>
        <v>2.39524529800483</v>
      </c>
    </row>
    <row r="179" customFormat="false" ht="15" hidden="false" customHeight="false" outlineLevel="0" collapsed="false">
      <c r="A179" s="5" t="s">
        <v>200</v>
      </c>
      <c r="B179" s="5" t="n">
        <v>420</v>
      </c>
      <c r="C179" s="5" t="n">
        <f aca="false">LN(B179/B178)*100</f>
        <v>3.63676441708748</v>
      </c>
      <c r="D179" s="5" t="n">
        <f aca="false">STDEV(C177:C179)</f>
        <v>1.60094487157174</v>
      </c>
      <c r="E179" s="5" t="n">
        <f aca="false">STDEV(C168:C179)</f>
        <v>2.54435876876601</v>
      </c>
    </row>
    <row r="180" customFormat="false" ht="15" hidden="false" customHeight="false" outlineLevel="0" collapsed="false">
      <c r="A180" s="5" t="s">
        <v>201</v>
      </c>
      <c r="B180" s="5" t="n">
        <v>439</v>
      </c>
      <c r="C180" s="5" t="n">
        <f aca="false">LN(B180/B179)*100</f>
        <v>4.42447017977574</v>
      </c>
      <c r="D180" s="5" t="n">
        <f aca="false">STDEV(C178:C180)</f>
        <v>1.79769558435986</v>
      </c>
      <c r="E180" s="5" t="n">
        <f aca="false">STDEV(C169:C180)</f>
        <v>2.69210068105282</v>
      </c>
    </row>
    <row r="181" customFormat="false" ht="15" hidden="false" customHeight="false" outlineLevel="0" collapsed="false">
      <c r="A181" s="5" t="s">
        <v>202</v>
      </c>
      <c r="B181" s="5" t="n">
        <v>442</v>
      </c>
      <c r="C181" s="5" t="n">
        <f aca="false">LN(B181/B180)*100</f>
        <v>0.681046900252688</v>
      </c>
      <c r="D181" s="5" t="n">
        <f aca="false">STDEV(C179:C181)</f>
        <v>1.97357392639054</v>
      </c>
      <c r="E181" s="5" t="n">
        <f aca="false">STDEV(C170:C181)</f>
        <v>2.48600465713286</v>
      </c>
    </row>
    <row r="182" customFormat="false" ht="15" hidden="false" customHeight="false" outlineLevel="0" collapsed="false">
      <c r="A182" s="5" t="s">
        <v>203</v>
      </c>
      <c r="B182" s="5" t="n">
        <v>424</v>
      </c>
      <c r="C182" s="5" t="n">
        <f aca="false">LN(B182/B181)*100</f>
        <v>-4.15764268457403</v>
      </c>
      <c r="D182" s="5" t="n">
        <f aca="false">STDEV(C180:C182)</f>
        <v>4.30268900348808</v>
      </c>
      <c r="E182" s="5" t="n">
        <f aca="false">STDEV(C171:C182)</f>
        <v>2.82130102789995</v>
      </c>
    </row>
    <row r="183" customFormat="false" ht="15" hidden="false" customHeight="false" outlineLevel="0" collapsed="false">
      <c r="A183" s="5" t="s">
        <v>204</v>
      </c>
      <c r="B183" s="5" t="n">
        <v>423</v>
      </c>
      <c r="C183" s="5" t="n">
        <f aca="false">LN(B183/B182)*100</f>
        <v>-0.236127618567982</v>
      </c>
      <c r="D183" s="5" t="n">
        <f aca="false">STDEV(C181:C183)</f>
        <v>2.57009748223671</v>
      </c>
      <c r="E183" s="5" t="n">
        <f aca="false">STDEV(C172:C183)</f>
        <v>2.72498682777941</v>
      </c>
    </row>
    <row r="184" customFormat="false" ht="15" hidden="false" customHeight="false" outlineLevel="0" collapsed="false">
      <c r="A184" s="5" t="s">
        <v>205</v>
      </c>
      <c r="B184" s="5" t="n">
        <v>434</v>
      </c>
      <c r="C184" s="5" t="n">
        <f aca="false">LN(B184/B183)*100</f>
        <v>2.56723550541268</v>
      </c>
      <c r="D184" s="5" t="n">
        <f aca="false">STDEV(C182:C184)</f>
        <v>3.37789658140403</v>
      </c>
      <c r="E184" s="5" t="n">
        <f aca="false">STDEV(C173:C184)</f>
        <v>2.79881237352131</v>
      </c>
    </row>
    <row r="185" customFormat="false" ht="15" hidden="false" customHeight="false" outlineLevel="0" collapsed="false">
      <c r="A185" s="5" t="s">
        <v>206</v>
      </c>
      <c r="B185" s="5" t="n">
        <v>429</v>
      </c>
      <c r="C185" s="5" t="n">
        <f aca="false">LN(B185/B184)*100</f>
        <v>-1.15876151723879</v>
      </c>
      <c r="D185" s="5" t="n">
        <f aca="false">STDEV(C183:C185)</f>
        <v>1.94049615342223</v>
      </c>
      <c r="E185" s="5" t="n">
        <f aca="false">STDEV(C174:C185)</f>
        <v>2.80769777881424</v>
      </c>
    </row>
    <row r="186" customFormat="false" ht="15" hidden="false" customHeight="false" outlineLevel="0" collapsed="false">
      <c r="A186" s="5" t="s">
        <v>207</v>
      </c>
      <c r="B186" s="5" t="n">
        <v>422</v>
      </c>
      <c r="C186" s="5" t="n">
        <f aca="false">LN(B186/B185)*100</f>
        <v>-1.64516048920052</v>
      </c>
      <c r="D186" s="5" t="n">
        <f aca="false">STDEV(C184:C186)</f>
        <v>2.30448540127604</v>
      </c>
      <c r="E186" s="5" t="n">
        <f aca="false">STDEV(C175:C186)</f>
        <v>2.37286417261438</v>
      </c>
    </row>
    <row r="187" customFormat="false" ht="15" hidden="false" customHeight="false" outlineLevel="0" collapsed="false">
      <c r="A187" s="5" t="s">
        <v>208</v>
      </c>
      <c r="B187" s="5" t="n">
        <v>431</v>
      </c>
      <c r="C187" s="5" t="n">
        <f aca="false">LN(B187/B186)*100</f>
        <v>2.1102776067736</v>
      </c>
      <c r="D187" s="5" t="n">
        <f aca="false">STDEV(C185:C187)</f>
        <v>2.04232367851519</v>
      </c>
      <c r="E187" s="5" t="n">
        <f aca="false">STDEV(C176:C187)</f>
        <v>2.37526679879405</v>
      </c>
    </row>
    <row r="188" customFormat="false" ht="15" hidden="false" customHeight="false" outlineLevel="0" collapsed="false">
      <c r="A188" s="5" t="s">
        <v>209</v>
      </c>
      <c r="B188" s="5" t="n">
        <v>424</v>
      </c>
      <c r="C188" s="5" t="n">
        <f aca="false">LN(B188/B187)*100</f>
        <v>-1.63746348717901</v>
      </c>
      <c r="D188" s="5" t="n">
        <f aca="false">STDEV(C186:C188)</f>
        <v>2.16598468153382</v>
      </c>
      <c r="E188" s="5" t="n">
        <f aca="false">STDEV(C177:C188)</f>
        <v>2.46048928043232</v>
      </c>
    </row>
    <row r="189" customFormat="false" ht="15" hidden="false" customHeight="false" outlineLevel="0" collapsed="false">
      <c r="A189" s="5" t="s">
        <v>210</v>
      </c>
      <c r="B189" s="5" t="n">
        <v>438</v>
      </c>
      <c r="C189" s="5" t="n">
        <f aca="false">LN(B189/B188)*100</f>
        <v>3.24854551444883</v>
      </c>
      <c r="D189" s="5" t="n">
        <f aca="false">STDEV(C187:C189)</f>
        <v>2.55650481129128</v>
      </c>
      <c r="E189" s="5" t="n">
        <f aca="false">STDEV(C178:C189)</f>
        <v>2.58367570703034</v>
      </c>
    </row>
    <row r="190" customFormat="false" ht="15" hidden="false" customHeight="false" outlineLevel="0" collapsed="false">
      <c r="A190" s="5" t="s">
        <v>211</v>
      </c>
      <c r="B190" s="5" t="n">
        <v>456</v>
      </c>
      <c r="C190" s="5" t="n">
        <f aca="false">LN(B190/B189)*100</f>
        <v>4.02738991379399</v>
      </c>
      <c r="D190" s="5" t="n">
        <f aca="false">STDEV(C188:C190)</f>
        <v>3.07056581693817</v>
      </c>
      <c r="E190" s="5" t="n">
        <f aca="false">STDEV(C179:C190)</f>
        <v>2.75404252186846</v>
      </c>
    </row>
    <row r="191" customFormat="false" ht="15" hidden="false" customHeight="false" outlineLevel="0" collapsed="false">
      <c r="A191" s="5" t="s">
        <v>212</v>
      </c>
      <c r="B191" s="5" t="n">
        <v>470</v>
      </c>
      <c r="C191" s="5" t="n">
        <f aca="false">LN(B191/B190)*100</f>
        <v>3.02398851897182</v>
      </c>
      <c r="D191" s="5" t="n">
        <f aca="false">STDEV(C189:C191)</f>
        <v>0.52659896216825</v>
      </c>
      <c r="E191" s="5" t="n">
        <f aca="false">STDEV(C180:C191)</f>
        <v>2.70573002448373</v>
      </c>
    </row>
    <row r="192" customFormat="false" ht="15" hidden="false" customHeight="false" outlineLevel="0" collapsed="false">
      <c r="A192" s="5" t="s">
        <v>213</v>
      </c>
      <c r="B192" s="5" t="n">
        <v>477</v>
      </c>
      <c r="C192" s="5" t="n">
        <f aca="false">LN(B192/B191)*100</f>
        <v>1.47837961842369</v>
      </c>
      <c r="D192" s="5" t="n">
        <f aca="false">STDEV(C190:C192)</f>
        <v>1.28408039198541</v>
      </c>
      <c r="E192" s="5" t="n">
        <f aca="false">STDEV(C181:C192)</f>
        <v>2.48522810061614</v>
      </c>
    </row>
    <row r="193" customFormat="false" ht="15" hidden="false" customHeight="false" outlineLevel="0" collapsed="false">
      <c r="A193" s="5" t="s">
        <v>214</v>
      </c>
      <c r="B193" s="5" t="n">
        <v>510</v>
      </c>
      <c r="C193" s="5" t="n">
        <f aca="false">LN(B193/B192)*100</f>
        <v>6.68942348300302</v>
      </c>
      <c r="D193" s="5" t="n">
        <f aca="false">STDEV(C191:C193)</f>
        <v>2.67641858047796</v>
      </c>
      <c r="E193" s="5" t="n">
        <f aca="false">STDEV(C182:C193)</f>
        <v>3.02869349699183</v>
      </c>
    </row>
    <row r="194" customFormat="false" ht="15" hidden="false" customHeight="false" outlineLevel="0" collapsed="false">
      <c r="A194" s="5" t="s">
        <v>215</v>
      </c>
      <c r="B194" s="5" t="n">
        <v>550</v>
      </c>
      <c r="C194" s="5" t="n">
        <f aca="false">LN(B194/B193)*100</f>
        <v>7.55075525081451</v>
      </c>
      <c r="D194" s="5" t="n">
        <f aca="false">STDEV(C192:C194)</f>
        <v>3.28559016498977</v>
      </c>
      <c r="E194" s="5" t="n">
        <f aca="false">STDEV(C183:C194)</f>
        <v>3.03438122935986</v>
      </c>
    </row>
    <row r="195" customFormat="false" ht="15" hidden="false" customHeight="false" outlineLevel="0" collapsed="false">
      <c r="A195" s="5" t="s">
        <v>216</v>
      </c>
      <c r="B195" s="5" t="n">
        <v>555</v>
      </c>
      <c r="C195" s="5" t="n">
        <f aca="false">LN(B195/B194)*100</f>
        <v>0.904983551991786</v>
      </c>
      <c r="D195" s="5" t="n">
        <f aca="false">STDEV(C193:C195)</f>
        <v>3.61404480701314</v>
      </c>
      <c r="E195" s="5" t="n">
        <f aca="false">STDEV(C184:C195)</f>
        <v>2.96936726525549</v>
      </c>
    </row>
    <row r="196" customFormat="false" ht="15" hidden="false" customHeight="false" outlineLevel="0" collapsed="false">
      <c r="A196" s="5" t="s">
        <v>217</v>
      </c>
      <c r="B196" s="5" t="n">
        <v>557</v>
      </c>
      <c r="C196" s="5" t="n">
        <f aca="false">LN(B196/B195)*100</f>
        <v>0.359712618084948</v>
      </c>
      <c r="D196" s="5" t="n">
        <f aca="false">STDEV(C194:C196)</f>
        <v>4.00363784596732</v>
      </c>
      <c r="E196" s="5" t="n">
        <f aca="false">STDEV(C185:C196)</f>
        <v>3.01682751489336</v>
      </c>
    </row>
    <row r="197" customFormat="false" ht="15" hidden="false" customHeight="false" outlineLevel="0" collapsed="false">
      <c r="A197" s="5" t="s">
        <v>218</v>
      </c>
      <c r="B197" s="5" t="n">
        <v>611</v>
      </c>
      <c r="C197" s="5" t="n">
        <f aca="false">LN(B197/B196)*100</f>
        <v>9.25317192443113</v>
      </c>
      <c r="D197" s="5" t="n">
        <f aca="false">STDEV(C195:C197)</f>
        <v>4.98469637869635</v>
      </c>
      <c r="E197" s="5" t="n">
        <f aca="false">STDEV(C186:C197)</f>
        <v>3.46486626206678</v>
      </c>
    </row>
    <row r="198" customFormat="false" ht="15" hidden="false" customHeight="false" outlineLevel="0" collapsed="false">
      <c r="A198" s="5" t="s">
        <v>219</v>
      </c>
      <c r="B198" s="5" t="n">
        <v>675</v>
      </c>
      <c r="C198" s="5" t="n">
        <f aca="false">LN(B198/B197)*100</f>
        <v>9.96157317009345</v>
      </c>
      <c r="D198" s="5" t="n">
        <f aca="false">STDEV(C196:C198)</f>
        <v>5.35087495678212</v>
      </c>
      <c r="E198" s="5" t="n">
        <f aca="false">STDEV(C187:C198)</f>
        <v>3.67977538654144</v>
      </c>
    </row>
    <row r="199" customFormat="false" ht="15" hidden="false" customHeight="false" outlineLevel="0" collapsed="false">
      <c r="A199" s="5" t="s">
        <v>220</v>
      </c>
      <c r="B199" s="5" t="n">
        <v>596</v>
      </c>
      <c r="C199" s="5" t="n">
        <f aca="false">LN(B199/B198)*100</f>
        <v>-12.447202380718</v>
      </c>
      <c r="D199" s="5" t="n">
        <f aca="false">STDEV(C197:C199)</f>
        <v>12.7381402292163</v>
      </c>
      <c r="E199" s="5" t="n">
        <f aca="false">STDEV(C188:C199)</f>
        <v>5.99795698841764</v>
      </c>
    </row>
    <row r="200" customFormat="false" ht="15" hidden="false" customHeight="false" outlineLevel="0" collapsed="false">
      <c r="A200" s="5" t="s">
        <v>221</v>
      </c>
      <c r="B200" s="5" t="n">
        <v>634</v>
      </c>
      <c r="C200" s="5" t="n">
        <f aca="false">LN(B200/B199)*100</f>
        <v>6.18082873718762</v>
      </c>
      <c r="D200" s="5" t="n">
        <f aca="false">STDEV(C198:C200)</f>
        <v>11.996185459576</v>
      </c>
      <c r="E200" s="5" t="n">
        <f aca="false">STDEV(C189:C200)</f>
        <v>5.90779042205169</v>
      </c>
    </row>
    <row r="201" customFormat="false" ht="15" hidden="false" customHeight="false" outlineLevel="0" collapsed="false">
      <c r="A201" s="5" t="s">
        <v>222</v>
      </c>
      <c r="B201" s="5" t="n">
        <v>633</v>
      </c>
      <c r="C201" s="5" t="n">
        <f aca="false">LN(B201/B200)*100</f>
        <v>-0.157853229304973</v>
      </c>
      <c r="D201" s="5" t="n">
        <f aca="false">STDEV(C199:C201)</f>
        <v>9.47110108846322</v>
      </c>
      <c r="E201" s="5" t="n">
        <f aca="false">STDEV(C190:C201)</f>
        <v>5.99444860517</v>
      </c>
    </row>
    <row r="202" customFormat="false" ht="15" hidden="false" customHeight="false" outlineLevel="0" collapsed="false">
      <c r="A202" s="5" t="s">
        <v>223</v>
      </c>
      <c r="B202" s="5" t="n">
        <v>598</v>
      </c>
      <c r="C202" s="5" t="n">
        <f aca="false">LN(B202/B201)*100</f>
        <v>-5.68796681935444</v>
      </c>
      <c r="D202" s="5" t="n">
        <f aca="false">STDEV(C200:C202)</f>
        <v>5.93898635226278</v>
      </c>
      <c r="E202" s="5" t="n">
        <f aca="false">STDEV(C191:C202)</f>
        <v>6.48889414121848</v>
      </c>
    </row>
    <row r="203" customFormat="false" ht="15" hidden="false" customHeight="false" outlineLevel="0" collapsed="false">
      <c r="A203" s="5" t="s">
        <v>224</v>
      </c>
      <c r="B203" s="5" t="n">
        <v>586</v>
      </c>
      <c r="C203" s="5" t="n">
        <f aca="false">LN(B203/B202)*100</f>
        <v>-2.02709643736191</v>
      </c>
      <c r="D203" s="5" t="n">
        <f aca="false">STDEV(C201:C203)</f>
        <v>2.81301138886979</v>
      </c>
      <c r="E203" s="5" t="n">
        <f aca="false">STDEV(C192:C203)</f>
        <v>6.59768570455098</v>
      </c>
    </row>
    <row r="204" customFormat="false" ht="15" hidden="false" customHeight="false" outlineLevel="0" collapsed="false">
      <c r="A204" s="5" t="s">
        <v>225</v>
      </c>
      <c r="B204" s="5" t="n">
        <v>628</v>
      </c>
      <c r="C204" s="5" t="n">
        <f aca="false">LN(B204/B203)*100</f>
        <v>6.9220376891186</v>
      </c>
      <c r="D204" s="5" t="n">
        <f aca="false">STDEV(C202:C204)</f>
        <v>6.48718207019554</v>
      </c>
      <c r="E204" s="5" t="n">
        <f aca="false">STDEV(C193:C204)</f>
        <v>6.75594166957021</v>
      </c>
    </row>
    <row r="205" customFormat="false" ht="15" hidden="false" customHeight="false" outlineLevel="0" collapsed="false">
      <c r="A205" s="5" t="s">
        <v>226</v>
      </c>
      <c r="B205" s="5" t="n">
        <v>630</v>
      </c>
      <c r="C205" s="5" t="n">
        <f aca="false">LN(B205/B204)*100</f>
        <v>0.317965291737981</v>
      </c>
      <c r="D205" s="5" t="n">
        <f aca="false">STDEV(C203:C205)</f>
        <v>4.64040386814323</v>
      </c>
      <c r="E205" s="5" t="n">
        <f aca="false">STDEV(C194:C205)</f>
        <v>6.62807400984596</v>
      </c>
    </row>
    <row r="206" customFormat="false" ht="15" hidden="false" customHeight="false" outlineLevel="0" collapsed="false">
      <c r="A206" s="5" t="s">
        <v>227</v>
      </c>
      <c r="B206" s="5" t="n">
        <v>631</v>
      </c>
      <c r="C206" s="5" t="n">
        <f aca="false">LN(B206/B205)*100</f>
        <v>0.158604315563478</v>
      </c>
      <c r="D206" s="5" t="n">
        <f aca="false">STDEV(C204:C206)</f>
        <v>3.85968908827924</v>
      </c>
      <c r="E206" s="5" t="n">
        <f aca="false">STDEV(C195:C206)</f>
        <v>6.37991464963822</v>
      </c>
    </row>
    <row r="207" customFormat="false" ht="15" hidden="false" customHeight="false" outlineLevel="0" collapsed="false">
      <c r="A207" s="5" t="s">
        <v>228</v>
      </c>
      <c r="B207" s="5" t="n">
        <v>665</v>
      </c>
      <c r="C207" s="5" t="n">
        <f aca="false">LN(B207/B206)*100</f>
        <v>5.2481178114641</v>
      </c>
      <c r="D207" s="5" t="n">
        <f aca="false">STDEV(C205:C207)</f>
        <v>2.89352574475741</v>
      </c>
      <c r="E207" s="5" t="n">
        <f aca="false">STDEV(C196:C207)</f>
        <v>6.48735403151915</v>
      </c>
    </row>
    <row r="208" customFormat="false" ht="15" hidden="false" customHeight="false" outlineLevel="0" collapsed="false">
      <c r="A208" s="5" t="s">
        <v>229</v>
      </c>
      <c r="B208" s="5" t="n">
        <v>655</v>
      </c>
      <c r="C208" s="5" t="n">
        <f aca="false">LN(B208/B207)*100</f>
        <v>-1.51518050206022</v>
      </c>
      <c r="D208" s="5" t="n">
        <f aca="false">STDEV(C206:C208)</f>
        <v>3.52247326269444</v>
      </c>
      <c r="E208" s="5" t="n">
        <f aca="false">STDEV(C197:C208)</f>
        <v>6.53985750773139</v>
      </c>
    </row>
    <row r="209" customFormat="false" ht="15" hidden="false" customHeight="false" outlineLevel="0" collapsed="false">
      <c r="A209" s="5" t="s">
        <v>230</v>
      </c>
      <c r="B209" s="5" t="n">
        <v>679</v>
      </c>
      <c r="C209" s="5" t="n">
        <f aca="false">LN(B209/B208)*100</f>
        <v>3.59858919234443</v>
      </c>
      <c r="D209" s="5" t="n">
        <f aca="false">STDEV(C207:C209)</f>
        <v>3.52641908150528</v>
      </c>
      <c r="E209" s="5" t="n">
        <f aca="false">STDEV(C198:C209)</f>
        <v>6.10815547551528</v>
      </c>
    </row>
    <row r="210" customFormat="false" ht="15" hidden="false" customHeight="false" outlineLevel="0" collapsed="false">
      <c r="A210" s="5" t="s">
        <v>231</v>
      </c>
      <c r="B210" s="5" t="n">
        <v>667</v>
      </c>
      <c r="C210" s="5" t="n">
        <f aca="false">LN(B210/B209)*100</f>
        <v>-1.78310816430725</v>
      </c>
      <c r="D210" s="5" t="n">
        <f aca="false">STDEV(C208:C210)</f>
        <v>3.03274056913875</v>
      </c>
      <c r="E210" s="5" t="n">
        <f aca="false">STDEV(C199:C210)</f>
        <v>5.42312164120823</v>
      </c>
    </row>
    <row r="211" customFormat="false" ht="15" hidden="false" customHeight="false" outlineLevel="0" collapsed="false">
      <c r="A211" s="5" t="s">
        <v>232</v>
      </c>
      <c r="B211" s="5" t="n">
        <v>656</v>
      </c>
      <c r="C211" s="5" t="n">
        <f aca="false">LN(B211/B210)*100</f>
        <v>-1.66292569715347</v>
      </c>
      <c r="D211" s="5" t="n">
        <f aca="false">STDEV(C209:C211)</f>
        <v>3.07301830986006</v>
      </c>
      <c r="E211" s="5" t="n">
        <f aca="false">STDEV(C200:C211)</f>
        <v>3.85883213049092</v>
      </c>
    </row>
    <row r="212" customFormat="false" ht="15" hidden="false" customHeight="false" outlineLevel="0" collapsed="false">
      <c r="A212" s="5" t="s">
        <v>233</v>
      </c>
      <c r="B212" s="5" t="n">
        <v>665</v>
      </c>
      <c r="C212" s="5" t="n">
        <f aca="false">LN(B212/B211)*100</f>
        <v>1.36262517117651</v>
      </c>
      <c r="D212" s="5" t="n">
        <f aca="false">STDEV(C210:C212)</f>
        <v>1.78250947170168</v>
      </c>
      <c r="E212" s="5" t="n">
        <f aca="false">STDEV(C201:C212)</f>
        <v>3.48005569126796</v>
      </c>
    </row>
    <row r="213" customFormat="false" ht="15" hidden="false" customHeight="false" outlineLevel="0" collapsed="false">
      <c r="A213" s="5" t="s">
        <v>234</v>
      </c>
      <c r="B213" s="5" t="n">
        <v>665</v>
      </c>
      <c r="C213" s="5" t="n">
        <f aca="false">LN(B213/B212)*100</f>
        <v>0</v>
      </c>
      <c r="D213" s="5" t="n">
        <f aca="false">STDEV(C211:C213)</f>
        <v>1.51525725473869</v>
      </c>
      <c r="E213" s="5" t="n">
        <f aca="false">STDEV(C202:C213)</f>
        <v>3.47806210577074</v>
      </c>
    </row>
    <row r="214" customFormat="false" ht="15" hidden="false" customHeight="false" outlineLevel="0" collapsed="false">
      <c r="A214" s="5" t="s">
        <v>235</v>
      </c>
      <c r="B214" s="5" t="n">
        <v>713</v>
      </c>
      <c r="C214" s="5" t="n">
        <f aca="false">LN(B214/B213)*100</f>
        <v>6.96943797584417</v>
      </c>
      <c r="D214" s="5" t="n">
        <f aca="false">STDEV(C212:C214)</f>
        <v>3.69382734849298</v>
      </c>
      <c r="E214" s="5" t="n">
        <f aca="false">STDEV(C203:C214)</f>
        <v>3.37816083926849</v>
      </c>
    </row>
    <row r="215" customFormat="false" ht="15" hidden="false" customHeight="false" outlineLevel="0" collapsed="false">
      <c r="A215" s="5" t="s">
        <v>236</v>
      </c>
      <c r="B215" s="5" t="n">
        <v>755</v>
      </c>
      <c r="C215" s="5" t="n">
        <f aca="false">LN(B215/B214)*100</f>
        <v>5.72363288347288</v>
      </c>
      <c r="D215" s="5" t="n">
        <f aca="false">STDEV(C213:C215)</f>
        <v>3.71674296062402</v>
      </c>
      <c r="E215" s="5" t="n">
        <f aca="false">STDEV(C204:C215)</f>
        <v>3.39056218347284</v>
      </c>
    </row>
    <row r="216" customFormat="false" ht="15" hidden="false" customHeight="false" outlineLevel="0" collapsed="false">
      <c r="A216" s="5" t="s">
        <v>237</v>
      </c>
      <c r="B216" s="5" t="n">
        <v>806</v>
      </c>
      <c r="C216" s="5" t="n">
        <f aca="false">LN(B216/B215)*100</f>
        <v>6.53659932576035</v>
      </c>
      <c r="D216" s="5" t="n">
        <f aca="false">STDEV(C214:C216)</f>
        <v>0.632494276847647</v>
      </c>
      <c r="E216" s="5" t="n">
        <f aca="false">STDEV(C205:C216)</f>
        <v>3.34233175886036</v>
      </c>
    </row>
    <row r="217" customFormat="false" ht="15" hidden="false" customHeight="false" outlineLevel="0" collapsed="false">
      <c r="A217" s="5" t="s">
        <v>238</v>
      </c>
      <c r="B217" s="5" t="n">
        <v>803</v>
      </c>
      <c r="C217" s="5" t="n">
        <f aca="false">LN(B217/B216)*100</f>
        <v>-0.37290285598666</v>
      </c>
      <c r="D217" s="5" t="n">
        <f aca="false">STDEV(C215:C217)</f>
        <v>3.77645960431989</v>
      </c>
      <c r="E217" s="5" t="n">
        <f aca="false">STDEV(C206:C217)</f>
        <v>3.38115820615014</v>
      </c>
    </row>
    <row r="218" customFormat="false" ht="15" hidden="false" customHeight="false" outlineLevel="0" collapsed="false">
      <c r="A218" s="5" t="s">
        <v>239</v>
      </c>
      <c r="B218" s="5" t="n">
        <v>890</v>
      </c>
      <c r="C218" s="5" t="n">
        <f aca="false">LN(B218/B217)*100</f>
        <v>10.2866748779424</v>
      </c>
      <c r="D218" s="5" t="n">
        <f aca="false">STDEV(C216:C218)</f>
        <v>5.40726185347563</v>
      </c>
      <c r="E218" s="5" t="n">
        <f aca="false">STDEV(C207:C218)</f>
        <v>4.06805579005346</v>
      </c>
    </row>
    <row r="219" customFormat="false" ht="15" hidden="false" customHeight="false" outlineLevel="0" collapsed="false">
      <c r="A219" s="5" t="s">
        <v>240</v>
      </c>
      <c r="B219" s="5" t="n">
        <v>922</v>
      </c>
      <c r="C219" s="5" t="n">
        <f aca="false">LN(B219/B218)*100</f>
        <v>3.53237608304083</v>
      </c>
      <c r="D219" s="5" t="n">
        <f aca="false">STDEV(C217:C219)</f>
        <v>5.39287111639209</v>
      </c>
      <c r="E219" s="5" t="n">
        <f aca="false">STDEV(C208:C219)</f>
        <v>4.00640383841985</v>
      </c>
    </row>
    <row r="220" customFormat="false" ht="15" hidden="false" customHeight="false" outlineLevel="0" collapsed="false">
      <c r="A220" s="5" t="s">
        <v>241</v>
      </c>
      <c r="B220" s="5" t="n">
        <v>968</v>
      </c>
      <c r="C220" s="5" t="n">
        <f aca="false">LN(B220/B219)*100</f>
        <v>4.86868637199832</v>
      </c>
      <c r="D220" s="5" t="n">
        <f aca="false">STDEV(C218:C220)</f>
        <v>3.57679737683784</v>
      </c>
      <c r="E220" s="5" t="n">
        <f aca="false">STDEV(C209:C220)</f>
        <v>3.81158320601759</v>
      </c>
    </row>
    <row r="221" customFormat="false" ht="15" hidden="false" customHeight="false" outlineLevel="0" collapsed="false">
      <c r="A221" s="5" t="s">
        <v>242</v>
      </c>
      <c r="B221" s="5" t="n">
        <v>910</v>
      </c>
      <c r="C221" s="5" t="n">
        <f aca="false">LN(B221/B220)*100</f>
        <v>-6.17874877656813</v>
      </c>
      <c r="D221" s="5" t="n">
        <f aca="false">STDEV(C219:C221)</f>
        <v>6.02961434075002</v>
      </c>
      <c r="E221" s="5" t="n">
        <f aca="false">STDEV(C210:C221)</f>
        <v>4.67799995942333</v>
      </c>
    </row>
    <row r="222" customFormat="false" ht="15" hidden="false" customHeight="false" outlineLevel="0" collapsed="false">
      <c r="A222" s="5" t="s">
        <v>243</v>
      </c>
      <c r="B222" s="5" t="n">
        <v>889</v>
      </c>
      <c r="C222" s="5" t="n">
        <f aca="false">LN(B222/B221)*100</f>
        <v>-2.33473639969912</v>
      </c>
      <c r="D222" s="5" t="n">
        <f aca="false">STDEV(C220:C222)</f>
        <v>5.60820164495882</v>
      </c>
      <c r="E222" s="5" t="n">
        <f aca="false">STDEV(C211:C222)</f>
        <v>4.72574037422649</v>
      </c>
    </row>
    <row r="223" customFormat="false" ht="15" hidden="false" customHeight="false" outlineLevel="0" collapsed="false">
      <c r="A223" s="5" t="s">
        <v>244</v>
      </c>
      <c r="B223" s="5" t="n">
        <v>889</v>
      </c>
      <c r="C223" s="5" t="n">
        <f aca="false">LN(B223/B222)*100</f>
        <v>0</v>
      </c>
      <c r="D223" s="5" t="n">
        <f aca="false">STDEV(C221:C223)</f>
        <v>3.11994555651068</v>
      </c>
      <c r="E223" s="5" t="n">
        <f aca="false">STDEV(C212:C223)</f>
        <v>4.61913250176452</v>
      </c>
    </row>
    <row r="224" customFormat="false" ht="15" hidden="false" customHeight="false" outlineLevel="0" collapsed="false">
      <c r="A224" s="5" t="s">
        <v>245</v>
      </c>
      <c r="B224" s="5" t="n">
        <v>940</v>
      </c>
      <c r="C224" s="5" t="n">
        <f aca="false">LN(B224/B223)*100</f>
        <v>5.57826397501451</v>
      </c>
      <c r="D224" s="5" t="n">
        <f aca="false">STDEV(C222:C224)</f>
        <v>4.06578401543996</v>
      </c>
      <c r="E224" s="5" t="n">
        <f aca="false">STDEV(C213:C224)</f>
        <v>4.68192635694621</v>
      </c>
    </row>
    <row r="225" customFormat="false" ht="15" hidden="false" customHeight="false" outlineLevel="0" collapsed="false">
      <c r="A225" s="5" t="s">
        <v>246</v>
      </c>
      <c r="B225" s="5" t="n">
        <v>839</v>
      </c>
      <c r="C225" s="5" t="n">
        <f aca="false">LN(B225/B224)*100</f>
        <v>-11.3669168796843</v>
      </c>
      <c r="D225" s="5" t="n">
        <f aca="false">STDEV(C223:C225)</f>
        <v>8.63580707020725</v>
      </c>
      <c r="E225" s="5" t="n">
        <f aca="false">STDEV(C214:C225)</f>
        <v>6.21677461434947</v>
      </c>
    </row>
    <row r="226" customFormat="false" ht="15" hidden="false" customHeight="false" outlineLevel="0" collapsed="false">
      <c r="A226" s="5" t="s">
        <v>247</v>
      </c>
      <c r="B226" s="5" t="n">
        <v>830</v>
      </c>
      <c r="C226" s="5" t="n">
        <f aca="false">LN(B226/B225)*100</f>
        <v>-1.07850056765626</v>
      </c>
      <c r="D226" s="5" t="n">
        <f aca="false">STDEV(C224:C226)</f>
        <v>8.53720464188578</v>
      </c>
      <c r="E226" s="5" t="n">
        <f aca="false">STDEV(C215:C226)</f>
        <v>6.0565466496421</v>
      </c>
    </row>
    <row r="227" customFormat="false" ht="15" hidden="false" customHeight="false" outlineLevel="0" collapsed="false">
      <c r="A227" s="5" t="s">
        <v>248</v>
      </c>
      <c r="B227" s="5" t="n">
        <v>807</v>
      </c>
      <c r="C227" s="5" t="n">
        <f aca="false">LN(B227/B226)*100</f>
        <v>-2.81020325206948</v>
      </c>
      <c r="D227" s="5" t="n">
        <f aca="false">STDEV(C225:C227)</f>
        <v>5.50859408109757</v>
      </c>
      <c r="E227" s="5" t="n">
        <f aca="false">STDEV(C216:C227)</f>
        <v>5.98618760669034</v>
      </c>
    </row>
    <row r="228" customFormat="false" ht="15" hidden="false" customHeight="false" outlineLevel="0" collapsed="false">
      <c r="A228" s="5" t="s">
        <v>249</v>
      </c>
      <c r="B228" s="5" t="n">
        <v>761</v>
      </c>
      <c r="C228" s="5" t="n">
        <f aca="false">LN(B228/B227)*100</f>
        <v>-5.8690310408263</v>
      </c>
      <c r="D228" s="5" t="n">
        <f aca="false">STDEV(C226:C228)</f>
        <v>2.42570965021392</v>
      </c>
      <c r="E228" s="5" t="n">
        <f aca="false">STDEV(C217:C228)</f>
        <v>5.93022886850014</v>
      </c>
    </row>
    <row r="229" customFormat="false" ht="15" hidden="false" customHeight="false" outlineLevel="0" collapsed="false">
      <c r="A229" s="5" t="s">
        <v>250</v>
      </c>
      <c r="B229" s="5" t="n">
        <v>816</v>
      </c>
      <c r="C229" s="5" t="n">
        <f aca="false">LN(B229/B228)*100</f>
        <v>6.97809971024212</v>
      </c>
      <c r="D229" s="5" t="n">
        <f aca="false">STDEV(C227:C229)</f>
        <v>6.71088755752318</v>
      </c>
      <c r="E229" s="5" t="n">
        <f aca="false">STDEV(C218:C229)</f>
        <v>6.30969028660751</v>
      </c>
    </row>
    <row r="230" customFormat="false" ht="15" hidden="false" customHeight="false" outlineLevel="0" collapsed="false">
      <c r="A230" s="5" t="s">
        <v>251</v>
      </c>
      <c r="B230" s="5" t="n">
        <v>859</v>
      </c>
      <c r="C230" s="5" t="n">
        <f aca="false">LN(B230/B229)*100</f>
        <v>5.13545670201484</v>
      </c>
      <c r="D230" s="5" t="n">
        <f aca="false">STDEV(C228:C230)</f>
        <v>6.94673607138822</v>
      </c>
      <c r="E230" s="5" t="n">
        <f aca="false">STDEV(C219:C230)</f>
        <v>5.70214366912077</v>
      </c>
    </row>
    <row r="231" customFormat="false" ht="15" hidden="false" customHeight="false" outlineLevel="0" collapsed="false">
      <c r="A231" s="5" t="s">
        <v>252</v>
      </c>
      <c r="B231" s="5" t="n">
        <v>943</v>
      </c>
      <c r="C231" s="5" t="n">
        <f aca="false">LN(B231/B230)*100</f>
        <v>9.32973606492022</v>
      </c>
      <c r="D231" s="5" t="n">
        <f aca="false">STDEV(C229:C231)</f>
        <v>2.10228075252041</v>
      </c>
      <c r="E231" s="5" t="n">
        <f aca="false">STDEV(C220:C231)</f>
        <v>6.27295709609932</v>
      </c>
    </row>
    <row r="232" customFormat="false" ht="15" hidden="false" customHeight="false" outlineLevel="0" collapsed="false">
      <c r="A232" s="5" t="s">
        <v>253</v>
      </c>
      <c r="B232" s="5" t="n">
        <v>924</v>
      </c>
      <c r="C232" s="5" t="n">
        <f aca="false">LN(B232/B231)*100</f>
        <v>-2.03542109917733</v>
      </c>
      <c r="D232" s="5" t="n">
        <f aca="false">STDEV(C230:C232)</f>
        <v>5.74717706325408</v>
      </c>
      <c r="E232" s="5" t="n">
        <f aca="false">STDEV(C221:C232)</f>
        <v>6.11932831003549</v>
      </c>
    </row>
    <row r="233" customFormat="false" ht="15" hidden="false" customHeight="false" outlineLevel="0" collapsed="false">
      <c r="A233" s="5" t="s">
        <v>254</v>
      </c>
      <c r="B233" s="5" t="n">
        <v>890</v>
      </c>
      <c r="C233" s="5" t="n">
        <f aca="false">LN(B233/B232)*100</f>
        <v>-3.74906089154987</v>
      </c>
      <c r="D233" s="5" t="n">
        <f aca="false">STDEV(C231:C233)</f>
        <v>7.10819114978408</v>
      </c>
      <c r="E233" s="5" t="n">
        <f aca="false">STDEV(C222:C233)</f>
        <v>5.94809640892903</v>
      </c>
    </row>
    <row r="234" customFormat="false" ht="15" hidden="false" customHeight="false" outlineLevel="0" collapsed="false">
      <c r="A234" s="5" t="s">
        <v>255</v>
      </c>
      <c r="B234" s="5" t="n">
        <v>929</v>
      </c>
      <c r="C234" s="5" t="n">
        <f aca="false">LN(B234/B233)*100</f>
        <v>4.2887276087653</v>
      </c>
      <c r="D234" s="5" t="n">
        <f aca="false">STDEV(C232:C234)</f>
        <v>4.23354583837972</v>
      </c>
      <c r="E234" s="5" t="n">
        <f aca="false">STDEV(C223:C234)</f>
        <v>6.03714208216977</v>
      </c>
    </row>
    <row r="235" customFormat="false" ht="15" hidden="false" customHeight="false" outlineLevel="0" collapsed="false">
      <c r="A235" s="5" t="s">
        <v>256</v>
      </c>
      <c r="B235" s="5" t="n">
        <v>946</v>
      </c>
      <c r="C235" s="5" t="n">
        <f aca="false">LN(B235/B234)*100</f>
        <v>1.81338302380399</v>
      </c>
      <c r="D235" s="5" t="n">
        <f aca="false">STDEV(C233:C235)</f>
        <v>4.11651464837171</v>
      </c>
      <c r="E235" s="5" t="n">
        <f aca="false">STDEV(C224:C235)</f>
        <v>6.04980913297363</v>
      </c>
    </row>
    <row r="236" customFormat="false" ht="15" hidden="false" customHeight="false" outlineLevel="0" collapsed="false">
      <c r="A236" s="5" t="s">
        <v>257</v>
      </c>
      <c r="B236" s="5" t="n">
        <v>934</v>
      </c>
      <c r="C236" s="5" t="n">
        <f aca="false">LN(B236/B235)*100</f>
        <v>-1.27661308230357</v>
      </c>
      <c r="D236" s="5" t="n">
        <f aca="false">STDEV(C234:C236)</f>
        <v>2.78832159066238</v>
      </c>
      <c r="E236" s="5" t="n">
        <f aca="false">STDEV(C225:C236)</f>
        <v>5.84884609222109</v>
      </c>
    </row>
    <row r="237" customFormat="false" ht="15" hidden="false" customHeight="false" outlineLevel="0" collapsed="false">
      <c r="A237" s="5" t="s">
        <v>258</v>
      </c>
      <c r="B237" s="5" t="n">
        <v>949</v>
      </c>
      <c r="C237" s="5" t="n">
        <f aca="false">LN(B237/B236)*100</f>
        <v>1.59323603810851</v>
      </c>
      <c r="D237" s="5" t="n">
        <f aca="false">STDEV(C235:C237)</f>
        <v>1.72397673055645</v>
      </c>
      <c r="E237" s="5" t="n">
        <f aca="false">STDEV(C226:C237)</f>
        <v>4.64187106528546</v>
      </c>
    </row>
    <row r="238" customFormat="false" ht="15" hidden="false" customHeight="false" outlineLevel="0" collapsed="false">
      <c r="A238" s="5" t="s">
        <v>259</v>
      </c>
      <c r="B238" s="5" t="n">
        <v>997</v>
      </c>
      <c r="C238" s="5" t="n">
        <f aca="false">LN(B238/B237)*100</f>
        <v>4.93419713519105</v>
      </c>
      <c r="D238" s="5" t="n">
        <f aca="false">STDEV(C236:C238)</f>
        <v>3.10838164173054</v>
      </c>
      <c r="E238" s="5" t="n">
        <f aca="false">STDEV(C227:C238)</f>
        <v>4.71786914711912</v>
      </c>
    </row>
    <row r="239" customFormat="false" ht="15" hidden="false" customHeight="false" outlineLevel="0" collapsed="false">
      <c r="A239" s="5" t="s">
        <v>260</v>
      </c>
      <c r="B239" s="5" t="n">
        <v>1043</v>
      </c>
      <c r="C239" s="5" t="n">
        <f aca="false">LN(B239/B238)*100</f>
        <v>4.51056850389341</v>
      </c>
      <c r="D239" s="5" t="n">
        <f aca="false">STDEV(C237:C239)</f>
        <v>1.81898831705047</v>
      </c>
      <c r="E239" s="5" t="n">
        <f aca="false">STDEV(C228:C239)</f>
        <v>4.57716674995054</v>
      </c>
    </row>
    <row r="240" customFormat="false" ht="15" hidden="false" customHeight="false" outlineLevel="0" collapsed="false">
      <c r="A240" s="5" t="s">
        <v>261</v>
      </c>
      <c r="B240" s="5" t="n">
        <v>1127</v>
      </c>
      <c r="C240" s="5" t="n">
        <f aca="false">LN(B240/B239)*100</f>
        <v>7.7458059039004</v>
      </c>
      <c r="D240" s="5" t="n">
        <f aca="false">STDEV(C238:C240)</f>
        <v>1.75837833054315</v>
      </c>
      <c r="E240" s="5" t="n">
        <f aca="false">STDEV(C229:C240)</f>
        <v>4.07151015066739</v>
      </c>
    </row>
    <row r="241" customFormat="false" ht="15" hidden="false" customHeight="false" outlineLevel="0" collapsed="false">
      <c r="A241" s="5" t="s">
        <v>262</v>
      </c>
      <c r="B241" s="5" t="n">
        <v>1135</v>
      </c>
      <c r="C241" s="5" t="n">
        <f aca="false">LN(B241/B240)*100</f>
        <v>0.70734158757267</v>
      </c>
      <c r="D241" s="5" t="n">
        <f aca="false">STDEV(C239:C241)</f>
        <v>3.52304971919806</v>
      </c>
      <c r="E241" s="5" t="n">
        <f aca="false">STDEV(C230:C241)</f>
        <v>3.95335157856987</v>
      </c>
    </row>
    <row r="242" customFormat="false" ht="15" hidden="false" customHeight="false" outlineLevel="0" collapsed="false">
      <c r="A242" s="5" t="s">
        <v>263</v>
      </c>
      <c r="B242" s="5" t="n">
        <v>1118</v>
      </c>
      <c r="C242" s="5" t="n">
        <f aca="false">LN(B242/B241)*100</f>
        <v>-1.50912762004585</v>
      </c>
      <c r="D242" s="5" t="n">
        <f aca="false">STDEV(C240:C242)</f>
        <v>4.83229604179359</v>
      </c>
      <c r="E242" s="5" t="n">
        <f aca="false">STDEV(C231:C242)</f>
        <v>4.05290586387883</v>
      </c>
    </row>
    <row r="243" customFormat="false" ht="15" hidden="false" customHeight="false" outlineLevel="0" collapsed="false">
      <c r="A243" s="5" t="s">
        <v>264</v>
      </c>
      <c r="B243" s="5" t="n">
        <v>1095</v>
      </c>
      <c r="C243" s="5" t="n">
        <f aca="false">LN(B243/B242)*100</f>
        <v>-2.07870114644432</v>
      </c>
      <c r="D243" s="5" t="n">
        <f aca="false">STDEV(C241:C243)</f>
        <v>1.47191393917715</v>
      </c>
      <c r="E243" s="5" t="n">
        <f aca="false">STDEV(C232:C243)</f>
        <v>3.53199426651766</v>
      </c>
    </row>
    <row r="244" customFormat="false" ht="15" hidden="false" customHeight="false" outlineLevel="0" collapsed="false">
      <c r="A244" s="5" t="s">
        <v>265</v>
      </c>
      <c r="B244" s="5" t="n">
        <v>1113</v>
      </c>
      <c r="C244" s="5" t="n">
        <f aca="false">LN(B244/B243)*100</f>
        <v>1.63047090249436</v>
      </c>
      <c r="D244" s="5" t="n">
        <f aca="false">STDEV(C242:C244)</f>
        <v>1.99747549727728</v>
      </c>
      <c r="E244" s="5" t="n">
        <f aca="false">STDEV(C233:C244)</f>
        <v>3.37759593775375</v>
      </c>
    </row>
    <row r="245" customFormat="false" ht="15" hidden="false" customHeight="false" outlineLevel="0" collapsed="false">
      <c r="A245" s="5" t="s">
        <v>266</v>
      </c>
      <c r="B245" s="5" t="n">
        <v>1149</v>
      </c>
      <c r="C245" s="5" t="n">
        <f aca="false">LN(B245/B244)*100</f>
        <v>3.18329265732108</v>
      </c>
      <c r="D245" s="5" t="n">
        <f aca="false">STDEV(C243:C245)</f>
        <v>2.70363309523058</v>
      </c>
      <c r="E245" s="5" t="n">
        <f aca="false">STDEV(C234:C245)</f>
        <v>2.95512936123377</v>
      </c>
    </row>
    <row r="246" customFormat="false" ht="15" hidden="false" customHeight="false" outlineLevel="0" collapsed="false">
      <c r="A246" s="5" t="s">
        <v>267</v>
      </c>
      <c r="B246" s="5" t="n">
        <v>1205</v>
      </c>
      <c r="C246" s="5" t="n">
        <f aca="false">LN(B246/B245)*100</f>
        <v>4.75875680759996</v>
      </c>
      <c r="D246" s="5" t="n">
        <f aca="false">STDEV(C244:C246)</f>
        <v>1.56415660954818</v>
      </c>
      <c r="E246" s="5" t="n">
        <f aca="false">STDEV(C235:C246)</f>
        <v>2.98928231482331</v>
      </c>
    </row>
    <row r="247" customFormat="false" ht="15" hidden="false" customHeight="false" outlineLevel="0" collapsed="false">
      <c r="A247" s="5" t="s">
        <v>268</v>
      </c>
      <c r="B247" s="5" t="n">
        <v>1233</v>
      </c>
      <c r="C247" s="5" t="n">
        <f aca="false">LN(B247/B246)*100</f>
        <v>2.29706572395888</v>
      </c>
      <c r="D247" s="5" t="n">
        <f aca="false">STDEV(C245:C247)</f>
        <v>1.24682319366116</v>
      </c>
      <c r="E247" s="5" t="n">
        <f aca="false">STDEV(C236:C247)</f>
        <v>2.98733049839976</v>
      </c>
    </row>
    <row r="248" customFormat="false" ht="15" hidden="false" customHeight="false" outlineLevel="0" collapsed="false">
      <c r="A248" s="5" t="s">
        <v>269</v>
      </c>
      <c r="B248" s="5" t="n">
        <v>1193</v>
      </c>
      <c r="C248" s="5" t="n">
        <f aca="false">LN(B248/B247)*100</f>
        <v>-3.29790810664282</v>
      </c>
      <c r="D248" s="5" t="n">
        <f aca="false">STDEV(C246:C248)</f>
        <v>4.12862981098222</v>
      </c>
      <c r="E248" s="5" t="n">
        <f aca="false">STDEV(C237:C248)</f>
        <v>3.24734442134568</v>
      </c>
    </row>
    <row r="249" customFormat="false" ht="15" hidden="false" customHeight="false" outlineLevel="0" collapsed="false">
      <c r="A249" s="5" t="s">
        <v>270</v>
      </c>
      <c r="B249" s="5" t="n">
        <v>1216</v>
      </c>
      <c r="C249" s="5" t="n">
        <f aca="false">LN(B249/B248)*100</f>
        <v>1.90956404281962</v>
      </c>
      <c r="D249" s="5" t="n">
        <f aca="false">STDEV(C247:C249)</f>
        <v>3.12441076859383</v>
      </c>
      <c r="E249" s="5" t="n">
        <f aca="false">STDEV(C238:C249)</f>
        <v>3.24467457781455</v>
      </c>
    </row>
    <row r="250" customFormat="false" ht="15" hidden="false" customHeight="false" outlineLevel="0" collapsed="false">
      <c r="A250" s="5" t="s">
        <v>271</v>
      </c>
      <c r="B250" s="5" t="n">
        <v>1271</v>
      </c>
      <c r="C250" s="5" t="n">
        <f aca="false">LN(B250/B249)*100</f>
        <v>4.42372086633417</v>
      </c>
      <c r="D250" s="5" t="n">
        <f aca="false">STDEV(C248:C250)</f>
        <v>3.93832250069682</v>
      </c>
      <c r="E250" s="5" t="n">
        <f aca="false">STDEV(C239:C250)</f>
        <v>3.20677640942324</v>
      </c>
    </row>
    <row r="251" customFormat="false" ht="15" hidden="false" customHeight="false" outlineLevel="0" collapsed="false">
      <c r="A251" s="5" t="s">
        <v>272</v>
      </c>
      <c r="B251" s="5" t="n">
        <v>1342</v>
      </c>
      <c r="C251" s="5" t="n">
        <f aca="false">LN(B251/B250)*100</f>
        <v>5.43570463421731</v>
      </c>
      <c r="D251" s="5" t="n">
        <f aca="false">STDEV(C249:C251)</f>
        <v>1.81561574266079</v>
      </c>
      <c r="E251" s="5" t="n">
        <f aca="false">STDEV(C240:C251)</f>
        <v>3.28223938645937</v>
      </c>
    </row>
    <row r="252" customFormat="false" ht="15" hidden="false" customHeight="false" outlineLevel="0" collapsed="false">
      <c r="A252" s="5" t="s">
        <v>273</v>
      </c>
      <c r="B252" s="5" t="n">
        <v>1370</v>
      </c>
      <c r="C252" s="5" t="n">
        <f aca="false">LN(B252/B251)*100</f>
        <v>2.06497012905435</v>
      </c>
      <c r="D252" s="5" t="n">
        <f aca="false">STDEV(C250:C252)</f>
        <v>1.72962747874473</v>
      </c>
      <c r="E252" s="5" t="n">
        <f aca="false">STDEV(C241:C252)</f>
        <v>2.76251689103849</v>
      </c>
    </row>
    <row r="253" customFormat="false" ht="15" hidden="false" customHeight="false" outlineLevel="0" collapsed="false">
      <c r="A253" s="5" t="s">
        <v>274</v>
      </c>
      <c r="B253" s="5" t="n">
        <v>1391</v>
      </c>
      <c r="C253" s="5" t="n">
        <f aca="false">LN(B253/B252)*100</f>
        <v>1.52121731012724</v>
      </c>
      <c r="D253" s="5" t="n">
        <f aca="false">STDEV(C251:C253)</f>
        <v>2.12056318159623</v>
      </c>
      <c r="E253" s="5" t="n">
        <f aca="false">STDEV(C242:C253)</f>
        <v>2.7478348196336</v>
      </c>
    </row>
    <row r="254" customFormat="false" ht="15" hidden="false" customHeight="false" outlineLevel="0" collapsed="false">
      <c r="A254" s="5" t="s">
        <v>275</v>
      </c>
      <c r="B254" s="5" t="n">
        <v>1360</v>
      </c>
      <c r="C254" s="5" t="n">
        <f aca="false">LN(B254/B253)*100</f>
        <v>-2.25382131933452</v>
      </c>
      <c r="D254" s="5" t="n">
        <f aca="false">STDEV(C252:C254)</f>
        <v>2.35225223125613</v>
      </c>
      <c r="E254" s="5" t="n">
        <f aca="false">STDEV(C243:C254)</f>
        <v>2.83383741177107</v>
      </c>
    </row>
    <row r="255" customFormat="false" ht="15" hidden="false" customHeight="false" outlineLevel="0" collapsed="false">
      <c r="A255" s="5" t="s">
        <v>276</v>
      </c>
      <c r="B255" s="5" t="n">
        <v>1375</v>
      </c>
      <c r="C255" s="5" t="n">
        <f aca="false">LN(B255/B254)*100</f>
        <v>1.09690313705739</v>
      </c>
      <c r="D255" s="5" t="n">
        <f aca="false">STDEV(C253:C255)</f>
        <v>2.06794235711328</v>
      </c>
      <c r="E255" s="5" t="n">
        <f aca="false">STDEV(C244:C255)</f>
        <v>2.59384173411386</v>
      </c>
    </row>
    <row r="256" customFormat="false" ht="15" hidden="false" customHeight="false" outlineLevel="0" collapsed="false">
      <c r="A256" s="5" t="s">
        <v>277</v>
      </c>
      <c r="B256" s="5" t="n">
        <v>1423</v>
      </c>
      <c r="C256" s="5" t="n">
        <f aca="false">LN(B256/B255)*100</f>
        <v>3.43135879891808</v>
      </c>
      <c r="D256" s="5" t="n">
        <f aca="false">STDEV(C254:C256)</f>
        <v>2.85768876882557</v>
      </c>
      <c r="E256" s="5" t="n">
        <f aca="false">STDEV(C245:C256)</f>
        <v>2.62884930190294</v>
      </c>
    </row>
    <row r="257" customFormat="false" ht="15" hidden="false" customHeight="false" outlineLevel="0" collapsed="false">
      <c r="A257" s="5" t="s">
        <v>278</v>
      </c>
      <c r="B257" s="5" t="n">
        <v>1481</v>
      </c>
      <c r="C257" s="5" t="n">
        <f aca="false">LN(B257/B256)*100</f>
        <v>3.99502161779464</v>
      </c>
      <c r="D257" s="5" t="n">
        <f aca="false">STDEV(C255:C257)</f>
        <v>1.53658114760052</v>
      </c>
      <c r="E257" s="5" t="n">
        <f aca="false">STDEV(C246:C257)</f>
        <v>2.67083797602956</v>
      </c>
    </row>
    <row r="258" customFormat="false" ht="15" hidden="false" customHeight="false" outlineLevel="0" collapsed="false">
      <c r="A258" s="5" t="s">
        <v>279</v>
      </c>
      <c r="B258" s="5" t="n">
        <v>1513</v>
      </c>
      <c r="C258" s="5" t="n">
        <f aca="false">LN(B258/B257)*100</f>
        <v>2.13768995205572</v>
      </c>
      <c r="D258" s="5" t="n">
        <f aca="false">STDEV(C256:C258)</f>
        <v>0.952275850728366</v>
      </c>
      <c r="E258" s="5" t="n">
        <f aca="false">STDEV(C247:C258)</f>
        <v>2.538911926367</v>
      </c>
    </row>
    <row r="259" customFormat="false" ht="15" hidden="false" customHeight="false" outlineLevel="0" collapsed="false">
      <c r="A259" s="5" t="s">
        <v>280</v>
      </c>
      <c r="B259" s="5" t="n">
        <v>1529</v>
      </c>
      <c r="C259" s="5" t="n">
        <f aca="false">LN(B259/B258)*100</f>
        <v>1.05194921407063</v>
      </c>
      <c r="D259" s="5" t="n">
        <f aca="false">STDEV(C257:C259)</f>
        <v>1.48829819146113</v>
      </c>
      <c r="E259" s="5" t="n">
        <f aca="false">STDEV(C248:C259)</f>
        <v>2.5464976884141</v>
      </c>
    </row>
    <row r="260" customFormat="false" ht="15" hidden="false" customHeight="false" outlineLevel="0" collapsed="false">
      <c r="A260" s="5" t="s">
        <v>281</v>
      </c>
      <c r="B260" s="5" t="n">
        <v>1573</v>
      </c>
      <c r="C260" s="5" t="n">
        <f aca="false">LN(B260/B259)*100</f>
        <v>2.83706971292156</v>
      </c>
      <c r="D260" s="5" t="n">
        <f aca="false">STDEV(C258:C260)</f>
        <v>0.899501732020467</v>
      </c>
      <c r="E260" s="5" t="n">
        <f aca="false">STDEV(C249:C260)</f>
        <v>1.98556190321236</v>
      </c>
    </row>
    <row r="261" customFormat="false" ht="15" hidden="false" customHeight="false" outlineLevel="0" collapsed="false">
      <c r="A261" s="5" t="s">
        <v>282</v>
      </c>
      <c r="B261" s="5" t="n">
        <v>1759</v>
      </c>
      <c r="C261" s="5" t="n">
        <f aca="false">LN(B261/B260)*100</f>
        <v>11.176084167928</v>
      </c>
      <c r="D261" s="5" t="n">
        <f aca="false">STDEV(C259:C261)</f>
        <v>5.40407139479335</v>
      </c>
      <c r="E261" s="5" t="n">
        <f aca="false">STDEV(C250:C261)</f>
        <v>3.23003580160125</v>
      </c>
    </row>
    <row r="262" customFormat="false" ht="15" hidden="false" customHeight="false" outlineLevel="0" collapsed="false">
      <c r="A262" s="5" t="s">
        <v>283</v>
      </c>
      <c r="B262" s="5" t="n">
        <v>1772</v>
      </c>
      <c r="C262" s="5" t="n">
        <f aca="false">LN(B262/B261)*100</f>
        <v>0.736338642746802</v>
      </c>
      <c r="D262" s="5" t="n">
        <f aca="false">STDEV(C260:C262)</f>
        <v>5.52178292070816</v>
      </c>
      <c r="E262" s="5" t="n">
        <f aca="false">STDEV(C251:C262)</f>
        <v>3.26542004211777</v>
      </c>
    </row>
    <row r="263" customFormat="false" ht="15" hidden="false" customHeight="false" outlineLevel="0" collapsed="false">
      <c r="A263" s="5" t="s">
        <v>284</v>
      </c>
      <c r="B263" s="5" t="n">
        <v>1666</v>
      </c>
      <c r="C263" s="5" t="n">
        <f aca="false">LN(B263/B262)*100</f>
        <v>-6.16833084382383</v>
      </c>
      <c r="D263" s="5" t="n">
        <f aca="false">STDEV(C261:C263)</f>
        <v>8.732043283688</v>
      </c>
      <c r="E263" s="5" t="n">
        <f aca="false">STDEV(C252:C263)</f>
        <v>4.03215359658804</v>
      </c>
    </row>
    <row r="264" customFormat="false" ht="15" hidden="false" customHeight="false" outlineLevel="0" collapsed="false">
      <c r="A264" s="5" t="s">
        <v>285</v>
      </c>
      <c r="B264" s="5" t="n">
        <v>1739</v>
      </c>
      <c r="C264" s="5" t="n">
        <f aca="false">LN(B264/B263)*100</f>
        <v>4.2884691627495</v>
      </c>
      <c r="D264" s="5" t="n">
        <f aca="false">STDEV(C262:C264)</f>
        <v>5.31721666424873</v>
      </c>
      <c r="E264" s="5" t="n">
        <f aca="false">STDEV(C253:C264)</f>
        <v>4.0959110510112</v>
      </c>
    </row>
    <row r="265" customFormat="false" ht="15" hidden="false" customHeight="false" outlineLevel="0" collapsed="false">
      <c r="A265" s="5" t="s">
        <v>286</v>
      </c>
      <c r="B265" s="5" t="n">
        <v>1640</v>
      </c>
      <c r="C265" s="5" t="n">
        <f aca="false">LN(B265/B264)*100</f>
        <v>-5.86139935360389</v>
      </c>
      <c r="D265" s="5" t="n">
        <f aca="false">STDEV(C263:C265)</f>
        <v>5.95061207238973</v>
      </c>
      <c r="E265" s="5" t="n">
        <f aca="false">STDEV(C254:C265)</f>
        <v>4.68447320307266</v>
      </c>
    </row>
    <row r="266" customFormat="false" ht="15" hidden="false" customHeight="false" outlineLevel="0" collapsed="false">
      <c r="A266" s="5" t="s">
        <v>287</v>
      </c>
      <c r="B266" s="5" t="n">
        <v>1654</v>
      </c>
      <c r="C266" s="5" t="n">
        <f aca="false">LN(B266/B265)*100</f>
        <v>0.850035476539253</v>
      </c>
      <c r="D266" s="5" t="n">
        <f aca="false">STDEV(C264:C266)</f>
        <v>5.16213803562351</v>
      </c>
      <c r="E266" s="5" t="n">
        <f aca="false">STDEV(C255:C266)</f>
        <v>4.54981015019831</v>
      </c>
    </row>
    <row r="267" customFormat="false" ht="15" hidden="false" customHeight="false" outlineLevel="0" collapsed="false">
      <c r="A267" s="5" t="s">
        <v>288</v>
      </c>
      <c r="B267" s="5" t="n">
        <v>1745</v>
      </c>
      <c r="C267" s="5" t="n">
        <f aca="false">LN(B267/B266)*100</f>
        <v>5.35579590528908</v>
      </c>
      <c r="D267" s="5" t="n">
        <f aca="false">STDEV(C265:C267)</f>
        <v>5.6446243452905</v>
      </c>
      <c r="E267" s="5" t="n">
        <f aca="false">STDEV(C256:C267)</f>
        <v>4.66891463652404</v>
      </c>
    </row>
    <row r="268" customFormat="false" ht="15" hidden="false" customHeight="false" outlineLevel="0" collapsed="false">
      <c r="A268" s="5" t="s">
        <v>289</v>
      </c>
      <c r="B268" s="5" t="n">
        <v>1676</v>
      </c>
      <c r="C268" s="5" t="n">
        <f aca="false">LN(B268/B267)*100</f>
        <v>-4.03445535944992</v>
      </c>
      <c r="D268" s="5" t="n">
        <f aca="false">STDEV(C266:C268)</f>
        <v>4.69639838214851</v>
      </c>
      <c r="E268" s="5" t="n">
        <f aca="false">STDEV(C257:C268)</f>
        <v>4.94787348535023</v>
      </c>
    </row>
    <row r="269" customFormat="false" ht="15" hidden="false" customHeight="false" outlineLevel="0" collapsed="false">
      <c r="A269" s="5" t="s">
        <v>290</v>
      </c>
      <c r="B269" s="5" t="n">
        <v>1649</v>
      </c>
      <c r="C269" s="5" t="n">
        <f aca="false">LN(B269/B268)*100</f>
        <v>-1.62409584824295</v>
      </c>
      <c r="D269" s="5" t="n">
        <f aca="false">STDEV(C267:C269)</f>
        <v>4.87691057739123</v>
      </c>
      <c r="E269" s="5" t="n">
        <f aca="false">STDEV(C258:C269)</f>
        <v>4.94209849401182</v>
      </c>
    </row>
    <row r="270" customFormat="false" ht="15" hidden="false" customHeight="false" outlineLevel="0" collapsed="false">
      <c r="A270" s="5" t="s">
        <v>291</v>
      </c>
      <c r="B270" s="5" t="n">
        <v>1589</v>
      </c>
      <c r="C270" s="5" t="n">
        <f aca="false">LN(B270/B269)*100</f>
        <v>-3.70641560228829</v>
      </c>
      <c r="D270" s="5" t="n">
        <f aca="false">STDEV(C268:C270)</f>
        <v>1.30725530620661</v>
      </c>
      <c r="E270" s="5" t="n">
        <f aca="false">STDEV(C259:C270)</f>
        <v>5.09416195431837</v>
      </c>
    </row>
    <row r="271" customFormat="false" ht="15" hidden="false" customHeight="false" outlineLevel="0" collapsed="false">
      <c r="A271" s="5" t="s">
        <v>292</v>
      </c>
      <c r="B271" s="5" t="n">
        <v>1599</v>
      </c>
      <c r="C271" s="5" t="n">
        <f aca="false">LN(B271/B270)*100</f>
        <v>0.627354629723824</v>
      </c>
      <c r="D271" s="5" t="n">
        <f aca="false">STDEV(C269:C271)</f>
        <v>2.1674350907889</v>
      </c>
      <c r="E271" s="5" t="n">
        <f aca="false">STDEV(C260:C271)</f>
        <v>5.09075923700788</v>
      </c>
    </row>
    <row r="272" customFormat="false" ht="15" hidden="false" customHeight="false" outlineLevel="0" collapsed="false">
      <c r="A272" s="5" t="s">
        <v>293</v>
      </c>
      <c r="B272" s="5" t="n">
        <v>1594</v>
      </c>
      <c r="C272" s="5" t="n">
        <f aca="false">LN(B272/B271)*100</f>
        <v>-0.313185348379393</v>
      </c>
      <c r="D272" s="5" t="n">
        <f aca="false">STDEV(C270:C272)</f>
        <v>2.27962684922801</v>
      </c>
      <c r="E272" s="5" t="n">
        <f aca="false">STDEV(C261:C272)</f>
        <v>5.03304141017813</v>
      </c>
    </row>
    <row r="273" customFormat="false" ht="15" hidden="false" customHeight="false" outlineLevel="0" collapsed="false">
      <c r="A273" s="5" t="s">
        <v>294</v>
      </c>
      <c r="B273" s="5" t="n">
        <v>1630</v>
      </c>
      <c r="C273" s="5" t="n">
        <f aca="false">LN(B273/B272)*100</f>
        <v>2.23334344506477</v>
      </c>
      <c r="D273" s="5" t="n">
        <f aca="false">STDEV(C271:C273)</f>
        <v>1.28767389901655</v>
      </c>
      <c r="E273" s="5" t="n">
        <f aca="false">STDEV(C262:C273)</f>
        <v>3.74216493964782</v>
      </c>
    </row>
    <row r="274" customFormat="false" ht="15" hidden="false" customHeight="false" outlineLevel="0" collapsed="false">
      <c r="A274" s="5" t="s">
        <v>295</v>
      </c>
      <c r="B274" s="5" t="n">
        <v>1745</v>
      </c>
      <c r="C274" s="5" t="n">
        <f aca="false">LN(B274/B273)*100</f>
        <v>6.81745408357196</v>
      </c>
      <c r="D274" s="5" t="n">
        <f aca="false">STDEV(C272:C274)</f>
        <v>3.61351393960723</v>
      </c>
      <c r="E274" s="5" t="n">
        <f aca="false">STDEV(C263:C274)</f>
        <v>4.31293108117965</v>
      </c>
    </row>
    <row r="275" customFormat="false" ht="15" hidden="false" customHeight="false" outlineLevel="0" collapsed="false">
      <c r="A275" s="5" t="s">
        <v>296</v>
      </c>
      <c r="B275" s="5" t="n">
        <v>1747</v>
      </c>
      <c r="C275" s="5" t="n">
        <f aca="false">LN(B275/B274)*100</f>
        <v>0.114547549752898</v>
      </c>
      <c r="D275" s="5" t="n">
        <f aca="false">STDEV(C273:C275)</f>
        <v>3.42618160622919</v>
      </c>
      <c r="E275" s="5" t="n">
        <f aca="false">STDEV(C264:C275)</f>
        <v>3.87178850207457</v>
      </c>
    </row>
    <row r="276" customFormat="false" ht="15" hidden="false" customHeight="false" outlineLevel="0" collapsed="false">
      <c r="A276" s="5" t="s">
        <v>297</v>
      </c>
      <c r="B276" s="5" t="n">
        <v>1722</v>
      </c>
      <c r="C276" s="5" t="n">
        <f aca="false">LN(B276/B275)*100</f>
        <v>-1.44136251463805</v>
      </c>
      <c r="D276" s="5" t="n">
        <f aca="false">STDEV(C274:C276)</f>
        <v>4.38858108679894</v>
      </c>
      <c r="E276" s="5" t="n">
        <f aca="false">STDEV(C265:C276)</f>
        <v>3.69745038076995</v>
      </c>
    </row>
    <row r="277" customFormat="false" ht="15" hidden="false" customHeight="false" outlineLevel="0" collapsed="false">
      <c r="A277" s="5" t="s">
        <v>298</v>
      </c>
      <c r="B277" s="5" t="n">
        <v>1685</v>
      </c>
      <c r="C277" s="5" t="n">
        <f aca="false">LN(B277/B276)*100</f>
        <v>-2.17208422012141</v>
      </c>
      <c r="D277" s="5" t="n">
        <f aca="false">STDEV(C275:C277)</f>
        <v>1.16786808546856</v>
      </c>
      <c r="E277" s="5" t="n">
        <f aca="false">STDEV(C266:C277)</f>
        <v>3.30583890472633</v>
      </c>
    </row>
    <row r="278" customFormat="false" ht="15" hidden="false" customHeight="false" outlineLevel="0" collapsed="false">
      <c r="A278" s="5" t="s">
        <v>299</v>
      </c>
      <c r="B278" s="5" t="n">
        <v>1672</v>
      </c>
      <c r="C278" s="5" t="n">
        <f aca="false">LN(B278/B277)*100</f>
        <v>-0.774504914181517</v>
      </c>
      <c r="D278" s="5" t="n">
        <f aca="false">STDEV(C276:C278)</f>
        <v>0.699032806400216</v>
      </c>
      <c r="E278" s="5" t="n">
        <f aca="false">STDEV(C267:C278)</f>
        <v>3.3112009568913</v>
      </c>
    </row>
    <row r="279" customFormat="false" ht="15" hidden="false" customHeight="false" outlineLevel="0" collapsed="false">
      <c r="A279" s="5" t="s">
        <v>300</v>
      </c>
      <c r="B279" s="5" t="n">
        <v>1628</v>
      </c>
      <c r="C279" s="5" t="n">
        <f aca="false">LN(B279/B278)*100</f>
        <v>-2.66682470821613</v>
      </c>
      <c r="D279" s="5" t="n">
        <f aca="false">STDEV(C277:C279)</f>
        <v>0.981399533816106</v>
      </c>
      <c r="E279" s="5" t="n">
        <f aca="false">STDEV(C268:C279)</f>
        <v>2.94055818451299</v>
      </c>
    </row>
    <row r="280" customFormat="false" ht="15" hidden="false" customHeight="false" outlineLevel="0" collapsed="false">
      <c r="A280" s="5" t="s">
        <v>301</v>
      </c>
      <c r="B280" s="5" t="n">
        <v>1593</v>
      </c>
      <c r="C280" s="5" t="n">
        <f aca="false">LN(B280/B279)*100</f>
        <v>-2.17332366524371</v>
      </c>
      <c r="D280" s="5" t="n">
        <f aca="false">STDEV(C278:C280)</f>
        <v>0.98158981424976</v>
      </c>
      <c r="E280" s="5" t="n">
        <f aca="false">STDEV(C269:C280)</f>
        <v>2.78675995545445</v>
      </c>
    </row>
    <row r="281" customFormat="false" ht="15" hidden="false" customHeight="false" outlineLevel="0" collapsed="false">
      <c r="A281" s="5" t="s">
        <v>302</v>
      </c>
      <c r="B281" s="5" t="n">
        <v>1488</v>
      </c>
      <c r="C281" s="5" t="n">
        <f aca="false">LN(B281/B280)*100</f>
        <v>-6.81860945170114</v>
      </c>
      <c r="D281" s="5" t="n">
        <f aca="false">STDEV(C279:C281)</f>
        <v>2.55145513624131</v>
      </c>
      <c r="E281" s="5" t="n">
        <f aca="false">STDEV(C270:C281)</f>
        <v>3.33897464210891</v>
      </c>
    </row>
    <row r="282" customFormat="false" ht="15" hidden="false" customHeight="false" outlineLevel="0" collapsed="false">
      <c r="A282" s="5" t="s">
        <v>303</v>
      </c>
      <c r="B282" s="5" t="n">
        <v>1414</v>
      </c>
      <c r="C282" s="5" t="n">
        <f aca="false">LN(B282/B281)*100</f>
        <v>-5.10103689365191</v>
      </c>
      <c r="D282" s="5" t="n">
        <f aca="false">STDEV(C280:C282)</f>
        <v>2.34876706230537</v>
      </c>
      <c r="E282" s="5" t="n">
        <f aca="false">STDEV(C271:C282)</f>
        <v>3.46894380425219</v>
      </c>
    </row>
    <row r="283" customFormat="false" ht="15" hidden="false" customHeight="false" outlineLevel="0" collapsed="false">
      <c r="A283" s="5" t="s">
        <v>304</v>
      </c>
      <c r="B283" s="5" t="n">
        <v>1343</v>
      </c>
      <c r="C283" s="5" t="n">
        <f aca="false">LN(B283/B282)*100</f>
        <v>-5.15166499332805</v>
      </c>
      <c r="D283" s="5" t="n">
        <f aca="false">STDEV(C281:C283)</f>
        <v>0.977353784796933</v>
      </c>
      <c r="E283" s="5" t="n">
        <f aca="false">STDEV(C272:C283)</f>
        <v>3.62433418820811</v>
      </c>
    </row>
    <row r="284" customFormat="false" ht="15" hidden="false" customHeight="false" outlineLevel="0" collapsed="false">
      <c r="A284" s="5" t="s">
        <v>305</v>
      </c>
      <c r="B284" s="5" t="n">
        <v>1286</v>
      </c>
      <c r="C284" s="5" t="n">
        <f aca="false">LN(B284/B283)*100</f>
        <v>-4.33692917256728</v>
      </c>
      <c r="D284" s="5" t="n">
        <f aca="false">STDEV(C282:C284)</f>
        <v>0.456475313594772</v>
      </c>
      <c r="E284" s="5" t="n">
        <f aca="false">STDEV(C273:C284)</f>
        <v>3.69465087875284</v>
      </c>
    </row>
    <row r="285" customFormat="false" ht="15" hidden="false" customHeight="false" outlineLevel="0" collapsed="false">
      <c r="A285" s="5" t="s">
        <v>306</v>
      </c>
      <c r="B285" s="5" t="n">
        <v>1352</v>
      </c>
      <c r="C285" s="5" t="n">
        <f aca="false">LN(B285/B284)*100</f>
        <v>5.00483518053447</v>
      </c>
      <c r="D285" s="5" t="n">
        <f aca="false">STDEV(C283:C285)</f>
        <v>5.6433862687247</v>
      </c>
      <c r="E285" s="5" t="n">
        <f aca="false">STDEV(C274:C285)</f>
        <v>4.0394996583515</v>
      </c>
    </row>
    <row r="286" customFormat="false" ht="15" hidden="false" customHeight="false" outlineLevel="0" collapsed="false">
      <c r="A286" s="5" t="s">
        <v>307</v>
      </c>
      <c r="B286" s="5" t="n">
        <v>1349</v>
      </c>
      <c r="C286" s="5" t="n">
        <f aca="false">LN(B286/B285)*100</f>
        <v>-0.22214003951535</v>
      </c>
      <c r="D286" s="5" t="n">
        <f aca="false">STDEV(C284:C286)</f>
        <v>4.68190347311468</v>
      </c>
      <c r="E286" s="5" t="n">
        <f aca="false">STDEV(C275:C286)</f>
        <v>3.11879427756782</v>
      </c>
    </row>
    <row r="287" customFormat="false" ht="15" hidden="false" customHeight="false" outlineLevel="0" collapsed="false">
      <c r="A287" s="5" t="s">
        <v>308</v>
      </c>
      <c r="B287" s="5" t="n">
        <v>1317</v>
      </c>
      <c r="C287" s="5" t="n">
        <f aca="false">LN(B287/B286)*100</f>
        <v>-2.40071544644749</v>
      </c>
      <c r="D287" s="5" t="n">
        <f aca="false">STDEV(C285:C287)</f>
        <v>3.80590858279371</v>
      </c>
      <c r="E287" s="5" t="n">
        <f aca="false">STDEV(C276:C287)</f>
        <v>3.03657486965233</v>
      </c>
    </row>
    <row r="288" customFormat="false" ht="15" hidden="false" customHeight="false" outlineLevel="0" collapsed="false">
      <c r="A288" s="5" t="s">
        <v>309</v>
      </c>
      <c r="B288" s="5" t="n">
        <v>1276</v>
      </c>
      <c r="C288" s="5" t="n">
        <f aca="false">LN(B288/B287)*100</f>
        <v>-3.16262378385459</v>
      </c>
      <c r="D288" s="5" t="n">
        <f aca="false">STDEV(C286:C288)</f>
        <v>1.52605918239449</v>
      </c>
      <c r="E288" s="5" t="n">
        <f aca="false">STDEV(C277:C288)</f>
        <v>3.03016503849622</v>
      </c>
    </row>
    <row r="289" customFormat="false" ht="15" hidden="false" customHeight="false" outlineLevel="0" collapsed="false">
      <c r="A289" s="5" t="s">
        <v>310</v>
      </c>
      <c r="B289" s="5" t="n">
        <v>1222</v>
      </c>
      <c r="C289" s="5" t="n">
        <f aca="false">LN(B289/B288)*100</f>
        <v>-4.32413241731946</v>
      </c>
      <c r="D289" s="5" t="n">
        <f aca="false">STDEV(C287:C289)</f>
        <v>0.968602039372742</v>
      </c>
      <c r="E289" s="5" t="n">
        <f aca="false">STDEV(C278:C289)</f>
        <v>3.07251204888122</v>
      </c>
    </row>
    <row r="290" customFormat="false" ht="15" hidden="false" customHeight="false" outlineLevel="0" collapsed="false">
      <c r="A290" s="5" t="s">
        <v>311</v>
      </c>
      <c r="B290" s="5" t="n">
        <v>1244</v>
      </c>
      <c r="C290" s="5" t="n">
        <f aca="false">LN(B290/B289)*100</f>
        <v>1.78431335675841</v>
      </c>
      <c r="D290" s="5" t="n">
        <f aca="false">STDEV(C288:C290)</f>
        <v>3.24382488105322</v>
      </c>
      <c r="E290" s="5" t="n">
        <f aca="false">STDEV(C279:C290)</f>
        <v>3.2971530217911</v>
      </c>
    </row>
    <row r="291" customFormat="false" ht="15" hidden="false" customHeight="false" outlineLevel="0" collapsed="false">
      <c r="A291" s="5" t="s">
        <v>312</v>
      </c>
      <c r="B291" s="5" t="n">
        <v>1300</v>
      </c>
      <c r="C291" s="5" t="n">
        <f aca="false">LN(B291/B290)*100</f>
        <v>4.40322701505033</v>
      </c>
      <c r="D291" s="5" t="n">
        <f aca="false">STDEV(C289:C291)</f>
        <v>4.47844134318723</v>
      </c>
      <c r="E291" s="5" t="n">
        <f aca="false">STDEV(C280:C291)</f>
        <v>3.8439634169742</v>
      </c>
    </row>
    <row r="292" customFormat="false" ht="15" hidden="false" customHeight="false" outlineLevel="0" collapsed="false">
      <c r="A292" s="5" t="s">
        <v>313</v>
      </c>
      <c r="B292" s="5" t="n">
        <v>1336</v>
      </c>
      <c r="C292" s="5" t="n">
        <f aca="false">LN(B292/B291)*100</f>
        <v>2.73158106469629</v>
      </c>
      <c r="D292" s="5" t="n">
        <f aca="false">STDEV(C290:C292)</f>
        <v>1.32604833015398</v>
      </c>
      <c r="E292" s="5" t="n">
        <f aca="false">STDEV(C281:C292)</f>
        <v>4.06383576936207</v>
      </c>
    </row>
    <row r="293" customFormat="false" ht="15" hidden="false" customHeight="false" outlineLevel="0" collapsed="false">
      <c r="A293" s="5" t="s">
        <v>314</v>
      </c>
      <c r="B293" s="5" t="n">
        <v>1298</v>
      </c>
      <c r="C293" s="5" t="n">
        <f aca="false">LN(B293/B292)*100</f>
        <v>-2.88554568325558</v>
      </c>
      <c r="D293" s="5" t="n">
        <f aca="false">STDEV(C291:C293)</f>
        <v>3.8182177459617</v>
      </c>
      <c r="E293" s="5" t="n">
        <f aca="false">STDEV(C282:C293)</f>
        <v>3.73848796357061</v>
      </c>
    </row>
    <row r="294" customFormat="false" ht="15" hidden="false" customHeight="false" outlineLevel="0" collapsed="false">
      <c r="A294" s="5" t="s">
        <v>315</v>
      </c>
      <c r="B294" s="5" t="n">
        <v>1289</v>
      </c>
      <c r="C294" s="5" t="n">
        <f aca="false">LN(B294/B293)*100</f>
        <v>-0.695789432484797</v>
      </c>
      <c r="D294" s="5" t="n">
        <f aca="false">STDEV(C292:C294)</f>
        <v>2.83119567984074</v>
      </c>
      <c r="E294" s="5" t="n">
        <f aca="false">STDEV(C283:C294)</f>
        <v>3.52414357547317</v>
      </c>
    </row>
    <row r="295" customFormat="false" ht="15" hidden="false" customHeight="false" outlineLevel="0" collapsed="false">
      <c r="A295" s="5" t="s">
        <v>316</v>
      </c>
      <c r="B295" s="5" t="n">
        <v>1279</v>
      </c>
      <c r="C295" s="5" t="n">
        <f aca="false">LN(B295/B294)*100</f>
        <v>-0.778820136034465</v>
      </c>
      <c r="D295" s="5" t="n">
        <f aca="false">STDEV(C293:C295)</f>
        <v>1.24098207526914</v>
      </c>
      <c r="E295" s="5" t="n">
        <f aca="false">STDEV(C284:C295)</f>
        <v>3.24505825703375</v>
      </c>
    </row>
    <row r="296" customFormat="false" ht="15" hidden="false" customHeight="false" outlineLevel="0" collapsed="false">
      <c r="A296" s="5" t="s">
        <v>317</v>
      </c>
      <c r="B296" s="5" t="n">
        <v>1311</v>
      </c>
      <c r="C296" s="5" t="n">
        <f aca="false">LN(B296/B295)*100</f>
        <v>2.47116821848571</v>
      </c>
      <c r="D296" s="5" t="n">
        <f aca="false">STDEV(C294:C296)</f>
        <v>1.85287790411247</v>
      </c>
      <c r="E296" s="5" t="n">
        <f aca="false">STDEV(C285:C296)</f>
        <v>3.08677526473635</v>
      </c>
    </row>
    <row r="297" customFormat="false" ht="15" hidden="false" customHeight="false" outlineLevel="0" collapsed="false">
      <c r="A297" s="5" t="s">
        <v>318</v>
      </c>
      <c r="B297" s="5" t="n">
        <v>1295</v>
      </c>
      <c r="C297" s="5" t="n">
        <f aca="false">LN(B297/B296)*100</f>
        <v>-1.22795096300617</v>
      </c>
      <c r="D297" s="5" t="n">
        <f aca="false">STDEV(C295:C297)</f>
        <v>2.01856489958973</v>
      </c>
      <c r="E297" s="5" t="n">
        <f aca="false">STDEV(C286:C297)</f>
        <v>2.69734281164289</v>
      </c>
    </row>
    <row r="298" customFormat="false" ht="15" hidden="false" customHeight="false" outlineLevel="0" collapsed="false">
      <c r="A298" s="5" t="s">
        <v>319</v>
      </c>
      <c r="B298" s="5" t="n">
        <v>1237</v>
      </c>
      <c r="C298" s="5" t="n">
        <f aca="false">LN(B298/B297)*100</f>
        <v>-4.58216017411502</v>
      </c>
      <c r="D298" s="5" t="n">
        <f aca="false">STDEV(C296:C298)</f>
        <v>3.52806943347766</v>
      </c>
      <c r="E298" s="5" t="n">
        <f aca="false">STDEV(C287:C298)</f>
        <v>2.95826821879247</v>
      </c>
    </row>
    <row r="299" customFormat="false" ht="15" hidden="false" customHeight="false" outlineLevel="0" collapsed="false">
      <c r="A299" s="5" t="s">
        <v>320</v>
      </c>
      <c r="B299" s="5" t="n">
        <v>1222</v>
      </c>
      <c r="C299" s="5" t="n">
        <f aca="false">LN(B299/B298)*100</f>
        <v>-1.22002326609473</v>
      </c>
      <c r="D299" s="5" t="n">
        <f aca="false">STDEV(C297:C299)</f>
        <v>1.93884617184801</v>
      </c>
      <c r="E299" s="5" t="n">
        <f aca="false">STDEV(C288:C299)</f>
        <v>2.91671219165408</v>
      </c>
    </row>
    <row r="300" customFormat="false" ht="15" hidden="false" customHeight="false" outlineLevel="0" collapsed="false">
      <c r="A300" s="5" t="s">
        <v>321</v>
      </c>
      <c r="B300" s="5" t="n">
        <v>1175</v>
      </c>
      <c r="C300" s="5" t="n">
        <f aca="false">LN(B300/B299)*100</f>
        <v>-3.92207131532813</v>
      </c>
      <c r="D300" s="5" t="n">
        <f aca="false">STDEV(C298:C300)</f>
        <v>1.78142010533417</v>
      </c>
      <c r="E300" s="5" t="n">
        <f aca="false">STDEV(C289:C300)</f>
        <v>2.98426278146668</v>
      </c>
    </row>
    <row r="301" customFormat="false" ht="15" hidden="false" customHeight="false" outlineLevel="0" collapsed="false">
      <c r="A301" s="5" t="s">
        <v>322</v>
      </c>
      <c r="B301" s="5" t="n">
        <v>1201</v>
      </c>
      <c r="C301" s="5" t="n">
        <f aca="false">LN(B301/B300)*100</f>
        <v>2.18863955017243</v>
      </c>
      <c r="D301" s="5" t="n">
        <f aca="false">STDEV(C299:C301)</f>
        <v>3.06215700493173</v>
      </c>
      <c r="E301" s="5" t="n">
        <f aca="false">STDEV(C290:C301)</f>
        <v>2.85199048961995</v>
      </c>
    </row>
    <row r="302" customFormat="false" ht="15" hidden="false" customHeight="false" outlineLevel="0" collapsed="false">
      <c r="A302" s="5" t="s">
        <v>323</v>
      </c>
      <c r="B302" s="5" t="n">
        <v>1251</v>
      </c>
      <c r="C302" s="5" t="n">
        <f aca="false">LN(B302/B301)*100</f>
        <v>4.07886883869276</v>
      </c>
      <c r="D302" s="5" t="n">
        <f aca="false">STDEV(C300:C302)</f>
        <v>4.18188150224972</v>
      </c>
      <c r="E302" s="5" t="n">
        <f aca="false">STDEV(C291:C302)</f>
        <v>3.0622318749878</v>
      </c>
    </row>
    <row r="303" customFormat="false" ht="15" hidden="false" customHeight="false" outlineLevel="0" collapsed="false">
      <c r="A303" s="5" t="s">
        <v>324</v>
      </c>
      <c r="B303" s="5" t="n">
        <v>1227</v>
      </c>
      <c r="C303" s="5" t="n">
        <f aca="false">LN(B303/B302)*100</f>
        <v>-1.93710657559997</v>
      </c>
      <c r="D303" s="5" t="n">
        <f aca="false">STDEV(C301:C303)</f>
        <v>3.07643484255397</v>
      </c>
      <c r="E303" s="5" t="n">
        <f aca="false">STDEV(C292:C303)</f>
        <v>2.77581837966164</v>
      </c>
    </row>
    <row r="304" customFormat="false" ht="15" hidden="false" customHeight="false" outlineLevel="0" collapsed="false">
      <c r="A304" s="5" t="s">
        <v>325</v>
      </c>
      <c r="B304" s="5" t="n">
        <v>1179</v>
      </c>
      <c r="C304" s="5" t="n">
        <f aca="false">LN(B304/B303)*100</f>
        <v>-3.99055441735405</v>
      </c>
      <c r="D304" s="5" t="n">
        <f aca="false">STDEV(C302:C304)</f>
        <v>4.19372944424983</v>
      </c>
      <c r="E304" s="5" t="n">
        <f aca="false">STDEV(C293:C304)</f>
        <v>2.74655933209528</v>
      </c>
    </row>
    <row r="305" customFormat="false" ht="15" hidden="false" customHeight="false" outlineLevel="0" collapsed="false">
      <c r="A305" s="5" t="s">
        <v>326</v>
      </c>
      <c r="B305" s="5" t="n">
        <v>1199</v>
      </c>
      <c r="C305" s="5" t="n">
        <f aca="false">LN(B305/B304)*100</f>
        <v>1.68212544901433</v>
      </c>
      <c r="D305" s="5" t="n">
        <f aca="false">STDEV(C303:C305)</f>
        <v>2.87213002703276</v>
      </c>
      <c r="E305" s="5" t="n">
        <f aca="false">STDEV(C294:C305)</f>
        <v>2.78406198826842</v>
      </c>
    </row>
    <row r="306" customFormat="false" ht="15" hidden="false" customHeight="false" outlineLevel="0" collapsed="false">
      <c r="A306" s="5" t="s">
        <v>327</v>
      </c>
      <c r="B306" s="5" t="n">
        <v>1199</v>
      </c>
      <c r="C306" s="5" t="n">
        <f aca="false">LN(B306/B305)*100</f>
        <v>0</v>
      </c>
      <c r="D306" s="5" t="n">
        <f aca="false">STDEV(C304:C306)</f>
        <v>2.91357076026384</v>
      </c>
      <c r="E306" s="5" t="n">
        <f aca="false">STDEV(C295:C306)</f>
        <v>2.79051272526368</v>
      </c>
    </row>
    <row r="307" customFormat="false" ht="15" hidden="false" customHeight="false" outlineLevel="0" collapsed="false">
      <c r="A307" s="5" t="s">
        <v>328</v>
      </c>
      <c r="B307" s="5" t="n">
        <v>1182</v>
      </c>
      <c r="C307" s="5" t="n">
        <f aca="false">LN(B307/B306)*100</f>
        <v>-1.42799570614708</v>
      </c>
      <c r="D307" s="5" t="n">
        <f aca="false">STDEV(C305:C307)</f>
        <v>1.55679003951393</v>
      </c>
      <c r="E307" s="5" t="n">
        <f aca="false">STDEV(C296:C307)</f>
        <v>2.80050248997477</v>
      </c>
    </row>
    <row r="308" customFormat="false" ht="15" hidden="false" customHeight="false" outlineLevel="0" collapsed="false">
      <c r="A308" s="5" t="s">
        <v>329</v>
      </c>
      <c r="B308" s="5" t="n">
        <v>1128</v>
      </c>
      <c r="C308" s="5" t="n">
        <f aca="false">LN(B308/B307)*100</f>
        <v>-4.67617659080393</v>
      </c>
      <c r="D308" s="5" t="n">
        <f aca="false">STDEV(C306:C308)</f>
        <v>2.39640280088745</v>
      </c>
      <c r="E308" s="5" t="n">
        <f aca="false">STDEV(C297:C308)</f>
        <v>2.8345050847472</v>
      </c>
    </row>
    <row r="309" customFormat="false" ht="15" hidden="false" customHeight="false" outlineLevel="0" collapsed="false">
      <c r="A309" s="5" t="s">
        <v>330</v>
      </c>
      <c r="B309" s="5" t="n">
        <v>1118</v>
      </c>
      <c r="C309" s="5" t="n">
        <f aca="false">LN(B309/B308)*100</f>
        <v>-0.890477834295972</v>
      </c>
      <c r="D309" s="5" t="n">
        <f aca="false">STDEV(C307:C309)</f>
        <v>2.04821546706051</v>
      </c>
      <c r="E309" s="5" t="n">
        <f aca="false">STDEV(C298:C309)</f>
        <v>2.83644823227834</v>
      </c>
    </row>
    <row r="310" customFormat="false" ht="15" hidden="false" customHeight="false" outlineLevel="0" collapsed="false">
      <c r="A310" s="5" t="s">
        <v>331</v>
      </c>
      <c r="B310" s="5" t="n">
        <v>1125</v>
      </c>
      <c r="C310" s="5" t="n">
        <f aca="false">LN(B310/B309)*100</f>
        <v>0.624166092347613</v>
      </c>
      <c r="D310" s="5" t="n">
        <f aca="false">STDEV(C308:C310)</f>
        <v>2.73005780947286</v>
      </c>
      <c r="E310" s="5" t="n">
        <f aca="false">STDEV(C299:C310)</f>
        <v>2.66947787806373</v>
      </c>
    </row>
    <row r="311" customFormat="false" ht="15" hidden="false" customHeight="false" outlineLevel="0" collapsed="false">
      <c r="A311" s="5" t="s">
        <v>332</v>
      </c>
      <c r="B311" s="5" t="n">
        <v>1159</v>
      </c>
      <c r="C311" s="5" t="n">
        <f aca="false">LN(B311/B310)*100</f>
        <v>2.97745287012311</v>
      </c>
      <c r="D311" s="5" t="n">
        <f aca="false">STDEV(C309:C311)</f>
        <v>1.94905929519684</v>
      </c>
      <c r="E311" s="5" t="n">
        <f aca="false">STDEV(C300:C311)</f>
        <v>2.87521067102838</v>
      </c>
    </row>
    <row r="312" customFormat="false" ht="15" hidden="false" customHeight="false" outlineLevel="0" collapsed="false">
      <c r="A312" s="5" t="s">
        <v>333</v>
      </c>
      <c r="B312" s="5" t="n">
        <v>1086</v>
      </c>
      <c r="C312" s="5" t="n">
        <f aca="false">LN(B312/B311)*100</f>
        <v>-6.5056342845871</v>
      </c>
      <c r="D312" s="5" t="n">
        <f aca="false">STDEV(C310:C312)</f>
        <v>4.93796439262883</v>
      </c>
      <c r="E312" s="5" t="n">
        <f aca="false">STDEV(C301:C312)</f>
        <v>3.23391702237681</v>
      </c>
    </row>
    <row r="313" customFormat="false" ht="15" hidden="false" customHeight="false" outlineLevel="0" collapsed="false">
      <c r="A313" s="5" t="s">
        <v>334</v>
      </c>
      <c r="B313" s="5" t="n">
        <v>1076</v>
      </c>
      <c r="C313" s="5" t="n">
        <f aca="false">LN(B313/B312)*100</f>
        <v>-0.9250759772151</v>
      </c>
      <c r="D313" s="5" t="n">
        <f aca="false">STDEV(C311:C313)</f>
        <v>4.76622324994881</v>
      </c>
      <c r="E313" s="5" t="n">
        <f aca="false">STDEV(C302:C313)</f>
        <v>3.10732959729034</v>
      </c>
    </row>
    <row r="314" customFormat="false" ht="15" hidden="false" customHeight="false" outlineLevel="0" collapsed="false">
      <c r="A314" s="5" t="s">
        <v>335</v>
      </c>
      <c r="B314" s="5" t="n">
        <v>1098</v>
      </c>
      <c r="C314" s="5" t="n">
        <f aca="false">LN(B314/B313)*100</f>
        <v>2.02398813477461</v>
      </c>
      <c r="D314" s="5" t="n">
        <f aca="false">STDEV(C312:C314)</f>
        <v>4.33193699506896</v>
      </c>
      <c r="E314" s="5" t="n">
        <f aca="false">STDEV(C303:C314)</f>
        <v>2.85329080018437</v>
      </c>
    </row>
    <row r="315" customFormat="false" ht="15" hidden="false" customHeight="false" outlineLevel="0" collapsed="false">
      <c r="A315" s="5" t="s">
        <v>336</v>
      </c>
      <c r="B315" s="5" t="n">
        <v>1200</v>
      </c>
      <c r="C315" s="5" t="n">
        <f aca="false">LN(B315/B314)*100</f>
        <v>8.88312137066158</v>
      </c>
      <c r="D315" s="5" t="n">
        <f aca="false">STDEV(C313:C315)</f>
        <v>5.03231926483158</v>
      </c>
      <c r="E315" s="5" t="n">
        <f aca="false">STDEV(C304:C315)</f>
        <v>4.02808855082666</v>
      </c>
    </row>
    <row r="316" customFormat="false" ht="15" hidden="false" customHeight="false" outlineLevel="0" collapsed="false">
      <c r="A316" s="5" t="s">
        <v>337</v>
      </c>
      <c r="B316" s="5" t="n">
        <v>1245</v>
      </c>
      <c r="C316" s="5" t="n">
        <f aca="false">LN(B316/B315)*100</f>
        <v>3.68139731227164</v>
      </c>
      <c r="D316" s="5" t="n">
        <f aca="false">STDEV(C314:C316)</f>
        <v>3.57893483010736</v>
      </c>
      <c r="E316" s="5" t="n">
        <f aca="false">STDEV(C305:C316)</f>
        <v>3.97776573196657</v>
      </c>
    </row>
    <row r="317" customFormat="false" ht="15" hidden="false" customHeight="false" outlineLevel="0" collapsed="false">
      <c r="A317" s="5" t="s">
        <v>338</v>
      </c>
      <c r="B317" s="5" t="n">
        <v>1242</v>
      </c>
      <c r="C317" s="5" t="n">
        <f aca="false">LN(B317/B316)*100</f>
        <v>-0.241254640538388</v>
      </c>
      <c r="D317" s="5" t="n">
        <f aca="false">STDEV(C315:C317)</f>
        <v>4.57710551033217</v>
      </c>
      <c r="E317" s="5" t="n">
        <f aca="false">STDEV(C306:C317)</f>
        <v>3.96249773342219</v>
      </c>
    </row>
    <row r="318" customFormat="false" ht="15" hidden="false" customHeight="false" outlineLevel="0" collapsed="false">
      <c r="A318" s="5" t="s">
        <v>339</v>
      </c>
      <c r="B318" s="5" t="n">
        <v>1261</v>
      </c>
      <c r="C318" s="5" t="n">
        <f aca="false">LN(B318/B317)*100</f>
        <v>1.51820734714956</v>
      </c>
      <c r="D318" s="5" t="n">
        <f aca="false">STDEV(C316:C318)</f>
        <v>1.96478563946164</v>
      </c>
      <c r="E318" s="5" t="n">
        <f aca="false">STDEV(C307:C318)</f>
        <v>3.97648285964769</v>
      </c>
    </row>
    <row r="319" customFormat="false" ht="15" hidden="false" customHeight="false" outlineLevel="0" collapsed="false">
      <c r="A319" s="5" t="s">
        <v>340</v>
      </c>
      <c r="B319" s="5" t="n">
        <v>1276</v>
      </c>
      <c r="C319" s="5" t="n">
        <f aca="false">LN(B319/B318)*100</f>
        <v>1.18251279398156</v>
      </c>
      <c r="D319" s="5" t="n">
        <f aca="false">STDEV(C317:C319)</f>
        <v>0.934122674558413</v>
      </c>
      <c r="E319" s="5" t="n">
        <f aca="false">STDEV(C308:C319)</f>
        <v>3.93739957054433</v>
      </c>
    </row>
    <row r="320" customFormat="false" ht="15" hidden="false" customHeight="false" outlineLevel="0" collapsed="false">
      <c r="A320" s="5" t="s">
        <v>341</v>
      </c>
      <c r="B320" s="5" t="n">
        <v>1337</v>
      </c>
      <c r="C320" s="5" t="n">
        <f aca="false">LN(B320/B319)*100</f>
        <v>4.66981131972081</v>
      </c>
      <c r="D320" s="5" t="n">
        <f aca="false">STDEV(C318:C320)</f>
        <v>1.9238221262449</v>
      </c>
      <c r="E320" s="5" t="n">
        <f aca="false">STDEV(C309:C320)</f>
        <v>3.7084206272936</v>
      </c>
    </row>
    <row r="321" customFormat="false" ht="15" hidden="false" customHeight="false" outlineLevel="0" collapsed="false">
      <c r="A321" s="5" t="s">
        <v>342</v>
      </c>
      <c r="B321" s="5" t="n">
        <v>1340</v>
      </c>
      <c r="C321" s="5" t="n">
        <f aca="false">LN(B321/B320)*100</f>
        <v>0.224131584301392</v>
      </c>
      <c r="D321" s="5" t="n">
        <f aca="false">STDEV(C319:C321)</f>
        <v>2.33965146480589</v>
      </c>
      <c r="E321" s="5" t="n">
        <f aca="false">STDEV(C310:C321)</f>
        <v>3.65901434055205</v>
      </c>
    </row>
    <row r="322" customFormat="false" ht="15" hidden="false" customHeight="false" outlineLevel="0" collapsed="false">
      <c r="A322" s="5" t="s">
        <v>343</v>
      </c>
      <c r="B322" s="5" t="n">
        <v>1327</v>
      </c>
      <c r="C322" s="5" t="n">
        <f aca="false">LN(B322/B321)*100</f>
        <v>-0.974885861274956</v>
      </c>
      <c r="D322" s="5" t="n">
        <f aca="false">STDEV(C320:C322)</f>
        <v>2.9738952405293</v>
      </c>
      <c r="E322" s="5" t="n">
        <f aca="false">STDEV(C311:C322)</f>
        <v>3.7227459114954</v>
      </c>
    </row>
    <row r="323" customFormat="false" ht="15" hidden="false" customHeight="false" outlineLevel="0" collapsed="false">
      <c r="A323" s="5" t="s">
        <v>344</v>
      </c>
      <c r="B323" s="5" t="n">
        <v>1267</v>
      </c>
      <c r="C323" s="5" t="n">
        <f aca="false">LN(B323/B322)*100</f>
        <v>-4.62688540110685</v>
      </c>
      <c r="D323" s="5" t="n">
        <f aca="false">STDEV(C321:C323)</f>
        <v>2.52676041821829</v>
      </c>
      <c r="E323" s="5" t="n">
        <f aca="false">STDEV(C312:C323)</f>
        <v>4.05754746693999</v>
      </c>
    </row>
    <row r="324" customFormat="false" ht="15" hidden="false" customHeight="false" outlineLevel="0" collapsed="false">
      <c r="A324" s="5" t="s">
        <v>345</v>
      </c>
      <c r="B324" s="5" t="n">
        <v>1238</v>
      </c>
      <c r="C324" s="5" t="n">
        <f aca="false">LN(B324/B323)*100</f>
        <v>-2.31547270765976</v>
      </c>
      <c r="D324" s="5" t="n">
        <f aca="false">STDEV(C322:C324)</f>
        <v>1.84738113605272</v>
      </c>
      <c r="E324" s="5" t="n">
        <f aca="false">STDEV(C313:C324)</f>
        <v>3.52205552970035</v>
      </c>
    </row>
    <row r="325" customFormat="false" ht="15" hidden="false" customHeight="false" outlineLevel="0" collapsed="false">
      <c r="A325" s="5" t="s">
        <v>346</v>
      </c>
      <c r="B325" s="5" t="n">
        <v>1157</v>
      </c>
      <c r="C325" s="5" t="n">
        <f aca="false">LN(B325/B324)*100</f>
        <v>-6.76667260508649</v>
      </c>
      <c r="D325" s="5" t="n">
        <f aca="false">STDEV(C323:C325)</f>
        <v>2.22615132925995</v>
      </c>
      <c r="E325" s="5" t="n">
        <f aca="false">STDEV(C314:C325)</f>
        <v>4.17019500610837</v>
      </c>
    </row>
    <row r="326" customFormat="false" ht="15" hidden="false" customHeight="false" outlineLevel="0" collapsed="false">
      <c r="A326" s="5" t="s">
        <v>347</v>
      </c>
      <c r="B326" s="5" t="n">
        <v>1192</v>
      </c>
      <c r="C326" s="5" t="n">
        <f aca="false">LN(B326/B325)*100</f>
        <v>2.98021204316185</v>
      </c>
      <c r="D326" s="5" t="n">
        <f aca="false">STDEV(C324:C326)</f>
        <v>4.87953580191797</v>
      </c>
      <c r="E326" s="5" t="n">
        <f aca="false">STDEV(C315:C326)</f>
        <v>4.20873568950616</v>
      </c>
    </row>
    <row r="327" customFormat="false" ht="15" hidden="false" customHeight="false" outlineLevel="0" collapsed="false">
      <c r="A327" s="5" t="s">
        <v>348</v>
      </c>
      <c r="B327" s="5" t="n">
        <v>1234</v>
      </c>
      <c r="C327" s="5" t="n">
        <f aca="false">LN(B327/B326)*100</f>
        <v>3.46283568400381</v>
      </c>
      <c r="D327" s="5" t="n">
        <f aca="false">STDEV(C325:C327)</f>
        <v>5.77173465781773</v>
      </c>
      <c r="E327" s="5" t="n">
        <f aca="false">STDEV(C316:C327)</f>
        <v>3.47591300734523</v>
      </c>
    </row>
    <row r="328" customFormat="false" ht="15" hidden="false" customHeight="false" outlineLevel="0" collapsed="false">
      <c r="A328" s="5" t="s">
        <v>349</v>
      </c>
      <c r="B328" s="5" t="n">
        <v>1231</v>
      </c>
      <c r="C328" s="5" t="n">
        <f aca="false">LN(B328/B327)*100</f>
        <v>-0.243407828087964</v>
      </c>
      <c r="D328" s="5" t="n">
        <f aca="false">STDEV(C326:C328)</f>
        <v>2.01498104308447</v>
      </c>
      <c r="E328" s="5" t="n">
        <f aca="false">STDEV(C317:C328)</f>
        <v>3.30223312590323</v>
      </c>
    </row>
    <row r="329" customFormat="false" ht="15" hidden="false" customHeight="false" outlineLevel="0" collapsed="false">
      <c r="A329" s="5" t="s">
        <v>350</v>
      </c>
      <c r="B329" s="5" t="n">
        <v>1267</v>
      </c>
      <c r="C329" s="5" t="n">
        <f aca="false">LN(B329/B328)*100</f>
        <v>2.88250541366854</v>
      </c>
      <c r="D329" s="5" t="n">
        <f aca="false">STDEV(C327:C329)</f>
        <v>1.99350435952113</v>
      </c>
      <c r="E329" s="5" t="n">
        <f aca="false">STDEV(C318:C329)</f>
        <v>3.41092385827765</v>
      </c>
    </row>
    <row r="330" customFormat="false" ht="15" hidden="false" customHeight="false" outlineLevel="0" collapsed="false">
      <c r="A330" s="5" t="s">
        <v>351</v>
      </c>
      <c r="B330" s="5" t="n">
        <v>1246</v>
      </c>
      <c r="C330" s="5" t="n">
        <f aca="false">LN(B330/B329)*100</f>
        <v>-1.67134809737406</v>
      </c>
      <c r="D330" s="5" t="n">
        <f aca="false">STDEV(C328:C330)</f>
        <v>2.32908883499079</v>
      </c>
      <c r="E330" s="5" t="n">
        <f aca="false">STDEV(C319:C330)</f>
        <v>3.42024059000252</v>
      </c>
    </row>
    <row r="331" customFormat="false" ht="15" hidden="false" customHeight="false" outlineLevel="0" collapsed="false">
      <c r="A331" s="5" t="s">
        <v>352</v>
      </c>
      <c r="B331" s="5" t="n">
        <v>1260</v>
      </c>
      <c r="C331" s="5" t="n">
        <f aca="false">LN(B331/B330)*100</f>
        <v>1.11733005981253</v>
      </c>
      <c r="D331" s="5" t="n">
        <f aca="false">STDEV(C329:C331)</f>
        <v>2.29601653936643</v>
      </c>
      <c r="E331" s="5" t="n">
        <f aca="false">STDEV(C320:C331)</f>
        <v>3.41807013886017</v>
      </c>
    </row>
    <row r="332" customFormat="false" ht="15" hidden="false" customHeight="false" outlineLevel="0" collapsed="false">
      <c r="A332" s="5" t="s">
        <v>353</v>
      </c>
      <c r="B332" s="5" t="n">
        <v>1237</v>
      </c>
      <c r="C332" s="5" t="n">
        <f aca="false">LN(B332/B331)*100</f>
        <v>-1.84226275530358</v>
      </c>
      <c r="D332" s="5" t="n">
        <f aca="false">STDEV(C330:C332)</f>
        <v>1.66158194280589</v>
      </c>
      <c r="E332" s="5" t="n">
        <f aca="false">STDEV(C321:C332)</f>
        <v>3.09249189386982</v>
      </c>
    </row>
    <row r="333" customFormat="false" ht="15" hidden="false" customHeight="false" outlineLevel="0" collapsed="false">
      <c r="A333" s="5" t="s">
        <v>354</v>
      </c>
      <c r="B333" s="5" t="n">
        <v>1283</v>
      </c>
      <c r="C333" s="5" t="n">
        <f aca="false">LN(B333/B332)*100</f>
        <v>3.65119922231485</v>
      </c>
      <c r="D333" s="5" t="n">
        <f aca="false">STDEV(C331:C333)</f>
        <v>2.74947895256254</v>
      </c>
      <c r="E333" s="5" t="n">
        <f aca="false">STDEV(C322:C333)</f>
        <v>3.32949828605887</v>
      </c>
    </row>
    <row r="334" customFormat="false" ht="15" hidden="false" customHeight="false" outlineLevel="0" collapsed="false">
      <c r="A334" s="5" t="s">
        <v>355</v>
      </c>
      <c r="B334" s="5" t="n">
        <v>1314</v>
      </c>
      <c r="C334" s="5" t="n">
        <f aca="false">LN(B334/B333)*100</f>
        <v>2.38748344289195</v>
      </c>
      <c r="D334" s="5" t="n">
        <f aca="false">STDEV(C332:C334)</f>
        <v>2.87708924006687</v>
      </c>
      <c r="E334" s="5" t="n">
        <f aca="false">STDEV(C323:C334)</f>
        <v>3.4136710280362</v>
      </c>
    </row>
    <row r="335" customFormat="false" ht="15" hidden="false" customHeight="false" outlineLevel="0" collapsed="false">
      <c r="A335" s="5" t="s">
        <v>356</v>
      </c>
      <c r="B335" s="5" t="n">
        <v>1280</v>
      </c>
      <c r="C335" s="5" t="n">
        <f aca="false">LN(B335/B334)*100</f>
        <v>-2.6215842130893</v>
      </c>
      <c r="D335" s="5" t="n">
        <f aca="false">STDEV(C333:C335)</f>
        <v>3.31751785679295</v>
      </c>
      <c r="E335" s="5" t="n">
        <f aca="false">STDEV(C324:C335)</f>
        <v>3.21421858587955</v>
      </c>
    </row>
    <row r="336" customFormat="false" ht="15" hidden="false" customHeight="false" outlineLevel="0" collapsed="false">
      <c r="A336" s="5" t="s">
        <v>357</v>
      </c>
      <c r="B336" s="5" t="n">
        <v>1282</v>
      </c>
      <c r="C336" s="5" t="n">
        <f aca="false">LN(B336/B335)*100</f>
        <v>0.156128056695241</v>
      </c>
      <c r="D336" s="5" t="n">
        <f aca="false">STDEV(C334:C336)</f>
        <v>2.50949500548809</v>
      </c>
      <c r="E336" s="5" t="n">
        <f aca="false">STDEV(C325:C336)</f>
        <v>3.12434135497935</v>
      </c>
    </row>
    <row r="337" customFormat="false" ht="15" hidden="false" customHeight="false" outlineLevel="0" collapsed="false">
      <c r="A337" s="5" t="s">
        <v>358</v>
      </c>
      <c r="B337" s="5" t="n">
        <v>1264</v>
      </c>
      <c r="C337" s="5" t="n">
        <f aca="false">LN(B337/B336)*100</f>
        <v>-1.41400627738126</v>
      </c>
      <c r="D337" s="5" t="n">
        <f aca="false">STDEV(C335:C337)</f>
        <v>1.39279405940998</v>
      </c>
      <c r="E337" s="5" t="n">
        <f aca="false">STDEV(C326:C337)</f>
        <v>2.29792281796288</v>
      </c>
    </row>
    <row r="338" customFormat="false" ht="15" hidden="false" customHeight="false" outlineLevel="0" collapsed="false">
      <c r="A338" s="5" t="s">
        <v>359</v>
      </c>
      <c r="B338" s="5" t="n">
        <v>1331</v>
      </c>
      <c r="C338" s="5" t="n">
        <f aca="false">LN(B338/B337)*100</f>
        <v>5.16492436883089</v>
      </c>
      <c r="D338" s="5" t="n">
        <f aca="false">STDEV(C336:C338)</f>
        <v>3.4359785304718</v>
      </c>
      <c r="E338" s="5" t="n">
        <f aca="false">STDEV(C327:C338)</f>
        <v>2.56304708020589</v>
      </c>
    </row>
    <row r="339" customFormat="false" ht="15" hidden="false" customHeight="false" outlineLevel="0" collapsed="false">
      <c r="A339" s="5" t="s">
        <v>360</v>
      </c>
      <c r="B339" s="5" t="n">
        <v>1331</v>
      </c>
      <c r="C339" s="5" t="n">
        <f aca="false">LN(B339/B338)*100</f>
        <v>0</v>
      </c>
      <c r="D339" s="5" t="n">
        <f aca="false">STDEV(C337:C339)</f>
        <v>3.46309557900361</v>
      </c>
      <c r="E339" s="5" t="n">
        <f aca="false">STDEV(C328:C339)</f>
        <v>2.44273584731824</v>
      </c>
    </row>
    <row r="340" customFormat="false" ht="15" hidden="false" customHeight="false" outlineLevel="0" collapsed="false">
      <c r="A340" s="5" t="s">
        <v>361</v>
      </c>
      <c r="B340" s="5" t="n">
        <v>1325</v>
      </c>
      <c r="C340" s="5" t="n">
        <f aca="false">LN(B340/B339)*100</f>
        <v>-0.4518079974789</v>
      </c>
      <c r="D340" s="5" t="n">
        <f aca="false">STDEV(C338:C340)</f>
        <v>3.1205837241634</v>
      </c>
      <c r="E340" s="5" t="n">
        <f aca="false">STDEV(C329:C340)</f>
        <v>2.45024363352848</v>
      </c>
    </row>
    <row r="341" customFormat="false" ht="15" hidden="false" customHeight="false" outlineLevel="0" collapsed="false">
      <c r="A341" s="5" t="s">
        <v>362</v>
      </c>
      <c r="B341" s="5" t="n">
        <v>1335</v>
      </c>
      <c r="C341" s="5" t="n">
        <f aca="false">LN(B341/B340)*100</f>
        <v>0.751883241402732</v>
      </c>
      <c r="D341" s="5" t="n">
        <f aca="false">STDEV(C339:C341)</f>
        <v>0.608047623388247</v>
      </c>
      <c r="E341" s="5" t="n">
        <f aca="false">STDEV(C330:C341)</f>
        <v>2.3458256896557</v>
      </c>
    </row>
    <row r="342" customFormat="false" ht="15" hidden="false" customHeight="false" outlineLevel="0" collapsed="false">
      <c r="A342" s="5" t="s">
        <v>363</v>
      </c>
      <c r="B342" s="5" t="n">
        <v>1303</v>
      </c>
      <c r="C342" s="5" t="n">
        <f aca="false">LN(B342/B341)*100</f>
        <v>-2.42619937095048</v>
      </c>
      <c r="D342" s="5" t="n">
        <f aca="false">STDEV(C340:C342)</f>
        <v>1.60454058768344</v>
      </c>
      <c r="E342" s="5" t="n">
        <f aca="false">STDEV(C331:C342)</f>
        <v>2.41651805839078</v>
      </c>
    </row>
    <row r="343" customFormat="false" ht="15" hidden="false" customHeight="false" outlineLevel="0" collapsed="false">
      <c r="A343" s="5" t="s">
        <v>364</v>
      </c>
      <c r="B343" s="5" t="n">
        <v>1282</v>
      </c>
      <c r="C343" s="5" t="n">
        <f aca="false">LN(B343/B342)*100</f>
        <v>-1.62479396442298</v>
      </c>
      <c r="D343" s="5" t="n">
        <f aca="false">STDEV(C341:C343)</f>
        <v>1.65282859855687</v>
      </c>
      <c r="E343" s="5" t="n">
        <f aca="false">STDEV(C332:C343)</f>
        <v>2.4687938470589</v>
      </c>
    </row>
    <row r="344" customFormat="false" ht="15" hidden="false" customHeight="false" outlineLevel="0" collapsed="false">
      <c r="A344" s="5" t="s">
        <v>365</v>
      </c>
      <c r="B344" s="5" t="n">
        <v>1238</v>
      </c>
      <c r="C344" s="5" t="n">
        <f aca="false">LN(B344/B343)*100</f>
        <v>-3.4924184236074</v>
      </c>
      <c r="D344" s="5" t="n">
        <f aca="false">STDEV(C342:C344)</f>
        <v>0.936936036095317</v>
      </c>
      <c r="E344" s="5" t="n">
        <f aca="false">STDEV(C333:C344)</f>
        <v>2.63018440709851</v>
      </c>
    </row>
    <row r="345" customFormat="false" ht="15" hidden="false" customHeight="false" outlineLevel="0" collapsed="false">
      <c r="A345" s="5" t="s">
        <v>366</v>
      </c>
      <c r="B345" s="5" t="n">
        <v>1202</v>
      </c>
      <c r="C345" s="5" t="n">
        <f aca="false">LN(B345/B344)*100</f>
        <v>-2.95103381493886</v>
      </c>
      <c r="D345" s="5" t="n">
        <f aca="false">STDEV(C343:C345)</f>
        <v>0.960905003641833</v>
      </c>
      <c r="E345" s="5" t="n">
        <f aca="false">STDEV(C334:C345)</f>
        <v>2.48505308515555</v>
      </c>
    </row>
    <row r="346" customFormat="false" ht="15" hidden="false" customHeight="false" outlineLevel="0" collapsed="false">
      <c r="A346" s="5" t="s">
        <v>367</v>
      </c>
      <c r="B346" s="5" t="n">
        <v>1198</v>
      </c>
      <c r="C346" s="5" t="n">
        <f aca="false">LN(B346/B345)*100</f>
        <v>-0.333333641975823</v>
      </c>
      <c r="D346" s="5" t="n">
        <f aca="false">STDEV(C344:C346)</f>
        <v>1.68944113775187</v>
      </c>
      <c r="E346" s="5" t="n">
        <f aca="false">STDEV(C335:C346)</f>
        <v>2.31137975554803</v>
      </c>
    </row>
    <row r="347" customFormat="false" ht="15" hidden="false" customHeight="false" outlineLevel="0" collapsed="false">
      <c r="A347" s="5" t="s">
        <v>368</v>
      </c>
      <c r="B347" s="5" t="n">
        <v>1215</v>
      </c>
      <c r="C347" s="5" t="n">
        <f aca="false">LN(B347/B346)*100</f>
        <v>1.40905770992541</v>
      </c>
      <c r="D347" s="5" t="n">
        <f aca="false">STDEV(C345:C347)</f>
        <v>2.19464043842813</v>
      </c>
      <c r="E347" s="5" t="n">
        <f aca="false">STDEV(C336:C347)</f>
        <v>2.31074240605052</v>
      </c>
    </row>
    <row r="348" customFormat="false" ht="15" hidden="false" customHeight="false" outlineLevel="0" collapsed="false">
      <c r="A348" s="5" t="s">
        <v>369</v>
      </c>
      <c r="B348" s="5" t="n">
        <v>1221</v>
      </c>
      <c r="C348" s="5" t="n">
        <f aca="false">LN(B348/B347)*100</f>
        <v>0.492611833605578</v>
      </c>
      <c r="D348" s="5" t="n">
        <f aca="false">STDEV(C346:C348)</f>
        <v>0.871587306397283</v>
      </c>
      <c r="E348" s="5" t="n">
        <f aca="false">STDEV(C337:C348)</f>
        <v>2.32057908703143</v>
      </c>
    </row>
    <row r="349" customFormat="false" ht="15" hidden="false" customHeight="false" outlineLevel="0" collapsed="false">
      <c r="A349" s="5" t="s">
        <v>370</v>
      </c>
      <c r="B349" s="5" t="n">
        <v>1250</v>
      </c>
      <c r="C349" s="5" t="n">
        <f aca="false">LN(B349/B348)*100</f>
        <v>2.34733561856421</v>
      </c>
      <c r="D349" s="5" t="n">
        <f aca="false">STDEV(C347:C349)</f>
        <v>0.927383307713561</v>
      </c>
      <c r="E349" s="5" t="n">
        <f aca="false">STDEV(C338:C349)</f>
        <v>2.42381592199141</v>
      </c>
    </row>
    <row r="350" customFormat="false" ht="15" hidden="false" customHeight="false" outlineLevel="0" collapsed="false">
      <c r="A350" s="5" t="s">
        <v>371</v>
      </c>
      <c r="B350" s="5" t="n">
        <v>1292</v>
      </c>
      <c r="C350" s="5" t="n">
        <f aca="false">LN(B350/B349)*100</f>
        <v>3.30478540462004</v>
      </c>
      <c r="D350" s="5" t="n">
        <f aca="false">STDEV(C348:C350)</f>
        <v>1.42974535056782</v>
      </c>
      <c r="E350" s="5" t="n">
        <f aca="false">STDEV(C339:C350)</f>
        <v>2.09404444996019</v>
      </c>
    </row>
    <row r="351" customFormat="false" ht="15" hidden="false" customHeight="false" outlineLevel="0" collapsed="false">
      <c r="A351" s="5" t="s">
        <v>372</v>
      </c>
      <c r="B351" s="5" t="n">
        <v>1320</v>
      </c>
      <c r="C351" s="5" t="n">
        <f aca="false">LN(B351/B350)*100</f>
        <v>2.14403312378694</v>
      </c>
      <c r="D351" s="5" t="n">
        <f aca="false">STDEV(C349:C351)</f>
        <v>0.619863944031306</v>
      </c>
      <c r="E351" s="5" t="n">
        <f aca="false">STDEV(C340:C351)</f>
        <v>2.20560738731496</v>
      </c>
    </row>
    <row r="352" customFormat="false" ht="15" hidden="false" customHeight="false" outlineLevel="0" collapsed="false">
      <c r="A352" s="5" t="s">
        <v>373</v>
      </c>
      <c r="B352" s="5" t="n">
        <v>1301</v>
      </c>
      <c r="C352" s="5" t="n">
        <f aca="false">LN(B352/B351)*100</f>
        <v>-1.44985370679113</v>
      </c>
      <c r="D352" s="5" t="n">
        <f aca="false">STDEV(C350:C352)</f>
        <v>2.47890975660076</v>
      </c>
      <c r="E352" s="5" t="n">
        <f aca="false">STDEV(C341:C352)</f>
        <v>2.23989930189827</v>
      </c>
    </row>
    <row r="353" customFormat="false" ht="15" hidden="false" customHeight="false" outlineLevel="0" collapsed="false">
      <c r="A353" s="5" t="s">
        <v>374</v>
      </c>
      <c r="B353" s="5" t="n">
        <v>1286</v>
      </c>
      <c r="C353" s="5" t="n">
        <f aca="false">LN(B353/B352)*100</f>
        <v>-1.15965737149405</v>
      </c>
      <c r="D353" s="5" t="n">
        <f aca="false">STDEV(C351:C353)</f>
        <v>1.99643880249443</v>
      </c>
      <c r="E353" s="5" t="n">
        <f aca="false">STDEV(C342:C353)</f>
        <v>2.23771913974025</v>
      </c>
    </row>
    <row r="354" customFormat="false" ht="15" hidden="false" customHeight="false" outlineLevel="0" collapsed="false">
      <c r="A354" s="5" t="s">
        <v>375</v>
      </c>
      <c r="B354" s="5" t="n">
        <v>1284</v>
      </c>
      <c r="C354" s="5" t="n">
        <f aca="false">LN(B354/B353)*100</f>
        <v>-0.15564205476582</v>
      </c>
      <c r="D354" s="5" t="n">
        <f aca="false">STDEV(C352:C354)</f>
        <v>0.679122530608778</v>
      </c>
      <c r="E354" s="5" t="n">
        <f aca="false">STDEV(C343:C354)</f>
        <v>2.13636331801863</v>
      </c>
    </row>
    <row r="355" customFormat="false" ht="15" hidden="false" customHeight="false" outlineLevel="0" collapsed="false">
      <c r="A355" s="5" t="s">
        <v>376</v>
      </c>
      <c r="B355" s="5" t="n">
        <v>1359</v>
      </c>
      <c r="C355" s="5" t="n">
        <f aca="false">LN(B355/B354)*100</f>
        <v>5.67689299012372</v>
      </c>
      <c r="D355" s="5" t="n">
        <f aca="false">STDEV(C353:C355)</f>
        <v>3.69154287195805</v>
      </c>
      <c r="E355" s="5" t="n">
        <f aca="false">STDEV(C344:C355)</f>
        <v>2.64809346543754</v>
      </c>
    </row>
    <row r="356" customFormat="false" ht="15" hidden="false" customHeight="false" outlineLevel="0" collapsed="false">
      <c r="A356" s="5" t="s">
        <v>377</v>
      </c>
      <c r="B356" s="5" t="n">
        <v>1413</v>
      </c>
      <c r="C356" s="5" t="n">
        <f aca="false">LN(B356/B355)*100</f>
        <v>3.89659685333837</v>
      </c>
      <c r="D356" s="5" t="n">
        <f aca="false">STDEV(C354:C356)</f>
        <v>2.98910687756033</v>
      </c>
      <c r="E356" s="5" t="n">
        <f aca="false">STDEV(C345:C356)</f>
        <v>2.49344583583719</v>
      </c>
    </row>
    <row r="357" customFormat="false" ht="15" hidden="false" customHeight="false" outlineLevel="0" collapsed="false">
      <c r="A357" s="5" t="s">
        <v>378</v>
      </c>
      <c r="B357" s="5" t="n">
        <v>1500</v>
      </c>
      <c r="C357" s="5" t="n">
        <f aca="false">LN(B357/B356)*100</f>
        <v>5.9750004405774</v>
      </c>
      <c r="D357" s="5" t="n">
        <f aca="false">STDEV(C355:C357)</f>
        <v>1.12383894591388</v>
      </c>
      <c r="E357" s="5" t="n">
        <f aca="false">STDEV(C346:C357)</f>
        <v>2.50586257639681</v>
      </c>
    </row>
    <row r="358" customFormat="false" ht="15" hidden="false" customHeight="false" outlineLevel="0" collapsed="false">
      <c r="A358" s="5" t="s">
        <v>379</v>
      </c>
      <c r="B358" s="5" t="n">
        <v>1511</v>
      </c>
      <c r="C358" s="5" t="n">
        <f aca="false">LN(B358/B357)*100</f>
        <v>0.730657518243822</v>
      </c>
      <c r="D358" s="5" t="n">
        <f aca="false">STDEV(C356:C358)</f>
        <v>2.64089839612638</v>
      </c>
      <c r="E358" s="5" t="n">
        <f aca="false">STDEV(C347:C358)</f>
        <v>2.43970403761918</v>
      </c>
    </row>
    <row r="359" customFormat="false" ht="15" hidden="false" customHeight="false" outlineLevel="0" collapsed="false">
      <c r="A359" s="5" t="s">
        <v>380</v>
      </c>
      <c r="B359" s="5" t="n">
        <v>1495</v>
      </c>
      <c r="C359" s="5" t="n">
        <f aca="false">LN(B359/B358)*100</f>
        <v>-1.06454764479528</v>
      </c>
      <c r="D359" s="5" t="n">
        <f aca="false">STDEV(C357:C359)</f>
        <v>3.65789400955219</v>
      </c>
      <c r="E359" s="5" t="n">
        <f aca="false">STDEV(C348:C359)</f>
        <v>2.58810421734214</v>
      </c>
    </row>
    <row r="360" customFormat="false" ht="15" hidden="false" customHeight="false" outlineLevel="0" collapsed="false">
      <c r="A360" s="5" t="s">
        <v>381</v>
      </c>
      <c r="B360" s="5" t="n">
        <v>1471</v>
      </c>
      <c r="C360" s="5" t="n">
        <f aca="false">LN(B360/B359)*100</f>
        <v>-1.61837652233493</v>
      </c>
      <c r="D360" s="5" t="n">
        <f aca="false">STDEV(C358:C360)</f>
        <v>1.22796911787965</v>
      </c>
      <c r="E360" s="5" t="n">
        <f aca="false">STDEV(C349:C360)</f>
        <v>2.74661100869107</v>
      </c>
    </row>
    <row r="361" customFormat="false" ht="15" hidden="false" customHeight="false" outlineLevel="0" collapsed="false">
      <c r="A361" s="5" t="s">
        <v>382</v>
      </c>
      <c r="B361" s="5" t="n">
        <v>1479</v>
      </c>
      <c r="C361" s="5" t="n">
        <f aca="false">LN(B361/B360)*100</f>
        <v>0.542374210936236</v>
      </c>
      <c r="D361" s="5" t="n">
        <f aca="false">STDEV(C359:C361)</f>
        <v>1.12233150237621</v>
      </c>
      <c r="E361" s="5" t="n">
        <f aca="false">STDEV(C350:C361)</f>
        <v>2.74853444318441</v>
      </c>
    </row>
    <row r="362" customFormat="false" ht="15" hidden="false" customHeight="false" outlineLevel="0" collapsed="false">
      <c r="A362" s="5" t="s">
        <v>383</v>
      </c>
      <c r="B362" s="5" t="n">
        <v>1561</v>
      </c>
      <c r="C362" s="5" t="n">
        <f aca="false">LN(B362/B361)*100</f>
        <v>5.39604578046322</v>
      </c>
      <c r="D362" s="5" t="n">
        <f aca="false">STDEV(C360:C362)</f>
        <v>3.59233191854907</v>
      </c>
      <c r="E362" s="5" t="n">
        <f aca="false">STDEV(C351:C362)</f>
        <v>2.93980247757282</v>
      </c>
    </row>
    <row r="363" customFormat="false" ht="15" hidden="false" customHeight="false" outlineLevel="0" collapsed="false">
      <c r="A363" s="5" t="s">
        <v>384</v>
      </c>
      <c r="B363" s="5" t="n">
        <v>1597</v>
      </c>
      <c r="C363" s="5" t="n">
        <f aca="false">LN(B363/B362)*100</f>
        <v>2.28002276995805</v>
      </c>
      <c r="D363" s="5" t="n">
        <f aca="false">STDEV(C361:C363)</f>
        <v>2.45923936822963</v>
      </c>
      <c r="E363" s="5" t="n">
        <f aca="false">STDEV(C352:C363)</f>
        <v>2.94245159808998</v>
      </c>
    </row>
    <row r="364" customFormat="false" ht="15" hidden="false" customHeight="false" outlineLevel="0" collapsed="false">
      <c r="A364" s="5" t="s">
        <v>385</v>
      </c>
      <c r="B364" s="5" t="n">
        <v>1592</v>
      </c>
      <c r="C364" s="5" t="n">
        <f aca="false">LN(B364/B363)*100</f>
        <v>-0.313578181068406</v>
      </c>
      <c r="D364" s="5" t="n">
        <f aca="false">STDEV(C362:C364)</f>
        <v>2.85879260869746</v>
      </c>
      <c r="E364" s="5" t="n">
        <f aca="false">STDEV(C353:C364)</f>
        <v>2.85273895279035</v>
      </c>
    </row>
    <row r="365" customFormat="false" ht="15" hidden="false" customHeight="false" outlineLevel="0" collapsed="false">
      <c r="A365" s="5" t="s">
        <v>386</v>
      </c>
      <c r="B365" s="5" t="n">
        <v>1683</v>
      </c>
      <c r="C365" s="5" t="n">
        <f aca="false">LN(B365/B364)*100</f>
        <v>5.55868277864778</v>
      </c>
      <c r="D365" s="5" t="n">
        <f aca="false">STDEV(C363:C365)</f>
        <v>2.94278287014048</v>
      </c>
      <c r="E365" s="5" t="n">
        <f aca="false">STDEV(C354:C365)</f>
        <v>2.90312720829481</v>
      </c>
    </row>
    <row r="366" customFormat="false" ht="15" hidden="false" customHeight="false" outlineLevel="0" collapsed="false">
      <c r="A366" s="5" t="s">
        <v>387</v>
      </c>
      <c r="B366" s="5" t="n">
        <v>1716</v>
      </c>
      <c r="C366" s="5" t="n">
        <f aca="false">LN(B366/B365)*100</f>
        <v>1.94180858571015</v>
      </c>
      <c r="D366" s="5" t="n">
        <f aca="false">STDEV(C364:C366)</f>
        <v>2.96231883199364</v>
      </c>
      <c r="E366" s="5" t="n">
        <f aca="false">STDEV(C355:C366)</f>
        <v>2.80720497657597</v>
      </c>
    </row>
    <row r="367" customFormat="false" ht="15" hidden="false" customHeight="false" outlineLevel="0" collapsed="false">
      <c r="A367" s="5" t="s">
        <v>388</v>
      </c>
      <c r="B367" s="5" t="n">
        <v>1732</v>
      </c>
      <c r="C367" s="5" t="n">
        <f aca="false">LN(B367/B366)*100</f>
        <v>0.928080907447278</v>
      </c>
      <c r="D367" s="5" t="n">
        <f aca="false">STDEV(C365:C367)</f>
        <v>2.43419721273017</v>
      </c>
      <c r="E367" s="5" t="n">
        <f aca="false">STDEV(C356:C367)</f>
        <v>2.63530559965994</v>
      </c>
    </row>
    <row r="368" customFormat="false" ht="15" hidden="false" customHeight="false" outlineLevel="0" collapsed="false">
      <c r="A368" s="5" t="s">
        <v>389</v>
      </c>
      <c r="B368" s="5" t="n">
        <v>1847</v>
      </c>
      <c r="C368" s="5" t="n">
        <f aca="false">LN(B368/B367)*100</f>
        <v>6.42858910768596</v>
      </c>
      <c r="D368" s="5" t="n">
        <f aca="false">STDEV(C366:C368)</f>
        <v>2.92729777892373</v>
      </c>
      <c r="E368" s="5" t="n">
        <f aca="false">STDEV(C357:C368)</f>
        <v>2.88834015264813</v>
      </c>
    </row>
    <row r="369" customFormat="false" ht="15" hidden="false" customHeight="false" outlineLevel="0" collapsed="false">
      <c r="A369" s="5" t="s">
        <v>390</v>
      </c>
      <c r="B369" s="5" t="n">
        <v>1969</v>
      </c>
      <c r="C369" s="5" t="n">
        <f aca="false">LN(B369/B368)*100</f>
        <v>6.39630984398855</v>
      </c>
      <c r="D369" s="5" t="n">
        <f aca="false">STDEV(C367:C369)</f>
        <v>3.16644280210947</v>
      </c>
      <c r="E369" s="5" t="n">
        <f aca="false">STDEV(C358:C369)</f>
        <v>2.9400707511655</v>
      </c>
    </row>
    <row r="370" customFormat="false" ht="15" hidden="false" customHeight="false" outlineLevel="0" collapsed="false">
      <c r="A370" s="5" t="s">
        <v>391</v>
      </c>
      <c r="B370" s="5" t="n">
        <v>1922</v>
      </c>
      <c r="C370" s="5" t="n">
        <f aca="false">LN(B370/B369)*100</f>
        <v>-2.41594891088877</v>
      </c>
      <c r="D370" s="5" t="n">
        <f aca="false">STDEV(C368:C370)</f>
        <v>5.09710373767611</v>
      </c>
      <c r="E370" s="5" t="n">
        <f aca="false">STDEV(C359:C370)</f>
        <v>3.2168565871079</v>
      </c>
    </row>
    <row r="371" customFormat="false" ht="15" hidden="false" customHeight="false" outlineLevel="0" collapsed="false">
      <c r="A371" s="5" t="s">
        <v>392</v>
      </c>
      <c r="B371" s="5" t="n">
        <v>1900</v>
      </c>
      <c r="C371" s="5" t="n">
        <f aca="false">LN(B371/B370)*100</f>
        <v>-1.15124243757059</v>
      </c>
      <c r="D371" s="5" t="n">
        <f aca="false">STDEV(C369:C371)</f>
        <v>4.76481780465657</v>
      </c>
      <c r="E371" s="5" t="n">
        <f aca="false">STDEV(C360:C371)</f>
        <v>3.2244652665613</v>
      </c>
    </row>
    <row r="372" customFormat="false" ht="15" hidden="false" customHeight="false" outlineLevel="0" collapsed="false">
      <c r="A372" s="5" t="s">
        <v>393</v>
      </c>
      <c r="B372" s="5" t="n">
        <v>1866</v>
      </c>
      <c r="C372" s="5" t="n">
        <f aca="false">LN(B372/B371)*100</f>
        <v>-1.80567837472427</v>
      </c>
      <c r="D372" s="5" t="n">
        <f aca="false">STDEV(C370:C372)</f>
        <v>0.632481750303468</v>
      </c>
      <c r="E372" s="5" t="n">
        <f aca="false">STDEV(C361:C372)</f>
        <v>3.24395527994197</v>
      </c>
    </row>
    <row r="373" customFormat="false" ht="15" hidden="false" customHeight="false" outlineLevel="0" collapsed="false">
      <c r="A373" s="5" t="s">
        <v>394</v>
      </c>
      <c r="B373" s="5" t="n">
        <v>1858</v>
      </c>
      <c r="C373" s="5" t="n">
        <f aca="false">LN(B373/B372)*100</f>
        <v>-0.429646203350534</v>
      </c>
      <c r="D373" s="5" t="n">
        <f aca="false">STDEV(C371:C373)</f>
        <v>0.688289190400652</v>
      </c>
      <c r="E373" s="5" t="n">
        <f aca="false">STDEV(C362:C373)</f>
        <v>3.29490959513705</v>
      </c>
    </row>
    <row r="374" customFormat="false" ht="15" hidden="false" customHeight="false" outlineLevel="0" collapsed="false">
      <c r="A374" s="5" t="s">
        <v>395</v>
      </c>
      <c r="B374" s="5" t="n">
        <v>1867</v>
      </c>
      <c r="C374" s="5" t="n">
        <f aca="false">LN(B374/B373)*100</f>
        <v>0.48322241679387</v>
      </c>
      <c r="D374" s="5" t="n">
        <f aca="false">STDEV(C372:C374)</f>
        <v>1.1522340971429</v>
      </c>
      <c r="E374" s="5" t="n">
        <f aca="false">STDEV(C363:C374)</f>
        <v>3.1218487264072</v>
      </c>
    </row>
    <row r="375" customFormat="false" ht="15" hidden="false" customHeight="false" outlineLevel="0" collapsed="false">
      <c r="A375" s="5" t="s">
        <v>396</v>
      </c>
      <c r="B375" s="5" t="n">
        <v>1808</v>
      </c>
      <c r="C375" s="5" t="n">
        <f aca="false">LN(B375/B374)*100</f>
        <v>-3.21116025896009</v>
      </c>
      <c r="D375" s="5" t="n">
        <f aca="false">STDEV(C373:C375)</f>
        <v>1.92434460332641</v>
      </c>
      <c r="E375" s="5" t="n">
        <f aca="false">STDEV(C364:C375)</f>
        <v>3.38698339723488</v>
      </c>
    </row>
    <row r="376" customFormat="false" ht="15" hidden="false" customHeight="false" outlineLevel="0" collapsed="false">
      <c r="A376" s="5" t="s">
        <v>397</v>
      </c>
      <c r="B376" s="5" t="n">
        <v>1718</v>
      </c>
      <c r="C376" s="5" t="n">
        <f aca="false">LN(B376/B375)*100</f>
        <v>-5.10604384079211</v>
      </c>
      <c r="D376" s="5" t="n">
        <f aca="false">STDEV(C374:C376)</f>
        <v>2.84250313520193</v>
      </c>
      <c r="E376" s="5" t="n">
        <f aca="false">STDEV(C365:C376)</f>
        <v>3.81575163131467</v>
      </c>
    </row>
    <row r="377" customFormat="false" ht="15" hidden="false" customHeight="false" outlineLevel="0" collapsed="false">
      <c r="A377" s="5" t="s">
        <v>398</v>
      </c>
      <c r="B377" s="5" t="n">
        <v>1760</v>
      </c>
      <c r="C377" s="5" t="n">
        <f aca="false">LN(B377/B376)*100</f>
        <v>2.41529854879969</v>
      </c>
      <c r="D377" s="5" t="n">
        <f aca="false">STDEV(C375:C377)</f>
        <v>3.91190946226146</v>
      </c>
      <c r="E377" s="5" t="n">
        <f aca="false">STDEV(C366:C377)</f>
        <v>3.54530913596436</v>
      </c>
    </row>
    <row r="378" customFormat="false" ht="15" hidden="false" customHeight="false" outlineLevel="0" collapsed="false">
      <c r="A378" s="5" t="s">
        <v>399</v>
      </c>
      <c r="B378" s="5" t="n">
        <v>1850</v>
      </c>
      <c r="C378" s="5" t="n">
        <f aca="false">LN(B378/B377)*100</f>
        <v>4.98718300401729</v>
      </c>
      <c r="D378" s="5" t="n">
        <f aca="false">STDEV(C376:C378)</f>
        <v>5.24497234077934</v>
      </c>
      <c r="E378" s="5" t="n">
        <f aca="false">STDEV(C367:C378)</f>
        <v>3.76972719943844</v>
      </c>
    </row>
    <row r="379" customFormat="false" ht="15" hidden="false" customHeight="false" outlineLevel="0" collapsed="false">
      <c r="A379" s="5" t="s">
        <v>400</v>
      </c>
      <c r="B379" s="5" t="n">
        <v>1835</v>
      </c>
      <c r="C379" s="5" t="n">
        <f aca="false">LN(B379/B378)*100</f>
        <v>-0.814115758369989</v>
      </c>
      <c r="D379" s="5" t="n">
        <f aca="false">STDEV(C377:C379)</f>
        <v>2.90685321693461</v>
      </c>
      <c r="E379" s="5" t="n">
        <f aca="false">STDEV(C368:C379)</f>
        <v>3.79055092997338</v>
      </c>
    </row>
    <row r="380" customFormat="false" ht="15" hidden="false" customHeight="false" outlineLevel="0" collapsed="false">
      <c r="A380" s="5" t="s">
        <v>401</v>
      </c>
      <c r="B380" s="5" t="n">
        <v>1808</v>
      </c>
      <c r="C380" s="5" t="n">
        <f aca="false">LN(B380/B379)*100</f>
        <v>-1.48232195365488</v>
      </c>
      <c r="D380" s="5" t="n">
        <f aca="false">STDEV(C378:C380)</f>
        <v>3.55799712495758</v>
      </c>
      <c r="E380" s="5" t="n">
        <f aca="false">STDEV(C369:C380)</f>
        <v>3.32104765361947</v>
      </c>
    </row>
    <row r="381" customFormat="false" ht="15" hidden="false" customHeight="false" outlineLevel="0" collapsed="false">
      <c r="A381" s="5" t="s">
        <v>402</v>
      </c>
      <c r="B381" s="5" t="n">
        <v>1785</v>
      </c>
      <c r="C381" s="5" t="n">
        <f aca="false">LN(B381/B380)*100</f>
        <v>-1.28028467383824</v>
      </c>
      <c r="D381" s="5" t="n">
        <f aca="false">STDEV(C379:C381)</f>
        <v>0.342693264110844</v>
      </c>
      <c r="E381" s="5" t="n">
        <f aca="false">STDEV(C370:C381)</f>
        <v>2.60083809996938</v>
      </c>
    </row>
    <row r="382" customFormat="false" ht="15" hidden="false" customHeight="false" outlineLevel="0" collapsed="false">
      <c r="A382" s="5" t="s">
        <v>403</v>
      </c>
      <c r="B382" s="5" t="n">
        <v>1775</v>
      </c>
      <c r="C382" s="5" t="n">
        <f aca="false">LN(B382/B381)*100</f>
        <v>-0.561799230422326</v>
      </c>
      <c r="D382" s="5" t="n">
        <f aca="false">STDEV(C380:C382)</f>
        <v>0.483804795143618</v>
      </c>
      <c r="E382" s="5" t="n">
        <f aca="false">STDEV(C371:C382)</f>
        <v>2.55186259874576</v>
      </c>
    </row>
    <row r="383" customFormat="false" ht="15" hidden="false" customHeight="false" outlineLevel="0" collapsed="false">
      <c r="A383" s="5" t="s">
        <v>404</v>
      </c>
      <c r="B383" s="5" t="n">
        <v>1777</v>
      </c>
      <c r="C383" s="5" t="n">
        <f aca="false">LN(B383/B382)*100</f>
        <v>0.112612624513512</v>
      </c>
      <c r="D383" s="5" t="n">
        <f aca="false">STDEV(C381:C383)</f>
        <v>0.696564852955099</v>
      </c>
      <c r="E383" s="5" t="n">
        <f aca="false">STDEV(C372:C383)</f>
        <v>2.55595983454599</v>
      </c>
    </row>
    <row r="384" customFormat="false" ht="15" hidden="false" customHeight="false" outlineLevel="0" collapsed="false">
      <c r="A384" s="5" t="s">
        <v>405</v>
      </c>
      <c r="B384" s="5" t="n">
        <v>1822</v>
      </c>
      <c r="C384" s="5" t="n">
        <f aca="false">LN(B384/B383)*100</f>
        <v>2.50082496652523</v>
      </c>
      <c r="D384" s="5" t="n">
        <f aca="false">STDEV(C382:C384)</f>
        <v>1.60924705542394</v>
      </c>
      <c r="E384" s="5" t="n">
        <f aca="false">STDEV(C373:C384)</f>
        <v>2.66482311042974</v>
      </c>
    </row>
    <row r="385" customFormat="false" ht="15" hidden="false" customHeight="false" outlineLevel="0" collapsed="false">
      <c r="A385" s="5" t="s">
        <v>406</v>
      </c>
      <c r="B385" s="5" t="n">
        <v>1790</v>
      </c>
      <c r="C385" s="5" t="n">
        <f aca="false">LN(B385/B384)*100</f>
        <v>-1.77191789851029</v>
      </c>
      <c r="D385" s="5" t="n">
        <f aca="false">STDEV(C383:C385)</f>
        <v>2.14131365729301</v>
      </c>
      <c r="E385" s="5" t="n">
        <f aca="false">STDEV(C374:C385)</f>
        <v>2.70328473821082</v>
      </c>
    </row>
    <row r="386" customFormat="false" ht="15" hidden="false" customHeight="false" outlineLevel="0" collapsed="false">
      <c r="A386" s="5" t="s">
        <v>407</v>
      </c>
      <c r="B386" s="5" t="n">
        <v>1816</v>
      </c>
      <c r="C386" s="5" t="n">
        <f aca="false">LN(B386/B385)*100</f>
        <v>1.4420660326438</v>
      </c>
      <c r="D386" s="5" t="n">
        <f aca="false">STDEV(C384:C386)</f>
        <v>2.22512152404097</v>
      </c>
      <c r="E386" s="5" t="n">
        <f aca="false">STDEV(C375:C386)</f>
        <v>2.74276750273356</v>
      </c>
    </row>
    <row r="387" customFormat="false" ht="15" hidden="false" customHeight="false" outlineLevel="0" collapsed="false">
      <c r="A387" s="5" t="s">
        <v>408</v>
      </c>
      <c r="B387" s="5" t="n">
        <v>1856</v>
      </c>
      <c r="C387" s="5" t="n">
        <f aca="false">LN(B387/B386)*100</f>
        <v>2.17873541849072</v>
      </c>
      <c r="D387" s="5" t="n">
        <f aca="false">STDEV(C385:C387)</f>
        <v>2.100794933864</v>
      </c>
      <c r="E387" s="5" t="n">
        <f aca="false">STDEV(C376:C387)</f>
        <v>2.65009366648102</v>
      </c>
    </row>
    <row r="388" customFormat="false" ht="15" hidden="false" customHeight="false" outlineLevel="0" collapsed="false">
      <c r="A388" s="5" t="s">
        <v>409</v>
      </c>
      <c r="B388" s="5" t="n">
        <v>1948</v>
      </c>
      <c r="C388" s="5" t="n">
        <f aca="false">LN(B388/B387)*100</f>
        <v>4.83795708563345</v>
      </c>
      <c r="D388" s="5" t="n">
        <f aca="false">STDEV(C386:C388)</f>
        <v>1.78634719016305</v>
      </c>
      <c r="E388" s="5" t="n">
        <f aca="false">STDEV(C377:C388)</f>
        <v>2.37418380461931</v>
      </c>
    </row>
    <row r="389" customFormat="false" ht="15" hidden="false" customHeight="false" outlineLevel="0" collapsed="false">
      <c r="A389" s="5" t="s">
        <v>410</v>
      </c>
      <c r="B389" s="5" t="n">
        <v>1937</v>
      </c>
      <c r="C389" s="5" t="n">
        <f aca="false">LN(B389/B388)*100</f>
        <v>-0.566282079548452</v>
      </c>
      <c r="D389" s="5" t="n">
        <f aca="false">STDEV(C387:C389)</f>
        <v>2.70223308561729</v>
      </c>
      <c r="E389" s="5" t="n">
        <f aca="false">STDEV(C378:C389)</f>
        <v>2.37398732541712</v>
      </c>
    </row>
    <row r="390" customFormat="false" ht="15" hidden="false" customHeight="false" outlineLevel="0" collapsed="false">
      <c r="A390" s="5" t="s">
        <v>411</v>
      </c>
      <c r="B390" s="5" t="n">
        <v>1849</v>
      </c>
      <c r="C390" s="5" t="n">
        <f aca="false">LN(B390/B389)*100</f>
        <v>-4.6495432019871</v>
      </c>
      <c r="D390" s="5" t="n">
        <f aca="false">STDEV(C388:C390)</f>
        <v>4.75905249771606</v>
      </c>
      <c r="E390" s="5" t="n">
        <f aca="false">STDEV(C379:C390)</f>
        <v>2.45675812274137</v>
      </c>
    </row>
    <row r="391" customFormat="false" ht="15" hidden="false" customHeight="false" outlineLevel="0" collapsed="false">
      <c r="A391" s="5" t="s">
        <v>412</v>
      </c>
      <c r="B391" s="5" t="n">
        <v>1837</v>
      </c>
      <c r="C391" s="5" t="n">
        <f aca="false">LN(B391/B390)*100</f>
        <v>-0.651114617199923</v>
      </c>
      <c r="D391" s="5" t="n">
        <f aca="false">STDEV(C389:C391)</f>
        <v>2.33336842001381</v>
      </c>
      <c r="E391" s="5" t="n">
        <f aca="false">STDEV(C380:C391)</f>
        <v>2.45232145580026</v>
      </c>
    </row>
    <row r="392" customFormat="false" ht="15" hidden="false" customHeight="false" outlineLevel="0" collapsed="false">
      <c r="A392" s="5" t="s">
        <v>413</v>
      </c>
      <c r="B392" s="5" t="n">
        <v>1733</v>
      </c>
      <c r="C392" s="5" t="n">
        <f aca="false">LN(B392/B391)*100</f>
        <v>-5.82797954995195</v>
      </c>
      <c r="D392" s="5" t="n">
        <f aca="false">STDEV(C390:C392)</f>
        <v>2.71342569168587</v>
      </c>
      <c r="E392" s="5" t="n">
        <f aca="false">STDEV(C381:C392)</f>
        <v>2.96074195069386</v>
      </c>
    </row>
    <row r="393" customFormat="false" ht="15" hidden="false" customHeight="false" outlineLevel="0" collapsed="false">
      <c r="A393" s="5" t="s">
        <v>414</v>
      </c>
      <c r="B393" s="5" t="n">
        <v>1765</v>
      </c>
      <c r="C393" s="5" t="n">
        <f aca="false">LN(B393/B392)*100</f>
        <v>1.8296679651791</v>
      </c>
      <c r="D393" s="5" t="n">
        <f aca="false">STDEV(C391:C393)</f>
        <v>3.90712550389212</v>
      </c>
      <c r="E393" s="5" t="n">
        <f aca="false">STDEV(C382:C393)</f>
        <v>3.00793641932561</v>
      </c>
    </row>
    <row r="394" customFormat="false" ht="15" hidden="false" customHeight="false" outlineLevel="0" collapsed="false">
      <c r="A394" s="5" t="s">
        <v>415</v>
      </c>
      <c r="B394" s="5" t="n">
        <v>1681</v>
      </c>
      <c r="C394" s="5" t="n">
        <f aca="false">LN(B394/B393)*100</f>
        <v>-4.87618359587815</v>
      </c>
      <c r="D394" s="5" t="n">
        <f aca="false">STDEV(C392:C394)</f>
        <v>4.17360607794423</v>
      </c>
      <c r="E394" s="5" t="n">
        <f aca="false">STDEV(C383:C394)</f>
        <v>3.31147678736145</v>
      </c>
    </row>
    <row r="395" customFormat="false" ht="15" hidden="false" customHeight="false" outlineLevel="0" collapsed="false">
      <c r="A395" s="5" t="s">
        <v>416</v>
      </c>
      <c r="B395" s="5" t="n">
        <v>1664</v>
      </c>
      <c r="C395" s="5" t="n">
        <f aca="false">LN(B395/B394)*100</f>
        <v>-1.01645120274618</v>
      </c>
      <c r="D395" s="5" t="n">
        <f aca="false">STDEV(C393:C395)</f>
        <v>3.36566916634117</v>
      </c>
      <c r="E395" s="5" t="n">
        <f aca="false">STDEV(C384:C395)</f>
        <v>3.30997144682071</v>
      </c>
    </row>
    <row r="396" customFormat="false" ht="15" hidden="false" customHeight="false" outlineLevel="0" collapsed="false">
      <c r="A396" s="5" t="s">
        <v>417</v>
      </c>
      <c r="B396" s="5" t="n">
        <v>1725</v>
      </c>
      <c r="C396" s="5" t="n">
        <f aca="false">LN(B396/B395)*100</f>
        <v>3.60027080843061</v>
      </c>
      <c r="D396" s="5" t="n">
        <f aca="false">STDEV(C394:C396)</f>
        <v>4.24385704172125</v>
      </c>
      <c r="E396" s="5" t="n">
        <f aca="false">STDEV(C385:C396)</f>
        <v>3.4155532896395</v>
      </c>
    </row>
    <row r="397" customFormat="false" ht="15" hidden="false" customHeight="false" outlineLevel="0" collapsed="false">
      <c r="A397" s="5" t="s">
        <v>418</v>
      </c>
      <c r="B397" s="5" t="n">
        <v>1798</v>
      </c>
      <c r="C397" s="5" t="n">
        <f aca="false">LN(B397/B396)*100</f>
        <v>4.14478855661054</v>
      </c>
      <c r="D397" s="5" t="n">
        <f aca="false">STDEV(C395:C397)</f>
        <v>2.83575438405526</v>
      </c>
      <c r="E397" s="5" t="n">
        <f aca="false">STDEV(C386:C397)</f>
        <v>3.62871339185133</v>
      </c>
    </row>
    <row r="398" customFormat="false" ht="15" hidden="false" customHeight="false" outlineLevel="0" collapsed="false">
      <c r="A398" s="5" t="s">
        <v>419</v>
      </c>
      <c r="B398" s="5" t="n">
        <v>1898</v>
      </c>
      <c r="C398" s="5" t="n">
        <f aca="false">LN(B398/B397)*100</f>
        <v>5.41257641383076</v>
      </c>
      <c r="D398" s="5" t="n">
        <f aca="false">STDEV(C396:C398)</f>
        <v>0.929895803872917</v>
      </c>
      <c r="E398" s="5" t="n">
        <f aca="false">STDEV(C387:C398)</f>
        <v>3.93643535791105</v>
      </c>
    </row>
    <row r="399" customFormat="false" ht="15" hidden="false" customHeight="false" outlineLevel="0" collapsed="false">
      <c r="A399" s="5" t="s">
        <v>420</v>
      </c>
      <c r="B399" s="5" t="n">
        <v>1855</v>
      </c>
      <c r="C399" s="5" t="n">
        <f aca="false">LN(B399/B398)*100</f>
        <v>-2.29160041283376</v>
      </c>
      <c r="D399" s="5" t="n">
        <f aca="false">STDEV(C397:C399)</f>
        <v>4.13095488544344</v>
      </c>
      <c r="E399" s="5" t="n">
        <f aca="false">STDEV(C388:C399)</f>
        <v>3.96095112899267</v>
      </c>
    </row>
    <row r="400" customFormat="false" ht="15" hidden="false" customHeight="false" outlineLevel="0" collapsed="false">
      <c r="A400" s="5" t="s">
        <v>421</v>
      </c>
      <c r="B400" s="5" t="n">
        <v>1913</v>
      </c>
      <c r="C400" s="5" t="n">
        <f aca="false">LN(B400/B399)*100</f>
        <v>3.07879943987174</v>
      </c>
      <c r="D400" s="5" t="n">
        <f aca="false">STDEV(C398:C400)</f>
        <v>3.95057063638987</v>
      </c>
      <c r="E400" s="5" t="n">
        <f aca="false">STDEV(C389:C400)</f>
        <v>3.79449316228538</v>
      </c>
    </row>
    <row r="401" customFormat="false" ht="15" hidden="false" customHeight="false" outlineLevel="0" collapsed="false">
      <c r="A401" s="5" t="s">
        <v>422</v>
      </c>
      <c r="B401" s="5" t="n">
        <v>2000</v>
      </c>
      <c r="C401" s="5" t="n">
        <f aca="false">LN(B401/B400)*100</f>
        <v>4.44744901018296</v>
      </c>
      <c r="D401" s="5" t="n">
        <f aca="false">STDEV(C399:C401)</f>
        <v>3.56204958205512</v>
      </c>
      <c r="E401" s="5" t="n">
        <f aca="false">STDEV(C390:C401)</f>
        <v>4.01428498167467</v>
      </c>
    </row>
    <row r="402" customFormat="false" ht="15" hidden="false" customHeight="false" outlineLevel="0" collapsed="false">
      <c r="A402" s="5" t="s">
        <v>423</v>
      </c>
      <c r="B402" s="5" t="n">
        <v>1992</v>
      </c>
      <c r="C402" s="5" t="n">
        <f aca="false">LN(B402/B401)*100</f>
        <v>-0.400802139753882</v>
      </c>
      <c r="D402" s="5" t="n">
        <f aca="false">STDEV(C400:C402)</f>
        <v>2.49954555910036</v>
      </c>
      <c r="E402" s="5" t="n">
        <f aca="false">STDEV(C391:C402)</f>
        <v>3.71765957928389</v>
      </c>
    </row>
    <row r="403" customFormat="false" ht="15" hidden="false" customHeight="false" outlineLevel="0" collapsed="false">
      <c r="A403" s="5" t="s">
        <v>424</v>
      </c>
      <c r="B403" s="5" t="n">
        <v>1943</v>
      </c>
      <c r="C403" s="5" t="n">
        <f aca="false">LN(B403/B402)*100</f>
        <v>-2.49059887671034</v>
      </c>
      <c r="D403" s="5" t="n">
        <f aca="false">STDEV(C401:C403)</f>
        <v>3.55924378895954</v>
      </c>
      <c r="E403" s="5" t="n">
        <f aca="false">STDEV(C392:C403)</f>
        <v>3.81160818154658</v>
      </c>
    </row>
    <row r="404" customFormat="false" ht="15" hidden="false" customHeight="false" outlineLevel="0" collapsed="false">
      <c r="A404" s="5" t="s">
        <v>425</v>
      </c>
      <c r="B404" s="5" t="n">
        <v>1951</v>
      </c>
      <c r="C404" s="5" t="n">
        <f aca="false">LN(B404/B403)*100</f>
        <v>0.410889124567106</v>
      </c>
      <c r="D404" s="5" t="n">
        <f aca="false">STDEV(C402:C404)</f>
        <v>1.49692605762197</v>
      </c>
      <c r="E404" s="5" t="n">
        <f aca="false">STDEV(C393:C404)</f>
        <v>3.26048672942452</v>
      </c>
    </row>
    <row r="405" customFormat="false" ht="15" hidden="false" customHeight="false" outlineLevel="0" collapsed="false">
      <c r="A405" s="5" t="s">
        <v>426</v>
      </c>
      <c r="B405" s="5" t="n">
        <v>1919</v>
      </c>
      <c r="C405" s="5" t="n">
        <f aca="false">LN(B405/B404)*100</f>
        <v>-1.65378446154113</v>
      </c>
      <c r="D405" s="5" t="n">
        <f aca="false">STDEV(C403:C405)</f>
        <v>1.49341711097765</v>
      </c>
      <c r="E405" s="5" t="n">
        <f aca="false">STDEV(C394:C405)</f>
        <v>3.33294505900498</v>
      </c>
    </row>
    <row r="406" customFormat="false" ht="15" hidden="false" customHeight="false" outlineLevel="0" collapsed="false">
      <c r="A406" s="5" t="s">
        <v>427</v>
      </c>
      <c r="B406" s="5" t="n">
        <v>1916</v>
      </c>
      <c r="C406" s="5" t="n">
        <f aca="false">LN(B406/B405)*100</f>
        <v>-0.156453747689401</v>
      </c>
      <c r="D406" s="5" t="n">
        <f aca="false">STDEV(C404:C406)</f>
        <v>1.06667350663304</v>
      </c>
      <c r="E406" s="5" t="n">
        <f aca="false">STDEV(C395:C406)</f>
        <v>2.86045726606926</v>
      </c>
    </row>
    <row r="407" customFormat="false" ht="15" hidden="false" customHeight="false" outlineLevel="0" collapsed="false">
      <c r="A407" s="5" t="s">
        <v>428</v>
      </c>
      <c r="B407" s="5" t="n">
        <v>1916</v>
      </c>
      <c r="C407" s="5" t="n">
        <f aca="false">LN(B407/B406)*100</f>
        <v>0</v>
      </c>
      <c r="D407" s="5" t="n">
        <f aca="false">STDEV(C405:C407)</f>
        <v>0.913006032021389</v>
      </c>
      <c r="E407" s="5" t="n">
        <f aca="false">STDEV(C396:C407)</f>
        <v>2.80694557444136</v>
      </c>
    </row>
    <row r="408" customFormat="false" ht="15" hidden="false" customHeight="false" outlineLevel="0" collapsed="false">
      <c r="A408" s="5" t="s">
        <v>429</v>
      </c>
      <c r="B408" s="5" t="n">
        <v>1984</v>
      </c>
      <c r="C408" s="5" t="n">
        <f aca="false">LN(B408/B407)*100</f>
        <v>3.48753293140122</v>
      </c>
      <c r="D408" s="5" t="n">
        <f aca="false">STDEV(C406:C408)</f>
        <v>2.06017809263196</v>
      </c>
      <c r="E408" s="5" t="n">
        <f aca="false">STDEV(C397:C408)</f>
        <v>2.79826598525808</v>
      </c>
    </row>
    <row r="409" customFormat="false" ht="15" hidden="false" customHeight="false" outlineLevel="0" collapsed="false">
      <c r="A409" s="5" t="s">
        <v>430</v>
      </c>
      <c r="B409" s="5" t="n">
        <v>2026</v>
      </c>
      <c r="C409" s="5" t="n">
        <f aca="false">LN(B409/B408)*100</f>
        <v>2.09483969638107</v>
      </c>
      <c r="D409" s="5" t="n">
        <f aca="false">STDEV(C407:C409)</f>
        <v>1.75550722717646</v>
      </c>
      <c r="E409" s="5" t="n">
        <f aca="false">STDEV(C398:C409)</f>
        <v>2.65897270139663</v>
      </c>
    </row>
    <row r="410" customFormat="false" ht="15" hidden="false" customHeight="false" outlineLevel="0" collapsed="false">
      <c r="A410" s="5" t="s">
        <v>431</v>
      </c>
      <c r="B410" s="5" t="n">
        <v>2034</v>
      </c>
      <c r="C410" s="5" t="n">
        <f aca="false">LN(B410/B409)*100</f>
        <v>0.394089179987663</v>
      </c>
      <c r="D410" s="5" t="n">
        <f aca="false">STDEV(C408:C410)</f>
        <v>1.54927622935372</v>
      </c>
      <c r="E410" s="5" t="n">
        <f aca="false">STDEV(C399:C410)</f>
        <v>2.26671316484385</v>
      </c>
    </row>
    <row r="411" customFormat="false" ht="15" hidden="false" customHeight="false" outlineLevel="0" collapsed="false">
      <c r="A411" s="5" t="s">
        <v>432</v>
      </c>
      <c r="B411" s="5" t="n">
        <v>2023</v>
      </c>
      <c r="C411" s="5" t="n">
        <f aca="false">LN(B411/B410)*100</f>
        <v>-0.542273944075978</v>
      </c>
      <c r="D411" s="5" t="n">
        <f aca="false">STDEV(C409:C411)</f>
        <v>1.33689295082561</v>
      </c>
      <c r="E411" s="5" t="n">
        <f aca="false">STDEV(C400:C411)</f>
        <v>2.11676918332093</v>
      </c>
    </row>
    <row r="412" customFormat="false" ht="15" hidden="false" customHeight="false" outlineLevel="0" collapsed="false">
      <c r="A412" s="5" t="s">
        <v>433</v>
      </c>
      <c r="B412" s="5" t="n">
        <v>2158</v>
      </c>
      <c r="C412" s="5" t="n">
        <f aca="false">LN(B412/B411)*100</f>
        <v>6.46003086503346</v>
      </c>
      <c r="D412" s="5" t="n">
        <f aca="false">STDEV(C410:C412)</f>
        <v>3.80141853054356</v>
      </c>
      <c r="E412" s="5" t="n">
        <f aca="false">STDEV(C401:C412)</f>
        <v>2.62336343054016</v>
      </c>
    </row>
    <row r="413" customFormat="false" ht="15" hidden="false" customHeight="false" outlineLevel="0" collapsed="false">
      <c r="A413" s="5" t="s">
        <v>434</v>
      </c>
      <c r="B413" s="5" t="n">
        <v>2331</v>
      </c>
      <c r="C413" s="5" t="n">
        <f aca="false">LN(B413/B412)*100</f>
        <v>7.71154932176771</v>
      </c>
      <c r="D413" s="5" t="n">
        <f aca="false">STDEV(C411:C413)</f>
        <v>4.44829873080721</v>
      </c>
      <c r="E413" s="5" t="n">
        <f aca="false">STDEV(C402:C413)</f>
        <v>3.13262625196921</v>
      </c>
    </row>
    <row r="414" customFormat="false" ht="15" hidden="false" customHeight="false" outlineLevel="0" collapsed="false">
      <c r="A414" s="5" t="s">
        <v>435</v>
      </c>
      <c r="B414" s="5" t="n">
        <v>2351</v>
      </c>
      <c r="C414" s="5" t="n">
        <f aca="false">LN(B414/B413)*100</f>
        <v>0.854340950431231</v>
      </c>
      <c r="D414" s="5" t="n">
        <f aca="false">STDEV(C412:C414)</f>
        <v>3.6517430658556</v>
      </c>
      <c r="E414" s="5" t="n">
        <f aca="false">STDEV(C403:C414)</f>
        <v>3.09223421988453</v>
      </c>
    </row>
    <row r="415" customFormat="false" ht="15" hidden="false" customHeight="false" outlineLevel="0" collapsed="false">
      <c r="A415" s="5" t="s">
        <v>436</v>
      </c>
      <c r="B415" s="5" t="n">
        <v>2326</v>
      </c>
      <c r="C415" s="5" t="n">
        <f aca="false">LN(B415/B414)*100</f>
        <v>-1.06907154614598</v>
      </c>
      <c r="D415" s="5" t="n">
        <f aca="false">STDEV(C413:C415)</f>
        <v>4.61555567449103</v>
      </c>
      <c r="E415" s="5" t="n">
        <f aca="false">STDEV(C404:C415)</f>
        <v>2.95460581263709</v>
      </c>
    </row>
    <row r="416" customFormat="false" ht="15" hidden="false" customHeight="false" outlineLevel="0" collapsed="false">
      <c r="A416" s="5" t="s">
        <v>437</v>
      </c>
      <c r="B416" s="5" t="n">
        <v>2398</v>
      </c>
      <c r="C416" s="5" t="n">
        <f aca="false">LN(B416/B415)*100</f>
        <v>3.04850025088498</v>
      </c>
      <c r="D416" s="5" t="n">
        <f aca="false">STDEV(C414:C416)</f>
        <v>2.06026892142191</v>
      </c>
      <c r="E416" s="5" t="n">
        <f aca="false">STDEV(C405:C416)</f>
        <v>2.96436786996873</v>
      </c>
    </row>
    <row r="417" customFormat="false" ht="15" hidden="false" customHeight="false" outlineLevel="0" collapsed="false">
      <c r="A417" s="5" t="s">
        <v>438</v>
      </c>
      <c r="B417" s="5" t="n">
        <v>2470</v>
      </c>
      <c r="C417" s="5" t="n">
        <f aca="false">LN(B417/B416)*100</f>
        <v>2.95830940345633</v>
      </c>
      <c r="D417" s="5" t="n">
        <f aca="false">STDEV(C415:C417)</f>
        <v>2.35167774173689</v>
      </c>
      <c r="E417" s="5" t="n">
        <f aca="false">STDEV(C406:C417)</f>
        <v>2.7805957821715</v>
      </c>
    </row>
    <row r="418" customFormat="false" ht="15" hidden="false" customHeight="false" outlineLevel="0" collapsed="false">
      <c r="A418" s="5" t="s">
        <v>439</v>
      </c>
      <c r="B418" s="5" t="n">
        <v>2571</v>
      </c>
      <c r="C418" s="5" t="n">
        <f aca="false">LN(B418/B417)*100</f>
        <v>4.00767776438666</v>
      </c>
      <c r="D418" s="5" t="n">
        <f aca="false">STDEV(C416:C418)</f>
        <v>0.581568260294063</v>
      </c>
      <c r="E418" s="5" t="n">
        <f aca="false">STDEV(C407:C418)</f>
        <v>2.73234440975077</v>
      </c>
    </row>
    <row r="419" customFormat="false" ht="15" hidden="false" customHeight="false" outlineLevel="0" collapsed="false">
      <c r="A419" s="5" t="s">
        <v>440</v>
      </c>
      <c r="B419" s="5" t="n">
        <v>2690</v>
      </c>
      <c r="C419" s="5" t="n">
        <f aca="false">LN(B419/B418)*100</f>
        <v>4.52462653299953</v>
      </c>
      <c r="D419" s="5" t="n">
        <f aca="false">STDEV(C417:C419)</f>
        <v>0.798097669105774</v>
      </c>
      <c r="E419" s="5" t="n">
        <f aca="false">STDEV(C408:C419)</f>
        <v>2.67503872851738</v>
      </c>
    </row>
    <row r="420" customFormat="false" ht="15" hidden="false" customHeight="false" outlineLevel="0" collapsed="false">
      <c r="A420" s="5" t="s">
        <v>441</v>
      </c>
      <c r="B420" s="5" t="n">
        <v>2651</v>
      </c>
      <c r="C420" s="5" t="n">
        <f aca="false">LN(B420/B419)*100</f>
        <v>-1.46042663068593</v>
      </c>
      <c r="D420" s="5" t="n">
        <f aca="false">STDEV(C418:C420)</f>
        <v>3.31632987595534</v>
      </c>
      <c r="E420" s="5" t="n">
        <f aca="false">STDEV(C409:C420)</f>
        <v>2.93295938636244</v>
      </c>
    </row>
    <row r="421" customFormat="false" ht="15" hidden="false" customHeight="false" outlineLevel="0" collapsed="false">
      <c r="A421" s="5" t="s">
        <v>442</v>
      </c>
      <c r="B421" s="5" t="n">
        <v>2648</v>
      </c>
      <c r="C421" s="5" t="n">
        <f aca="false">LN(B421/B420)*100</f>
        <v>-0.113228923212676</v>
      </c>
      <c r="D421" s="5" t="n">
        <f aca="false">STDEV(C419:C421)</f>
        <v>3.13967902467433</v>
      </c>
      <c r="E421" s="5" t="n">
        <f aca="false">STDEV(C410:C421)</f>
        <v>3.02277275815876</v>
      </c>
    </row>
    <row r="422" customFormat="false" ht="15" hidden="false" customHeight="false" outlineLevel="0" collapsed="false">
      <c r="A422" s="5" t="s">
        <v>443</v>
      </c>
      <c r="B422" s="5" t="n">
        <v>2710</v>
      </c>
      <c r="C422" s="5" t="n">
        <f aca="false">LN(B422/B421)*100</f>
        <v>2.31439968168478</v>
      </c>
      <c r="D422" s="5" t="n">
        <f aca="false">STDEV(C420:C422)</f>
        <v>1.91300967042789</v>
      </c>
      <c r="E422" s="5" t="n">
        <f aca="false">STDEV(C411:C422)</f>
        <v>2.96699177095347</v>
      </c>
    </row>
    <row r="423" customFormat="false" ht="15" hidden="false" customHeight="false" outlineLevel="0" collapsed="false">
      <c r="A423" s="5" t="s">
        <v>444</v>
      </c>
      <c r="B423" s="5" t="n">
        <v>2895</v>
      </c>
      <c r="C423" s="5" t="n">
        <f aca="false">LN(B423/B422)*100</f>
        <v>6.60364761333491</v>
      </c>
      <c r="D423" s="5" t="n">
        <f aca="false">STDEV(C421:C423)</f>
        <v>3.40116300868063</v>
      </c>
      <c r="E423" s="5" t="n">
        <f aca="false">STDEV(C412:C423)</f>
        <v>3.04089546663839</v>
      </c>
    </row>
    <row r="424" customFormat="false" ht="15" hidden="false" customHeight="false" outlineLevel="0" collapsed="false">
      <c r="A424" s="5" t="s">
        <v>445</v>
      </c>
      <c r="B424" s="5" t="n">
        <v>2983</v>
      </c>
      <c r="C424" s="5" t="n">
        <f aca="false">LN(B424/B423)*100</f>
        <v>2.9944394507653</v>
      </c>
      <c r="D424" s="5" t="n">
        <f aca="false">STDEV(C422:C424)</f>
        <v>2.30530133487487</v>
      </c>
      <c r="E424" s="5" t="n">
        <f aca="false">STDEV(C413:C424)</f>
        <v>2.83889613761026</v>
      </c>
    </row>
    <row r="425" customFormat="false" ht="15" hidden="false" customHeight="false" outlineLevel="0" collapsed="false">
      <c r="A425" s="5" t="s">
        <v>446</v>
      </c>
      <c r="B425" s="5" t="n">
        <v>3218</v>
      </c>
      <c r="C425" s="5" t="n">
        <f aca="false">LN(B425/B424)*100</f>
        <v>7.583054303758</v>
      </c>
      <c r="D425" s="5" t="n">
        <f aca="false">STDEV(C423:C425)</f>
        <v>2.41664392960947</v>
      </c>
      <c r="E425" s="5" t="n">
        <f aca="false">STDEV(C414:C425)</f>
        <v>2.81843477585903</v>
      </c>
    </row>
    <row r="426" customFormat="false" ht="15" hidden="false" customHeight="false" outlineLevel="0" collapsed="false">
      <c r="A426" s="5" t="s">
        <v>447</v>
      </c>
      <c r="B426" s="5" t="n">
        <v>3309</v>
      </c>
      <c r="C426" s="5" t="n">
        <f aca="false">LN(B426/B425)*100</f>
        <v>2.78859803692837</v>
      </c>
      <c r="D426" s="5" t="n">
        <f aca="false">STDEV(C424:C426)</f>
        <v>2.71061394802289</v>
      </c>
      <c r="E426" s="5" t="n">
        <f aca="false">STDEV(C415:C426)</f>
        <v>2.75876277906184</v>
      </c>
    </row>
    <row r="427" customFormat="false" ht="15" hidden="false" customHeight="false" outlineLevel="0" collapsed="false">
      <c r="A427" s="5" t="s">
        <v>448</v>
      </c>
      <c r="B427" s="5" t="n">
        <v>3353</v>
      </c>
      <c r="C427" s="5" t="n">
        <f aca="false">LN(B427/B426)*100</f>
        <v>1.32094385446165</v>
      </c>
      <c r="D427" s="5" t="n">
        <f aca="false">STDEV(C425:C427)</f>
        <v>3.27502791268106</v>
      </c>
      <c r="E427" s="5" t="n">
        <f aca="false">STDEV(C416:C427)</f>
        <v>2.52675009457766</v>
      </c>
    </row>
    <row r="428" customFormat="false" ht="15" hidden="false" customHeight="false" outlineLevel="0" collapsed="false">
      <c r="A428" s="5" t="s">
        <v>449</v>
      </c>
      <c r="B428" s="5" t="n">
        <v>3340</v>
      </c>
      <c r="C428" s="5" t="n">
        <f aca="false">LN(B428/B427)*100</f>
        <v>-0.388466049548246</v>
      </c>
      <c r="D428" s="5" t="n">
        <f aca="false">STDEV(C426:C428)</f>
        <v>1.59006431886778</v>
      </c>
      <c r="E428" s="5" t="n">
        <f aca="false">STDEV(C417:C428)</f>
        <v>2.71445463219562</v>
      </c>
    </row>
    <row r="429" customFormat="false" ht="15" hidden="false" customHeight="false" outlineLevel="0" collapsed="false">
      <c r="A429" s="5" t="s">
        <v>450</v>
      </c>
      <c r="B429" s="5" t="n">
        <v>3368</v>
      </c>
      <c r="C429" s="5" t="n">
        <f aca="false">LN(B429/B428)*100</f>
        <v>0.834828939147124</v>
      </c>
      <c r="D429" s="5" t="n">
        <f aca="false">STDEV(C427:C429)</f>
        <v>0.880798932805284</v>
      </c>
      <c r="E429" s="5" t="n">
        <f aca="false">STDEV(C418:C429)</f>
        <v>2.76909733779528</v>
      </c>
    </row>
    <row r="430" customFormat="false" ht="15" hidden="false" customHeight="false" outlineLevel="0" collapsed="false">
      <c r="A430" s="5" t="s">
        <v>451</v>
      </c>
      <c r="B430" s="5" t="n">
        <v>3668</v>
      </c>
      <c r="C430" s="5" t="n">
        <f aca="false">LN(B430/B429)*100</f>
        <v>8.53274580141381</v>
      </c>
      <c r="D430" s="5" t="n">
        <f aca="false">STDEV(C428:C430)</f>
        <v>4.83636219241768</v>
      </c>
      <c r="E430" s="5" t="n">
        <f aca="false">STDEV(C419:C430)</f>
        <v>3.24737216676708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2026-10-08T13:58:40Z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